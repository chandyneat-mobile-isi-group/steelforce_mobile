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_Cases" sheetId="2" state="visible" r:id="rId2"/>
    <sheet name="Test_Scenarios" sheetId="3" state="visible" r:id="rId3"/>
    <sheet name="Test_Data" sheetId="4" state="visible" r:id="rId4"/>
    <sheet name="Automation_Mapping" sheetId="5" state="visible" r:id="rId5"/>
    <sheet name="Execution_Results" sheetId="6" state="visible" r:id="rId6"/>
    <sheet name="Bug_Log" sheetId="7" state="visible" r:id="rId7"/>
    <sheet name="Triage_Matrix" sheetId="8" state="visible" r:id="rId8"/>
    <sheet name="Dropdowns" sheetId="9" state="visible" r:id="rId9"/>
  </sheets>
  <definedNames>
    <definedName name="_xlnm._FilterDatabase" localSheetId="1" hidden="1">'Test_Cases'!$A$1:$P$37</definedName>
    <definedName name="_xlnm._FilterDatabase" localSheetId="2" hidden="1">'Test_Scenarios'!$A$1:$H$10</definedName>
    <definedName name="_xlnm._FilterDatabase" localSheetId="3" hidden="1">'Test_Data'!$A$1:$G$11</definedName>
    <definedName name="_xlnm._FilterDatabase" localSheetId="4" hidden="1">'Automation_Mapping'!$A$1:$F$37</definedName>
    <definedName name="_xlnm._FilterDatabase" localSheetId="5" hidden="1">'Execution_Results'!$A$1:$Y$2000</definedName>
    <definedName name="_xlnm._FilterDatabase" localSheetId="6" hidden="1">'Bug_Log'!$A$1:$M$1</definedName>
    <definedName name="_xlnm._FilterDatabase" localSheetId="7" hidden="1">'Triage_Matrix'!$A$1:$F$17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4">
    <fill>
      <patternFill/>
    </fill>
    <fill>
      <patternFill patternType="gray125"/>
    </fill>
    <fill>
      <patternFill patternType="solid">
        <fgColor rgb="001F3A5F"/>
      </patternFill>
    </fill>
    <fill>
      <patternFill patternType="solid">
        <fgColor rgb="00FFF3CD"/>
      </patternFill>
    </fill>
  </fills>
  <borders count="2">
    <border>
      <left/>
      <right/>
      <top/>
      <bottom/>
      <diagonal/>
    </border>
    <border>
      <left style="thin">
        <color rgb="00C9D1DB"/>
      </left>
      <right style="thin">
        <color rgb="00C9D1DB"/>
      </right>
      <top style="thin">
        <color rgb="00C9D1DB"/>
      </top>
      <bottom style="thin">
        <color rgb="00C9D1DB"/>
      </bottom>
    </border>
  </borders>
  <cellStyleXfs count="1">
    <xf numFmtId="0" fontId="0" fillId="0" borderId="0"/>
  </cellStyleXfs>
  <cellXfs count="7">
    <xf numFmtId="0" fontId="0" fillId="0" borderId="0" pivotButton="0" quotePrefix="0" xfId="0"/>
    <xf numFmtId="0" fontId="2" fillId="0" borderId="0" pivotButton="0" quotePrefix="0" xfId="0"/>
    <xf numFmtId="0" fontId="0" fillId="3" borderId="0" pivotButton="0" quotePrefix="0" xfId="0"/>
    <xf numFmtId="0" fontId="3"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1" fillId="2" borderId="0" pivotButton="0" quotePrefix="0" xfId="0"/>
  </cellXfs>
  <cellStyles count="1">
    <cellStyle name="Normal" xfId="0" builtinId="0" hidden="0"/>
  </cellStyles>
  <dxfs count="4">
    <dxf>
      <fill>
        <patternFill patternType="solid">
          <fgColor rgb="00D4EDDA"/>
        </patternFill>
      </fill>
    </dxf>
    <dxf>
      <fill>
        <patternFill patternType="solid">
          <fgColor rgb="00F8D7DA"/>
        </patternFill>
      </fill>
    </dxf>
    <dxf>
      <fill>
        <patternFill patternType="solid">
          <fgColor rgb="00FFF3CD"/>
        </patternFill>
      </fill>
    </dxf>
    <dxf>
      <fill>
        <patternFill patternType="solid">
          <fgColor rgb="00E2E3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2" customWidth="1" min="2" max="2"/>
  </cols>
  <sheetData>
    <row r="1">
      <c r="A1" s="1" t="inlineStr">
        <is>
          <t>SteelForce Mobile — Test Execution Summary</t>
        </is>
      </c>
    </row>
    <row r="2">
      <c r="A2" t="inlineStr">
        <is>
          <t>Counts read live from Execution_Results. Filter by Run ID in cell B3.</t>
        </is>
      </c>
    </row>
    <row r="3">
      <c r="A3" t="inlineStr">
        <is>
          <t>Run ID</t>
        </is>
      </c>
      <c r="B3" s="2" t="inlineStr">
        <is>
          <t>EXEC-20261008-014</t>
        </is>
      </c>
    </row>
    <row r="5">
      <c r="A5" s="3" t="inlineStr">
        <is>
          <t>Result</t>
        </is>
      </c>
      <c r="B5" s="3" t="inlineStr">
        <is>
          <t>Count</t>
        </is>
      </c>
    </row>
    <row r="6">
      <c r="A6" t="inlineStr">
        <is>
          <t>Pass</t>
        </is>
      </c>
      <c r="B6">
        <f>COUNTIFS(Execution_Results!$A$2:$A$2000,$B$3,Execution_Results!$I$2:$I$2000,"Pass")</f>
        <v/>
      </c>
    </row>
    <row r="7">
      <c r="A7" t="inlineStr">
        <is>
          <t>Fail</t>
        </is>
      </c>
      <c r="B7">
        <f>COUNTIFS(Execution_Results!$A$2:$A$2000,$B$3,Execution_Results!$I$2:$I$2000,"Fail")</f>
        <v/>
      </c>
    </row>
    <row r="8">
      <c r="A8" t="inlineStr">
        <is>
          <t>Blocked</t>
        </is>
      </c>
      <c r="B8">
        <f>COUNTIFS(Execution_Results!$A$2:$A$2000,$B$3,Execution_Results!$I$2:$I$2000,"Blocked")</f>
        <v/>
      </c>
    </row>
    <row r="9">
      <c r="A9" t="inlineStr">
        <is>
          <t>Not Run</t>
        </is>
      </c>
      <c r="B9">
        <f>COUNTIFS(Execution_Results!$A$2:$A$2000,$B$3,Execution_Results!$I$2:$I$2000,"Not Run")</f>
        <v/>
      </c>
    </row>
    <row r="10">
      <c r="A10" t="inlineStr">
        <is>
          <t>Skipped</t>
        </is>
      </c>
      <c r="B10">
        <f>COUNTIFS(Execution_Results!$A$2:$A$2000,$B$3,Execution_Results!$I$2:$I$2000,"Skipped")</f>
        <v/>
      </c>
    </row>
    <row r="12">
      <c r="A12" s="3" t="inlineStr">
        <is>
          <t>Issue Source (failures)</t>
        </is>
      </c>
      <c r="B12" s="3" t="inlineStr">
        <is>
          <t>Count</t>
        </is>
      </c>
    </row>
    <row r="13">
      <c r="A13" t="inlineStr">
        <is>
          <t>Mobile</t>
        </is>
      </c>
      <c r="B13">
        <f>COUNTIFS(Execution_Results!$A$2:$A$2000,$B$3,Execution_Results!$K$2:$K$2000,"Mobile",Execution_Results!$I$2:$I$2000,"Fail")</f>
        <v/>
      </c>
    </row>
    <row r="14">
      <c r="A14" t="inlineStr">
        <is>
          <t>Backend</t>
        </is>
      </c>
      <c r="B14">
        <f>COUNTIFS(Execution_Results!$A$2:$A$2000,$B$3,Execution_Results!$K$2:$K$2000,"Backend",Execution_Results!$I$2:$I$2000,"Fail")</f>
        <v/>
      </c>
    </row>
    <row r="15">
      <c r="A15" t="inlineStr">
        <is>
          <t>Database</t>
        </is>
      </c>
      <c r="B15">
        <f>COUNTIFS(Execution_Results!$A$2:$A$2000,$B$3,Execution_Results!$K$2:$K$2000,"Database",Execution_Results!$I$2:$I$2000,"Fail")</f>
        <v/>
      </c>
    </row>
    <row r="16">
      <c r="A16" t="inlineStr">
        <is>
          <t>SAP</t>
        </is>
      </c>
      <c r="B16">
        <f>COUNTIFS(Execution_Results!$A$2:$A$2000,$B$3,Execution_Results!$K$2:$K$2000,"SAP",Execution_Results!$I$2:$I$2000,"Fail")</f>
        <v/>
      </c>
    </row>
    <row r="17">
      <c r="A17" t="inlineStr">
        <is>
          <t>Network</t>
        </is>
      </c>
      <c r="B17">
        <f>COUNTIFS(Execution_Results!$A$2:$A$2000,$B$3,Execution_Results!$K$2:$K$2000,"Network",Execution_Results!$I$2:$I$2000,"Fail")</f>
        <v/>
      </c>
    </row>
    <row r="18">
      <c r="A18" t="inlineStr">
        <is>
          <t>Test Data</t>
        </is>
      </c>
      <c r="B18">
        <f>COUNTIFS(Execution_Results!$A$2:$A$2000,$B$3,Execution_Results!$K$2:$K$2000,"Test Data",Execution_Results!$I$2:$I$2000,"Fail")</f>
        <v/>
      </c>
    </row>
    <row r="19">
      <c r="A19" t="inlineStr">
        <is>
          <t>Environment</t>
        </is>
      </c>
      <c r="B19">
        <f>COUNTIFS(Execution_Results!$A$2:$A$2000,$B$3,Execution_Results!$K$2:$K$2000,"Environment",Execution_Results!$I$2:$I$2000,"Fail")</f>
        <v/>
      </c>
    </row>
    <row r="20">
      <c r="A20" t="inlineStr">
        <is>
          <t>Unknown</t>
        </is>
      </c>
      <c r="B20">
        <f>COUNTIFS(Execution_Results!$A$2:$A$2000,$B$3,Execution_Results!$K$2:$K$2000,"Unknown",Execution_Results!$I$2:$I$2000,"Fail")</f>
        <v/>
      </c>
    </row>
    <row r="21">
      <c r="A21" t="inlineStr">
        <is>
          <t>Automation</t>
        </is>
      </c>
      <c r="B21">
        <f>COUNTIFS(Execution_Results!$A$2:$A$2000,$B$3,Execution_Results!$K$2:$K$2000,"Automation",Execution_Results!$I$2:$I$2000,"Fail")</f>
        <v/>
      </c>
    </row>
    <row r="23">
      <c r="A23" s="3" t="inlineStr">
        <is>
          <t>Assigned Team (failures)</t>
        </is>
      </c>
      <c r="B23" s="3" t="inlineStr">
        <is>
          <t>Count</t>
        </is>
      </c>
    </row>
    <row r="24">
      <c r="A24" t="inlineStr">
        <is>
          <t>Mobile</t>
        </is>
      </c>
      <c r="B24">
        <f>COUNTIFS(Execution_Results!$A$2:$A$2000,$B$3,Execution_Results!$V$2:$V$2000,"Mobile",Execution_Results!$I$2:$I$2000,"Fail")</f>
        <v/>
      </c>
    </row>
    <row r="25">
      <c r="A25" t="inlineStr">
        <is>
          <t>Backend</t>
        </is>
      </c>
      <c r="B25">
        <f>COUNTIFS(Execution_Results!$A$2:$A$2000,$B$3,Execution_Results!$V$2:$V$2000,"Backend",Execution_Results!$I$2:$I$2000,"Fail")</f>
        <v/>
      </c>
    </row>
    <row r="26">
      <c r="A26" t="inlineStr">
        <is>
          <t>QA</t>
        </is>
      </c>
      <c r="B26">
        <f>COUNTIFS(Execution_Results!$A$2:$A$2000,$B$3,Execution_Results!$V$2:$V$2000,"QA",Execution_Results!$I$2:$I$2000,"Fail")</f>
        <v/>
      </c>
    </row>
    <row r="27">
      <c r="A27" t="inlineStr">
        <is>
          <t>SAP</t>
        </is>
      </c>
      <c r="B27">
        <f>COUNTIFS(Execution_Results!$A$2:$A$2000,$B$3,Execution_Results!$V$2:$V$2000,"SAP",Execution_Results!$I$2:$I$2000,"Fail")</f>
        <v/>
      </c>
    </row>
    <row r="28">
      <c r="A28" t="inlineStr">
        <is>
          <t>DevOps</t>
        </is>
      </c>
      <c r="B28">
        <f>COUNTIFS(Execution_Results!$A$2:$A$2000,$B$3,Execution_Results!$V$2:$V$2000,"DevOps",Execution_Results!$I$2:$I$2000,"Fail")</f>
        <v/>
      </c>
    </row>
    <row r="30">
      <c r="A30" s="3" t="inlineStr">
        <is>
          <t>Failures still missing triage</t>
        </is>
      </c>
      <c r="B30">
        <f>COUNTIFS(Execution_Results!$A$2:$A$2000,$B$3,Execution_Results!$I$2:$I$2000,"Fail")-COUNTIFS(Execution_Results!$A$2:$A$2000,$B$3,Execution_Results!$Y$2:$Y$2000,"OK",Execution_Results!$I$2:$I$2000,"Fail")</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0" customWidth="1" min="3" max="3"/>
    <col width="40" customWidth="1" min="4" max="4"/>
    <col width="9" customWidth="1" min="5" max="5"/>
    <col width="13" customWidth="1" min="6" max="6"/>
    <col width="30" customWidth="1" min="7" max="7"/>
    <col width="14" customWidth="1" min="8" max="8"/>
    <col width="48" customWidth="1" min="9" max="9"/>
    <col width="48" customWidth="1" min="10" max="10"/>
    <col width="30" customWidth="1" min="11" max="11"/>
    <col width="22" customWidth="1" min="12" max="12"/>
    <col width="40" customWidth="1" min="13" max="13"/>
    <col width="30" customWidth="1" min="14" max="14"/>
    <col width="36" customWidth="1" min="15" max="15"/>
    <col width="14" customWidth="1" min="16" max="16"/>
    <col width="18" customWidth="1" min="17" max="17"/>
    <col width="16" customWidth="1" min="18" max="18"/>
  </cols>
  <sheetData>
    <row r="1" ht="32" customHeight="1">
      <c r="A1" s="4" t="inlineStr">
        <is>
          <t>TC ID</t>
        </is>
      </c>
      <c r="B1" s="4" t="inlineStr">
        <is>
          <t>Module</t>
        </is>
      </c>
      <c r="C1" s="4" t="inlineStr">
        <is>
          <t>Feature</t>
        </is>
      </c>
      <c r="D1" s="4" t="inlineStr">
        <is>
          <t>Title</t>
        </is>
      </c>
      <c r="E1" s="4" t="inlineStr">
        <is>
          <t>Priority</t>
        </is>
      </c>
      <c r="F1" s="4" t="inlineStr">
        <is>
          <t>Test Type</t>
        </is>
      </c>
      <c r="G1" s="4" t="inlineStr">
        <is>
          <t>Preconditions</t>
        </is>
      </c>
      <c r="H1" s="4" t="inlineStr">
        <is>
          <t>Test Data</t>
        </is>
      </c>
      <c r="I1" s="4" t="inlineStr">
        <is>
          <t>Steps</t>
        </is>
      </c>
      <c r="J1" s="4" t="inlineStr">
        <is>
          <t>Expected Result</t>
        </is>
      </c>
      <c r="K1" s="4" t="inlineStr">
        <is>
          <t>API Endpoint</t>
        </is>
      </c>
      <c r="L1" s="4" t="inlineStr">
        <is>
          <t>Layers Exercised</t>
        </is>
      </c>
      <c r="M1" s="4" t="inlineStr">
        <is>
          <t>If It Fails — Check First</t>
        </is>
      </c>
      <c r="N1" s="4" t="inlineStr">
        <is>
          <t>Evidence to Capture</t>
        </is>
      </c>
      <c r="O1" s="4" t="inlineStr">
        <is>
          <t>Code Reference</t>
        </is>
      </c>
      <c r="P1" s="4" t="inlineStr">
        <is>
          <t>Automation Status</t>
        </is>
      </c>
      <c r="Q1" s="4" t="inlineStr">
        <is>
          <t>Suites</t>
        </is>
      </c>
      <c r="R1" s="4" t="inlineStr">
        <is>
          <t>Environments</t>
        </is>
      </c>
    </row>
    <row r="2">
      <c r="A2" s="5" t="inlineStr">
        <is>
          <t>TC-AUTH-001</t>
        </is>
      </c>
      <c r="B2" s="5" t="inlineStr">
        <is>
          <t>Authentication</t>
        </is>
      </c>
      <c r="C2" s="5" t="inlineStr">
        <is>
          <t>Login</t>
        </is>
      </c>
      <c r="D2" s="5" t="inlineStr">
        <is>
          <t>Login form validates before any request</t>
        </is>
      </c>
      <c r="E2" s="5" t="inlineStr">
        <is>
          <t>P1</t>
        </is>
      </c>
      <c r="F2" s="5" t="inlineStr">
        <is>
          <t>Negative</t>
        </is>
      </c>
      <c r="G2" s="5" t="inlineStr">
        <is>
          <t>App on /login.</t>
        </is>
      </c>
      <c r="H2" s="5" t="inlineStr"/>
      <c r="I2" s="5" t="inlineStr">
        <is>
          <t>1. Leave phone empty, tap Sign in.
2. Enter phone, password of 5 chars, tap Sign in.</t>
        </is>
      </c>
      <c r="J2" s="5" t="inlineStr">
        <is>
          <t>1. Inline error auth.phone_required.
2. Inline error auth.password_too_short (minimum 6).
No network request is made (no api.request log).</t>
        </is>
      </c>
      <c r="K2" s="5" t="inlineStr">
        <is>
          <t>—</t>
        </is>
      </c>
      <c r="L2" s="5" t="inlineStr">
        <is>
          <t>Mobile</t>
        </is>
      </c>
      <c r="M2" s="5" t="inlineStr">
        <is>
          <t>Any api.request logged → Mobile (validation bypassed).</t>
        </is>
      </c>
      <c r="N2" s="5" t="inlineStr">
        <is>
          <t>Screenshot (EN + KM where text changes); screen name; device/OS; app version.</t>
        </is>
      </c>
      <c r="O2" s="5" t="inlineStr">
        <is>
          <t>phone_number_field.dart:92-96; login_form.dart:149-151</t>
        </is>
      </c>
      <c r="P2" s="5" t="inlineStr">
        <is>
          <t>Planned</t>
        </is>
      </c>
      <c r="Q2" s="5" t="inlineStr">
        <is>
          <t>uat</t>
        </is>
      </c>
      <c r="R2" s="5" t="n"/>
    </row>
    <row r="3">
      <c r="A3" s="5" t="inlineStr">
        <is>
          <t>TC-AUTH-002</t>
        </is>
      </c>
      <c r="B3" s="5" t="inlineStr">
        <is>
          <t>Authentication</t>
        </is>
      </c>
      <c r="C3" s="5" t="inlineStr">
        <is>
          <t>Login</t>
        </is>
      </c>
      <c r="D3" s="5" t="inlineStr">
        <is>
          <t>Successful login lands on the main shell</t>
        </is>
      </c>
      <c r="E3" s="5" t="inlineStr">
        <is>
          <t>P1</t>
        </is>
      </c>
      <c r="F3" s="5" t="inlineStr">
        <is>
          <t>Functional</t>
        </is>
      </c>
      <c r="G3" s="5" t="inlineStr">
        <is>
          <t>Online. TD-001 active.</t>
        </is>
      </c>
      <c r="H3" s="5" t="inlineStr">
        <is>
          <t>TD-001</t>
        </is>
      </c>
      <c r="I3" s="5" t="inlineStr">
        <is>
          <t>1. Enter phone + password from the secret store.
2. Tap Sign in, then tap it again quickly.</t>
        </is>
      </c>
      <c r="J3" s="5" t="inlineStr">
        <is>
          <t>Spinner shows; the second tap is ignored. Tokens saved, profile read, back stack cleared, app opens /main with 4 tabs.</t>
        </is>
      </c>
      <c r="K3" s="5" t="inlineStr">
        <is>
          <t>POST /api/v1/mobile/auth/login → GET /api/v1/auth/me</t>
        </is>
      </c>
      <c r="L3" s="5" t="inlineStr">
        <is>
          <t>Mobile → Backend → DB</t>
        </is>
      </c>
      <c r="M3" s="5" t="inlineStr">
        <is>
          <t>Login 200 but /auth/me fails → see TC-AUTH-018. 401 with a known-good account → Backend.</t>
        </is>
      </c>
      <c r="N3" s="5" t="inlineStr">
        <is>
          <t>Screenshot; debug log lines api.request/api.response/api.error (method, path, status, errorCode, correlationId, dioType, host); timestamp. Mask tokens and phone numbers.</t>
        </is>
      </c>
      <c r="O3" s="5" t="inlineStr">
        <is>
          <t>auth_bloc.dart:136-182; auth_repository_impl.dart:46-127</t>
        </is>
      </c>
      <c r="P3" s="5" t="inlineStr">
        <is>
          <t>Partial</t>
        </is>
      </c>
      <c r="Q3" s="5" t="inlineStr">
        <is>
          <t>smoke, regression, uat</t>
        </is>
      </c>
      <c r="R3" s="5" t="n"/>
    </row>
    <row r="4">
      <c r="A4" s="5" t="inlineStr">
        <is>
          <t>TC-AUTH-003</t>
        </is>
      </c>
      <c r="B4" s="5" t="inlineStr">
        <is>
          <t>Authentication</t>
        </is>
      </c>
      <c r="C4" s="5" t="inlineStr">
        <is>
          <t>Login</t>
        </is>
      </c>
      <c r="D4" s="5" t="inlineStr">
        <is>
          <t>Login screen fits small phones, tablets and the keyboard</t>
        </is>
      </c>
      <c r="E4" s="5" t="inlineStr">
        <is>
          <t>P2</t>
        </is>
      </c>
      <c r="F4" s="5" t="inlineStr">
        <is>
          <t>UI</t>
        </is>
      </c>
      <c r="G4" s="5" t="inlineStr">
        <is>
          <t>On /login.</t>
        </is>
      </c>
      <c r="H4" s="5" t="inlineStr"/>
      <c r="I4" s="5" t="inlineStr">
        <is>
          <t>Open on a 360 dp phone, a tablet, both orientations; focus each field.</t>
        </is>
      </c>
      <c r="J4" s="5" t="inlineStr">
        <is>
          <t>No overflow; the focused field stays above the keyboard; Sign in reachable.</t>
        </is>
      </c>
      <c r="K4" s="5" t="inlineStr">
        <is>
          <t>—</t>
        </is>
      </c>
      <c r="L4" s="5" t="inlineStr">
        <is>
          <t>Mobile</t>
        </is>
      </c>
      <c r="M4" s="5" t="inlineStr"/>
      <c r="N4" s="5" t="inlineStr">
        <is>
          <t>Screenshot (EN + KM where text changes); screen name; device/OS; app version.</t>
        </is>
      </c>
      <c r="O4" s="5" t="inlineStr">
        <is>
          <t>login_screen.dart</t>
        </is>
      </c>
      <c r="P4" s="5" t="inlineStr">
        <is>
          <t>Automated</t>
        </is>
      </c>
      <c r="Q4" s="5" t="inlineStr">
        <is>
          <t>regression, uat</t>
        </is>
      </c>
      <c r="R4" s="5" t="n"/>
    </row>
    <row r="5">
      <c r="A5" s="5" t="inlineStr">
        <is>
          <t>TC-AUTH-004</t>
        </is>
      </c>
      <c r="B5" s="5" t="inlineStr">
        <is>
          <t>Authentication</t>
        </is>
      </c>
      <c r="C5" s="5" t="inlineStr">
        <is>
          <t>Login</t>
        </is>
      </c>
      <c r="D5" s="5" t="inlineStr">
        <is>
          <t>Wrong password shows the server message</t>
        </is>
      </c>
      <c r="E5" s="5" t="inlineStr">
        <is>
          <t>P1</t>
        </is>
      </c>
      <c r="F5" s="5" t="inlineStr">
        <is>
          <t>Negative</t>
        </is>
      </c>
      <c r="G5" s="5" t="inlineStr">
        <is>
          <t>Online. TD-001.</t>
        </is>
      </c>
      <c r="H5" s="5" t="inlineStr">
        <is>
          <t>TD-001</t>
        </is>
      </c>
      <c r="I5" s="5" t="inlineStr">
        <is>
          <t>Enter a wrong password once; tap Sign in.</t>
        </is>
      </c>
      <c r="J5" s="5" t="inlineStr">
        <is>
          <t>Red status pill with the server message (fallback “Your ID or password is incorrect.”). No automatic retry. No token refresh attempted.</t>
        </is>
      </c>
      <c r="K5" s="5" t="inlineStr">
        <is>
          <t>POST /api/v1/mobile/auth/login (expect 400/401 Auth.InvalidCredentials)</t>
        </is>
      </c>
      <c r="L5" s="5" t="inlineStr">
        <is>
          <t>Mobile → Backend</t>
        </is>
      </c>
      <c r="M5" s="5" t="inlineStr">
        <is>
          <t>Correct password refused → check account in portal (Test Data) before Backend.</t>
        </is>
      </c>
      <c r="N5" s="5" t="inlineStr">
        <is>
          <t>Screenshot; debug log lines api.request/api.response/api.error (method, path, status, errorCode, correlationId, dioType, host); timestamp. Mask tokens and phone numbers.</t>
        </is>
      </c>
      <c r="O5" s="5" t="inlineStr">
        <is>
          <t>auth_bloc.dart:175-179; auth_interceptor.dart:181-191</t>
        </is>
      </c>
      <c r="P5" s="5" t="inlineStr">
        <is>
          <t>Partial</t>
        </is>
      </c>
      <c r="Q5" s="5" t="inlineStr">
        <is>
          <t>regression, uat</t>
        </is>
      </c>
      <c r="R5" s="5" t="n"/>
    </row>
    <row r="6">
      <c r="A6" s="5" t="inlineStr">
        <is>
          <t>TC-AUTH-005</t>
        </is>
      </c>
      <c r="B6" s="5" t="inlineStr">
        <is>
          <t>Authentication</t>
        </is>
      </c>
      <c r="C6" s="5" t="inlineStr">
        <is>
          <t>Login</t>
        </is>
      </c>
      <c r="D6" s="5" t="inlineStr">
        <is>
          <t>Locked / inactive / expired-password accounts are refused with their message</t>
        </is>
      </c>
      <c r="E6" s="5" t="inlineStr">
        <is>
          <t>P1</t>
        </is>
      </c>
      <c r="F6" s="5" t="inlineStr">
        <is>
          <t>Negative</t>
        </is>
      </c>
      <c r="G6" s="5" t="inlineStr">
        <is>
          <t>Online. TD-003, TD-004.</t>
        </is>
      </c>
      <c r="H6" s="5" t="inlineStr">
        <is>
          <t>TD-003, TD-004</t>
        </is>
      </c>
      <c r="I6" s="5" t="inlineStr">
        <is>
          <t>Sign in with each account.</t>
        </is>
      </c>
      <c r="J6" s="5" t="inlineStr">
        <is>
          <t>Status pill shows the server text for Auth.AccountLocked / Auth.AccountInactive / Auth.PasswordExpired. User stays on /login.</t>
        </is>
      </c>
      <c r="K6" s="5" t="inlineStr">
        <is>
          <t>POST /api/v1/mobile/auth/login</t>
        </is>
      </c>
      <c r="L6" s="5" t="inlineStr">
        <is>
          <t>Mobile → Backend → DB</t>
        </is>
      </c>
      <c r="M6" s="5" t="inlineStr">
        <is>
          <t>Account state wrong in portal → Test Data. Right state, wrong errorCode → Backend.</t>
        </is>
      </c>
      <c r="N6" s="5" t="inlineStr">
        <is>
          <t>Screenshot; debug log lines api.request/api.response/api.error (method, path, status, errorCode, correlationId, dioType, host); timestamp. Mask tokens and phone numbers.</t>
        </is>
      </c>
      <c r="O6" s="5" t="inlineStr">
        <is>
          <t>auth_repository_impl.dart:340-348</t>
        </is>
      </c>
      <c r="P6" s="5" t="inlineStr">
        <is>
          <t>Partial</t>
        </is>
      </c>
      <c r="Q6" s="5" t="inlineStr">
        <is>
          <t>regression, uat</t>
        </is>
      </c>
      <c r="R6" s="5" t="n"/>
    </row>
    <row r="7">
      <c r="A7" s="5" t="inlineStr">
        <is>
          <t>TC-AUTH-006</t>
        </is>
      </c>
      <c r="B7" s="5" t="inlineStr">
        <is>
          <t>Authentication</t>
        </is>
      </c>
      <c r="C7" s="5" t="inlineStr">
        <is>
          <t>Login</t>
        </is>
      </c>
      <c r="D7" s="5" t="inlineStr">
        <is>
          <t>Login while offline</t>
        </is>
      </c>
      <c r="E7" s="5" t="inlineStr">
        <is>
          <t>P1</t>
        </is>
      </c>
      <c r="F7" s="5" t="inlineStr">
        <is>
          <t>Offline</t>
        </is>
      </c>
      <c r="G7" s="5" t="inlineStr">
        <is>
          <t>Airplane mode on.</t>
        </is>
      </c>
      <c r="H7" s="5" t="inlineStr">
        <is>
          <t>TD-018</t>
        </is>
      </c>
      <c r="I7" s="5" t="inlineStr">
        <is>
          <t>Enter valid credentials; tap Sign in.</t>
        </is>
      </c>
      <c r="J7" s="5" t="inlineStr">
        <is>
          <t>No request sent; message common.no_connection in the active language.</t>
        </is>
      </c>
      <c r="K7" s="5" t="inlineStr">
        <is>
          <t>—</t>
        </is>
      </c>
      <c r="L7" s="5" t="inlineStr">
        <is>
          <t>Mobile</t>
        </is>
      </c>
      <c r="M7" s="5" t="inlineStr">
        <is>
          <t>Shows server-unreachable instead → Mobile (interface check). Request logged → Mobile.</t>
        </is>
      </c>
      <c r="N7" s="5" t="inlineStr">
        <is>
          <t>Screenshot of the offline state; Sync Center / pending sheet before and after reconnect; api.* log lines after reconnect (correlationId).</t>
        </is>
      </c>
      <c r="O7" s="5" t="inlineStr">
        <is>
          <t>auth_repository_impl.dart:52-55; auth_bloc.dart:204-210</t>
        </is>
      </c>
      <c r="P7" s="5" t="inlineStr">
        <is>
          <t>Planned</t>
        </is>
      </c>
      <c r="Q7" s="5" t="inlineStr">
        <is>
          <t>uat</t>
        </is>
      </c>
      <c r="R7" s="5" t="n"/>
    </row>
    <row r="8">
      <c r="A8" s="5" t="inlineStr">
        <is>
          <t>TC-AUTH-007</t>
        </is>
      </c>
      <c r="B8" s="5" t="inlineStr">
        <is>
          <t>Authentication</t>
        </is>
      </c>
      <c r="C8" s="5" t="inlineStr">
        <is>
          <t>Login</t>
        </is>
      </c>
      <c r="D8" s="5" t="inlineStr">
        <is>
          <t>Login when UAT is unreachable / returns 5xx / times out</t>
        </is>
      </c>
      <c r="E8" s="5" t="inlineStr">
        <is>
          <t>P1</t>
        </is>
      </c>
      <c r="F8" s="5" t="inlineStr">
        <is>
          <t>Negative</t>
        </is>
      </c>
      <c r="G8" s="5" t="inlineStr">
        <is>
          <t>Device online; UAT host blocked (wrong VPN) or backend down.</t>
        </is>
      </c>
      <c r="H8" s="5" t="inlineStr"/>
      <c r="I8" s="5" t="inlineStr">
        <is>
          <t>Sign in with valid credentials.</t>
        </is>
      </c>
      <c r="J8" s="5" t="inlineStr">
        <is>
          <t>Unreachable or timeout → common.server_unreachable. 5xx → server message or “Something went wrong. Please try again.” No half-open session (tokens cleared).</t>
        </is>
      </c>
      <c r="K8" s="5" t="inlineStr">
        <is>
          <t>POST /api/v1/mobile/auth/login</t>
        </is>
      </c>
      <c r="L8" s="5" t="inlineStr">
        <is>
          <t>Mobile → Backend</t>
        </is>
      </c>
      <c r="M8" s="5" t="inlineStr">
        <is>
          <t>Use api.error `host` + dioType: wrong host → Environment; 5xx → Backend; receiveTimeout → Unknown until the correlationId is searched.</t>
        </is>
      </c>
      <c r="N8" s="5" t="inlineStr">
        <is>
          <t>Screenshot; debug log lines api.request/api.response/api.error (method, path, status, errorCode, correlationId, dioType, host); timestamp. Mask tokens and phone numbers.</t>
        </is>
      </c>
      <c r="O8" s="5" t="inlineStr">
        <is>
          <t>auth_repository_impl.dart:113-125</t>
        </is>
      </c>
      <c r="P8" s="5" t="inlineStr">
        <is>
          <t>Planned</t>
        </is>
      </c>
      <c r="Q8" s="5" t="inlineStr">
        <is>
          <t>uat</t>
        </is>
      </c>
      <c r="R8" s="5" t="n"/>
    </row>
    <row r="9">
      <c r="A9" s="5" t="inlineStr">
        <is>
          <t>TC-AUTH-008</t>
        </is>
      </c>
      <c r="B9" s="5" t="inlineStr">
        <is>
          <t>Authentication</t>
        </is>
      </c>
      <c r="C9" s="5" t="inlineStr">
        <is>
          <t>Temporary password</t>
        </is>
      </c>
      <c r="D9" s="5" t="inlineStr">
        <is>
          <t>Temporary-password policy</t>
        </is>
      </c>
      <c r="E9" s="5" t="inlineStr">
        <is>
          <t>P1</t>
        </is>
      </c>
      <c r="F9" s="5" t="inlineStr">
        <is>
          <t>Negative</t>
        </is>
      </c>
      <c r="G9" s="5" t="inlineStr">
        <is>
          <t>TD-002 just reset (passwordChangeRequired = true).</t>
        </is>
      </c>
      <c r="H9" s="5" t="inlineStr">
        <is>
          <t>TD-002, TD-008</t>
        </is>
      </c>
      <c r="I9" s="5" t="inlineStr">
        <is>
          <t>1. Sign in → lands on /change-temporary-password.
2. Try 11 chars; same as current; mismatched confirm.</t>
        </is>
      </c>
      <c r="J9" s="5" t="inlineStr">
        <is>
          <t>auth.change_password_too_short (min 12), auth.change_password_same_as_current, auth.passwords_dont_match. Back is blocked; Sign out is the only exit.</t>
        </is>
      </c>
      <c r="K9" s="5" t="inlineStr">
        <is>
          <t>—</t>
        </is>
      </c>
      <c r="L9" s="5" t="inlineStr">
        <is>
          <t>Mobile</t>
        </is>
      </c>
      <c r="M9" s="5" t="inlineStr"/>
      <c r="N9" s="5" t="inlineStr">
        <is>
          <t>Screenshot (EN + KM where text changes); screen name; device/OS; app version.</t>
        </is>
      </c>
      <c r="O9" s="5" t="inlineStr">
        <is>
          <t>change_temporary_password_screen.dart:41,94-102,163</t>
        </is>
      </c>
      <c r="P9" s="5" t="inlineStr">
        <is>
          <t>Partial</t>
        </is>
      </c>
      <c r="Q9" s="5" t="inlineStr">
        <is>
          <t>smoke, regression, uat</t>
        </is>
      </c>
      <c r="R9" s="5" t="n"/>
    </row>
    <row r="10">
      <c r="A10" s="5" t="inlineStr">
        <is>
          <t>TC-AUTH-009</t>
        </is>
      </c>
      <c r="B10" s="5" t="inlineStr">
        <is>
          <t>Authentication</t>
        </is>
      </c>
      <c r="C10" s="5" t="inlineStr">
        <is>
          <t>Temporary password</t>
        </is>
      </c>
      <c r="D10" s="5" t="inlineStr">
        <is>
          <t>Temporary password changed successfully</t>
        </is>
      </c>
      <c r="E10" s="5" t="inlineStr">
        <is>
          <t>P1</t>
        </is>
      </c>
      <c r="F10" s="5" t="inlineStr">
        <is>
          <t>Functional</t>
        </is>
      </c>
      <c r="G10" s="5" t="inlineStr">
        <is>
          <t>TD-002 on /change-temporary-password.</t>
        </is>
      </c>
      <c r="H10" s="5" t="inlineStr">
        <is>
          <t>TD-002, TD-008</t>
        </is>
      </c>
      <c r="I10" s="5" t="inlineStr">
        <is>
          <t>Enter a valid 12+ char password twice; submit.</t>
        </is>
      </c>
      <c r="J10" s="5" t="inlineStr">
        <is>
          <t>Change succeeds; app opens /main; next launch does not ask again.</t>
        </is>
      </c>
      <c r="K10" s="5" t="inlineStr">
        <is>
          <t>POST /api/v1/mobile/auth/change-password</t>
        </is>
      </c>
      <c r="L10" s="5" t="inlineStr">
        <is>
          <t>Mobile → Backend → DB</t>
        </is>
      </c>
      <c r="M10" s="5" t="inlineStr">
        <is>
          <t>200 but the flag stays set on next login → Backend/Database.</t>
        </is>
      </c>
      <c r="N10" s="5" t="inlineStr">
        <is>
          <t>Screenshot; debug log lines api.request/api.response/api.error (method, path, status, errorCode, correlationId, dioType, host); timestamp. Mask tokens and phone numbers.</t>
        </is>
      </c>
      <c r="O10" s="5" t="inlineStr">
        <is>
          <t>auth_bloc.dart:186-197</t>
        </is>
      </c>
      <c r="P10" s="5" t="inlineStr">
        <is>
          <t>Partial</t>
        </is>
      </c>
      <c r="Q10" s="5" t="inlineStr">
        <is>
          <t>regression, uat</t>
        </is>
      </c>
      <c r="R10" s="5" t="n"/>
    </row>
    <row r="11">
      <c r="A11" s="5" t="inlineStr">
        <is>
          <t>TC-AUTH-010</t>
        </is>
      </c>
      <c r="B11" s="5" t="inlineStr">
        <is>
          <t>Authentication</t>
        </is>
      </c>
      <c r="C11" s="5" t="inlineStr">
        <is>
          <t>Temporary password</t>
        </is>
      </c>
      <c r="D11" s="5" t="inlineStr">
        <is>
          <t>Pending temporary password survives an app restart</t>
        </is>
      </c>
      <c r="E11" s="5" t="inlineStr">
        <is>
          <t>P1</t>
        </is>
      </c>
      <c r="F11" s="5" t="inlineStr">
        <is>
          <t>Functional</t>
        </is>
      </c>
      <c r="G11" s="5" t="inlineStr">
        <is>
          <t>TD-002 signed in, change not done.</t>
        </is>
      </c>
      <c r="H11" s="5" t="inlineStr">
        <is>
          <t>TD-002</t>
        </is>
      </c>
      <c r="I11" s="5" t="inlineStr">
        <is>
          <t>Kill the app; relaunch.</t>
        </is>
      </c>
      <c r="J11" s="5" t="inlineStr">
        <is>
          <t>Splash routes to /change-temporary-password and shows the current-password field (nothing carried over).</t>
        </is>
      </c>
      <c r="K11" s="5" t="inlineStr">
        <is>
          <t>—</t>
        </is>
      </c>
      <c r="L11" s="5" t="inlineStr">
        <is>
          <t>Mobile</t>
        </is>
      </c>
      <c r="M11" s="5" t="inlineStr"/>
      <c r="N11" s="5" t="inlineStr">
        <is>
          <t>Screenshot (EN + KM where text changes); screen name; device/OS; app version.</t>
        </is>
      </c>
      <c r="O11" s="5" t="inlineStr">
        <is>
          <t>splash_screen.dart:71-76</t>
        </is>
      </c>
      <c r="P11" s="5" t="inlineStr">
        <is>
          <t>Partial</t>
        </is>
      </c>
      <c r="Q11" s="5" t="inlineStr">
        <is>
          <t>regression, uat</t>
        </is>
      </c>
      <c r="R11" s="5" t="n"/>
    </row>
    <row r="12">
      <c r="A12" s="5" t="inlineStr">
        <is>
          <t>TC-AUTH-011</t>
        </is>
      </c>
      <c r="B12" s="5" t="inlineStr">
        <is>
          <t>Authentication</t>
        </is>
      </c>
      <c r="C12" s="5" t="inlineStr">
        <is>
          <t>Forgot password</t>
        </is>
      </c>
      <c r="D12" s="5" t="inlineStr">
        <is>
          <t>Request SMS code (anti-enumeration)</t>
        </is>
      </c>
      <c r="E12" s="5" t="inlineStr">
        <is>
          <t>P1</t>
        </is>
      </c>
      <c r="F12" s="5" t="inlineStr">
        <is>
          <t>Functional</t>
        </is>
      </c>
      <c r="G12" s="5" t="inlineStr">
        <is>
          <t>Signed out, on /forgot-password.</t>
        </is>
      </c>
      <c r="H12" s="5" t="inlineStr">
        <is>
          <t>TD-006, TD-007</t>
        </is>
      </c>
      <c r="I12" s="5" t="inlineStr">
        <is>
          <t>1. Submit empty phone.
2. Submit TD-006.
3. Submit TD-007.</t>
        </is>
      </c>
      <c r="J12" s="5" t="inlineStr">
        <is>
          <t>1. Phone required.
2 &amp; 3. Both report success and open /verify-otp (server answers 200 either way). Only TD-006 receives an SMS.</t>
        </is>
      </c>
      <c r="K12" s="5" t="inlineStr">
        <is>
          <t>POST /api/v1/auth/forgot-password/request</t>
        </is>
      </c>
      <c r="L12" s="5" t="inlineStr">
        <is>
          <t>Mobile → Backend</t>
        </is>
      </c>
      <c r="M12" s="5" t="inlineStr">
        <is>
          <t>No SMS to a registered number with 200 → Backend/SMS gateway (Environment).</t>
        </is>
      </c>
      <c r="N12" s="5" t="inlineStr">
        <is>
          <t>Screenshot; debug log lines api.request/api.response/api.error (method, path, status, errorCode, correlationId, dioType, host); timestamp. Mask tokens and phone numbers.</t>
        </is>
      </c>
      <c r="O12" s="5" t="inlineStr">
        <is>
          <t>forgot_password_screen.dart:44-81</t>
        </is>
      </c>
      <c r="P12" s="5" t="inlineStr">
        <is>
          <t>Automated</t>
        </is>
      </c>
      <c r="Q12" s="5" t="inlineStr">
        <is>
          <t>regression, uat</t>
        </is>
      </c>
      <c r="R12" s="5" t="n"/>
    </row>
    <row r="13">
      <c r="A13" s="5" t="inlineStr">
        <is>
          <t>TC-AUTH-012</t>
        </is>
      </c>
      <c r="B13" s="5" t="inlineStr">
        <is>
          <t>Authentication</t>
        </is>
      </c>
      <c r="C13" s="5" t="inlineStr">
        <is>
          <t>Forgot password</t>
        </is>
      </c>
      <c r="D13" s="5" t="inlineStr">
        <is>
          <t>Verify OTP: incomplete, paste, wrong code</t>
        </is>
      </c>
      <c r="E13" s="5" t="inlineStr">
        <is>
          <t>P1</t>
        </is>
      </c>
      <c r="F13" s="5" t="inlineStr">
        <is>
          <t>Negative</t>
        </is>
      </c>
      <c r="G13" s="5" t="inlineStr">
        <is>
          <t>On /verify-otp for TD-006.</t>
        </is>
      </c>
      <c r="H13" s="5" t="inlineStr">
        <is>
          <t>TD-006</t>
        </is>
      </c>
      <c r="I13" s="5" t="inlineStr">
        <is>
          <t>1. Type 5 digits.
2. Paste “12 34-56”.
3. Enter a wrong 6-digit code.
4. Enter the real code.</t>
        </is>
      </c>
      <c r="J13" s="5" t="inlineStr">
        <is>
          <t>1. auth.otp_incomplete.
2. Digits only kept, auto-submits.
3. Server message or auth.invalid_code; fields cleared.
4. Opens /create-new-password.</t>
        </is>
      </c>
      <c r="K13" s="5" t="inlineStr">
        <is>
          <t>POST /api/v1/auth/forgot-password/verify-otp</t>
        </is>
      </c>
      <c r="L13" s="5" t="inlineStr">
        <is>
          <t>Mobile → Backend</t>
        </is>
      </c>
      <c r="M13" s="5" t="inlineStr">
        <is>
          <t>200 without resetToken is treated as an error by the app → Backend.</t>
        </is>
      </c>
      <c r="N13" s="5" t="inlineStr">
        <is>
          <t>Screenshot; debug log lines api.request/api.response/api.error (method, path, status, errorCode, correlationId, dioType, host); timestamp. Mask tokens and phone numbers.</t>
        </is>
      </c>
      <c r="O13" s="5" t="inlineStr">
        <is>
          <t>verify_screen.dart:82-108; otp_field.dart:46-76</t>
        </is>
      </c>
      <c r="P13" s="5" t="inlineStr">
        <is>
          <t>Partial</t>
        </is>
      </c>
      <c r="Q13" s="5" t="inlineStr">
        <is>
          <t>regression, uat</t>
        </is>
      </c>
      <c r="R13" s="5" t="n"/>
    </row>
    <row r="14">
      <c r="A14" s="5" t="inlineStr">
        <is>
          <t>TC-AUTH-013</t>
        </is>
      </c>
      <c r="B14" s="5" t="inlineStr">
        <is>
          <t>Authentication</t>
        </is>
      </c>
      <c r="C14" s="5" t="inlineStr">
        <is>
          <t>Forgot password</t>
        </is>
      </c>
      <c r="D14" s="5" t="inlineStr">
        <is>
          <t>Resend code cooldown and blocked/expired codes</t>
        </is>
      </c>
      <c r="E14" s="5" t="inlineStr">
        <is>
          <t>P2</t>
        </is>
      </c>
      <c r="F14" s="5" t="inlineStr">
        <is>
          <t>Negative</t>
        </is>
      </c>
      <c r="G14" s="5" t="inlineStr">
        <is>
          <t>On /verify-otp.</t>
        </is>
      </c>
      <c r="H14" s="5" t="inlineStr">
        <is>
          <t>TD-006</t>
        </is>
      </c>
      <c r="I14" s="5" t="inlineStr">
        <is>
          <t>1. Tap Resend.
2. Wait for an expired code / exceed resend limit.</t>
        </is>
      </c>
      <c r="J14" s="5" t="inlineStr">
        <is>
          <t>1. Resend disabled for 30 s (auth.resend_code_in).
2. Server message shown; user stays on screen (no dedicated handling for Auth.VerificationBlocked/Expired/ResendLimitReached).</t>
        </is>
      </c>
      <c r="K14" s="5" t="inlineStr">
        <is>
          <t>POST /api/v1/auth/forgot-password/request</t>
        </is>
      </c>
      <c r="L14" s="5" t="inlineStr">
        <is>
          <t>Mobile → Backend</t>
        </is>
      </c>
      <c r="M14" s="5" t="inlineStr">
        <is>
          <t>Known: resend failure is ignored and the cooldown restarts anyway (verify_screen.dart:111-121) → Mobile.</t>
        </is>
      </c>
      <c r="N14" s="5" t="inlineStr">
        <is>
          <t>Screenshot; debug log lines api.request/api.response/api.error (method, path, status, errorCode, correlationId, dioType, host); timestamp. Mask tokens and phone numbers.</t>
        </is>
      </c>
      <c r="O14" s="5" t="inlineStr">
        <is>
          <t>verify_screen.dart:29-30,111-121</t>
        </is>
      </c>
      <c r="P14" s="5" t="inlineStr">
        <is>
          <t>Planned</t>
        </is>
      </c>
      <c r="Q14" s="5" t="inlineStr">
        <is>
          <t>uat</t>
        </is>
      </c>
      <c r="R14" s="5" t="n"/>
    </row>
    <row r="15">
      <c r="A15" s="5" t="inlineStr">
        <is>
          <t>TC-AUTH-014</t>
        </is>
      </c>
      <c r="B15" s="5" t="inlineStr">
        <is>
          <t>Authentication</t>
        </is>
      </c>
      <c r="C15" s="5" t="inlineStr">
        <is>
          <t>Forgot password</t>
        </is>
      </c>
      <c r="D15" s="5" t="inlineStr">
        <is>
          <t>New password checked against the server policy</t>
        </is>
      </c>
      <c r="E15" s="5" t="inlineStr">
        <is>
          <t>P1</t>
        </is>
      </c>
      <c r="F15" s="5" t="inlineStr">
        <is>
          <t>Negative</t>
        </is>
      </c>
      <c r="G15" s="5" t="inlineStr">
        <is>
          <t>On /create-new-password with a valid grant.</t>
        </is>
      </c>
      <c r="H15" s="5" t="inlineStr">
        <is>
          <t>TD-008</t>
        </is>
      </c>
      <c r="I15" s="5" t="inlineStr">
        <is>
          <t>Try passwords violating min, max, uppercase, lowercase, number, special in turn; then a mismatched confirm.</t>
        </is>
      </c>
      <c r="J15" s="5" t="inlineStr">
        <is>
          <t>Errors in order: auth.password_min_length, _max_length, _needs_* ; confirm mismatch error.</t>
        </is>
      </c>
      <c r="K15" s="5" t="inlineStr">
        <is>
          <t>—</t>
        </is>
      </c>
      <c r="L15" s="5" t="inlineStr">
        <is>
          <t>Mobile</t>
        </is>
      </c>
      <c r="M15" s="5" t="inlineStr"/>
      <c r="N15" s="5" t="inlineStr">
        <is>
          <t>Screenshot (EN + KM where text changes); screen name; device/OS; app version.</t>
        </is>
      </c>
      <c r="O15" s="5" t="inlineStr">
        <is>
          <t>create_new_password_screen.dart:84-99; password_reset_grant.dart:47-62</t>
        </is>
      </c>
      <c r="P15" s="5" t="inlineStr">
        <is>
          <t>Automated</t>
        </is>
      </c>
      <c r="Q15" s="5" t="inlineStr">
        <is>
          <t>regression, uat</t>
        </is>
      </c>
      <c r="R15" s="5" t="n"/>
    </row>
    <row r="16">
      <c r="A16" s="5" t="inlineStr">
        <is>
          <t>TC-AUTH-015</t>
        </is>
      </c>
      <c r="B16" s="5" t="inlineStr">
        <is>
          <t>Authentication</t>
        </is>
      </c>
      <c r="C16" s="5" t="inlineStr">
        <is>
          <t>Forgot password</t>
        </is>
      </c>
      <c r="D16" s="5" t="inlineStr">
        <is>
          <t>Reset succeeds and returns to login</t>
        </is>
      </c>
      <c r="E16" s="5" t="inlineStr">
        <is>
          <t>P1</t>
        </is>
      </c>
      <c r="F16" s="5" t="inlineStr">
        <is>
          <t>Functional</t>
        </is>
      </c>
      <c r="G16" s="5" t="inlineStr">
        <is>
          <t>Valid password on /create-new-password.</t>
        </is>
      </c>
      <c r="H16" s="5" t="inlineStr">
        <is>
          <t>TD-006, TD-008</t>
        </is>
      </c>
      <c r="I16" s="5" t="inlineStr">
        <is>
          <t>Submit; tap Back to login; sign in with the new password.</t>
        </is>
      </c>
      <c r="J16" s="5" t="inlineStr">
        <is>
          <t>/reset-password-success then /login with stack cleared; login works; other sessions are signed out.</t>
        </is>
      </c>
      <c r="K16" s="5" t="inlineStr">
        <is>
          <t>POST /api/v1/auth/forgot-password/reset</t>
        </is>
      </c>
      <c r="L16" s="5" t="inlineStr">
        <is>
          <t>Mobile → Backend → DB</t>
        </is>
      </c>
      <c r="M16" s="5" t="inlineStr">
        <is>
          <t>Reset 200 but old password still works → Backend.</t>
        </is>
      </c>
      <c r="N16" s="5" t="inlineStr">
        <is>
          <t>Screenshot; debug log lines api.request/api.response/api.error (method, path, status, errorCode, correlationId, dioType, host); timestamp. Mask tokens and phone numbers.</t>
        </is>
      </c>
      <c r="O16" s="5" t="inlineStr">
        <is>
          <t>app_page.dart:149-226</t>
        </is>
      </c>
      <c r="P16" s="5" t="inlineStr">
        <is>
          <t>Planned</t>
        </is>
      </c>
      <c r="Q16" s="5" t="inlineStr">
        <is>
          <t>uat</t>
        </is>
      </c>
      <c r="R16" s="5" t="n"/>
    </row>
    <row r="17">
      <c r="A17" s="5" t="inlineStr">
        <is>
          <t>TC-AUTH-016</t>
        </is>
      </c>
      <c r="B17" s="5" t="inlineStr">
        <is>
          <t>Authentication</t>
        </is>
      </c>
      <c r="C17" s="5" t="inlineStr">
        <is>
          <t>Login</t>
        </is>
      </c>
      <c r="D17" s="5" t="inlineStr">
        <is>
          <t>Remember me keeps the phone, never the password</t>
        </is>
      </c>
      <c r="E17" s="5" t="inlineStr">
        <is>
          <t>P2</t>
        </is>
      </c>
      <c r="F17" s="5" t="inlineStr">
        <is>
          <t>Functional</t>
        </is>
      </c>
      <c r="G17" s="5" t="inlineStr">
        <is>
          <t>On /login.</t>
        </is>
      </c>
      <c r="H17" s="5" t="inlineStr">
        <is>
          <t>TD-001</t>
        </is>
      </c>
      <c r="I17" s="5" t="inlineStr">
        <is>
          <t>Tick Remember me; sign in; sign out; relaunch. Then untick and repeat.</t>
        </is>
      </c>
      <c r="J17" s="5" t="inlineStr">
        <is>
          <t>Phone pre-filled, password empty. Unticked → phone forgotten.</t>
        </is>
      </c>
      <c r="K17" s="5" t="inlineStr">
        <is>
          <t>—</t>
        </is>
      </c>
      <c r="L17" s="5" t="inlineStr">
        <is>
          <t>Mobile</t>
        </is>
      </c>
      <c r="M17" s="5" t="inlineStr"/>
      <c r="N17" s="5" t="inlineStr">
        <is>
          <t>Screenshot (EN + KM where text changes); screen name; device/OS; app version.</t>
        </is>
      </c>
      <c r="O17" s="5" t="inlineStr">
        <is>
          <t>login_screen.dart:61-69</t>
        </is>
      </c>
      <c r="P17" s="5" t="inlineStr">
        <is>
          <t>Automated</t>
        </is>
      </c>
      <c r="Q17" s="5" t="inlineStr">
        <is>
          <t>regression, uat</t>
        </is>
      </c>
      <c r="R17" s="5" t="n"/>
    </row>
    <row r="18">
      <c r="A18" s="5" t="inlineStr">
        <is>
          <t>TC-AUTH-017</t>
        </is>
      </c>
      <c r="B18" s="5" t="inlineStr">
        <is>
          <t>Authentication</t>
        </is>
      </c>
      <c r="C18" s="5" t="inlineStr">
        <is>
          <t>Guest</t>
        </is>
      </c>
      <c r="D18" s="5" t="inlineStr">
        <is>
          <t>Continue as guest</t>
        </is>
      </c>
      <c r="E18" s="5" t="inlineStr">
        <is>
          <t>P2</t>
        </is>
      </c>
      <c r="F18" s="5" t="inlineStr">
        <is>
          <t>Functional</t>
        </is>
      </c>
      <c r="G18" s="5" t="inlineStr">
        <is>
          <t>On /login from first launch.</t>
        </is>
      </c>
      <c r="H18" s="5" t="inlineStr"/>
      <c r="I18" s="5" t="inlineStr">
        <is>
          <t>Tap Continue as guest.</t>
        </is>
      </c>
      <c r="J18" s="5" t="inlineStr">
        <is>
          <t>Guest home with no app bar; any work area asks to sign in.</t>
        </is>
      </c>
      <c r="K18" s="5" t="inlineStr">
        <is>
          <t>—</t>
        </is>
      </c>
      <c r="L18" s="5" t="inlineStr">
        <is>
          <t>Mobile</t>
        </is>
      </c>
      <c r="M18" s="5" t="inlineStr"/>
      <c r="N18" s="5" t="inlineStr">
        <is>
          <t>Screenshot (EN + KM where text changes); screen name; device/OS; app version.</t>
        </is>
      </c>
      <c r="O18" s="5" t="inlineStr">
        <is>
          <t>login_screen.dart:98-105</t>
        </is>
      </c>
      <c r="P18" s="5" t="inlineStr">
        <is>
          <t>Automated</t>
        </is>
      </c>
      <c r="Q18" s="5" t="inlineStr">
        <is>
          <t>regression, uat</t>
        </is>
      </c>
      <c r="R18" s="5" t="n"/>
    </row>
    <row r="19">
      <c r="A19" s="5" t="inlineStr">
        <is>
          <t>TC-AUTH-018</t>
        </is>
      </c>
      <c r="B19" s="5" t="inlineStr">
        <is>
          <t>Authentication</t>
        </is>
      </c>
      <c r="C19" s="5" t="inlineStr">
        <is>
          <t>Login</t>
        </is>
      </c>
      <c r="D19" s="5" t="inlineStr">
        <is>
          <t>Profile read fails right after login</t>
        </is>
      </c>
      <c r="E19" s="5" t="inlineStr">
        <is>
          <t>P2</t>
        </is>
      </c>
      <c r="F19" s="5" t="inlineStr">
        <is>
          <t>Negative</t>
        </is>
      </c>
      <c r="G19" s="5" t="inlineStr">
        <is>
          <t>Login succeeds; GET /auth/me fails (e.g. backend 500).</t>
        </is>
      </c>
      <c r="H19" s="5" t="inlineStr"/>
      <c r="I19" s="5" t="inlineStr">
        <is>
          <t>Sign in.</t>
        </is>
      </c>
      <c r="J19" s="5" t="inlineStr">
        <is>
          <t>Tokens wiped; failure shown; user stays signed out.</t>
        </is>
      </c>
      <c r="K19" s="5" t="inlineStr">
        <is>
          <t>GET /api/v1/auth/me</t>
        </is>
      </c>
      <c r="L19" s="5" t="inlineStr">
        <is>
          <t>Mobile → Backend</t>
        </is>
      </c>
      <c r="M19" s="5" t="inlineStr">
        <is>
          <t>Login 200 + /auth/me 5xx → Backend.</t>
        </is>
      </c>
      <c r="N19" s="5" t="inlineStr">
        <is>
          <t>Screenshot; debug log lines api.request/api.response/api.error (method, path, status, errorCode, correlationId, dioType, host); timestamp. Mask tokens and phone numbers.</t>
        </is>
      </c>
      <c r="O19" s="5" t="inlineStr">
        <is>
          <t>auth_repository_impl.dart:119-123</t>
        </is>
      </c>
      <c r="P19" s="5" t="inlineStr">
        <is>
          <t>Automated</t>
        </is>
      </c>
      <c r="Q19" s="5" t="inlineStr">
        <is>
          <t>regression, uat</t>
        </is>
      </c>
      <c r="R19" s="5" t="n"/>
    </row>
    <row r="20">
      <c r="A20" s="5" t="inlineStr">
        <is>
          <t>TC-AUTH-019</t>
        </is>
      </c>
      <c r="B20" s="5" t="inlineStr">
        <is>
          <t>Authentication</t>
        </is>
      </c>
      <c r="C20" s="5" t="inlineStr">
        <is>
          <t>Login</t>
        </is>
      </c>
      <c r="D20" s="5" t="inlineStr">
        <is>
          <t>Five wrong passwords lock the account (backend rule)</t>
        </is>
      </c>
      <c r="E20" s="5" t="inlineStr">
        <is>
          <t>P2</t>
        </is>
      </c>
      <c r="F20" s="5" t="inlineStr">
        <is>
          <t>Security</t>
        </is>
      </c>
      <c r="G20" s="5" t="inlineStr">
        <is>
          <t>Throwaway account.</t>
        </is>
      </c>
      <c r="H20" s="5" t="inlineStr"/>
      <c r="I20" s="5" t="inlineStr">
        <is>
          <t>Enter a wrong password 5 times.</t>
        </is>
      </c>
      <c r="J20" s="5" t="inlineStr">
        <is>
          <t>Account locked; message Auth.AccountLocked. App never retries on its own.</t>
        </is>
      </c>
      <c r="K20" s="5" t="inlineStr">
        <is>
          <t>POST /api/v1/mobile/auth/login</t>
        </is>
      </c>
      <c r="L20" s="5" t="inlineStr">
        <is>
          <t>Mobile → Backend → DB</t>
        </is>
      </c>
      <c r="M20" s="5" t="inlineStr">
        <is>
          <t>Lockout is server-side (comment auth_bloc.dart:173) → a missing lock is Backend.</t>
        </is>
      </c>
      <c r="N20" s="5" t="inlineStr">
        <is>
          <t>Screenshot; debug log lines api.request/api.response/api.error (method, path, status, errorCode, correlationId, dioType, host); timestamp. Mask tokens and phone numbers.</t>
        </is>
      </c>
      <c r="O20" s="5" t="inlineStr">
        <is>
          <t>auth_bloc.dart:173</t>
        </is>
      </c>
      <c r="P20" s="5" t="inlineStr">
        <is>
          <t>Planned</t>
        </is>
      </c>
      <c r="Q20" s="5" t="inlineStr">
        <is>
          <t>uat</t>
        </is>
      </c>
      <c r="R20" s="5" t="n"/>
    </row>
    <row r="21">
      <c r="A21" s="5" t="inlineStr">
        <is>
          <t>TC-AUTH-020</t>
        </is>
      </c>
      <c r="B21" s="5" t="inlineStr">
        <is>
          <t>Authentication</t>
        </is>
      </c>
      <c r="C21" s="5" t="inlineStr">
        <is>
          <t>Forgot password</t>
        </is>
      </c>
      <c r="D21" s="5" t="inlineStr">
        <is>
          <t>Offline error in the reset flow is shown in Khmer</t>
        </is>
      </c>
      <c r="E21" s="5" t="inlineStr">
        <is>
          <t>P2</t>
        </is>
      </c>
      <c r="F21" s="5" t="inlineStr">
        <is>
          <t>Localization</t>
        </is>
      </c>
      <c r="G21" s="5" t="inlineStr">
        <is>
          <t>Khmer; airplane mode.</t>
        </is>
      </c>
      <c r="H21" s="5" t="inlineStr"/>
      <c r="I21" s="5" t="inlineStr">
        <is>
          <t>Forgot password → submit a phone.</t>
        </is>
      </c>
      <c r="J21" s="5" t="inlineStr">
        <is>
          <t>Message in Khmer. CURRENT CODE shows English “No internet connection.” (f.message shown as-is).</t>
        </is>
      </c>
      <c r="K21" s="5" t="inlineStr">
        <is>
          <t>—</t>
        </is>
      </c>
      <c r="L21" s="5" t="inlineStr">
        <is>
          <t>Mobile</t>
        </is>
      </c>
      <c r="M21" s="5" t="inlineStr">
        <is>
          <t>English text → Mobile (app_page.dart:139,165,245).</t>
        </is>
      </c>
      <c r="N21" s="5" t="inlineStr">
        <is>
          <t>Screenshot (EN + KM where text changes); screen name; device/OS; app version.</t>
        </is>
      </c>
      <c r="O21" s="5" t="inlineStr">
        <is>
          <t>app_page.dart:139,165,245</t>
        </is>
      </c>
      <c r="P21" s="5" t="inlineStr">
        <is>
          <t>Planned</t>
        </is>
      </c>
      <c r="Q21" s="5" t="inlineStr">
        <is>
          <t>uat</t>
        </is>
      </c>
      <c r="R21" s="5" t="n"/>
    </row>
    <row r="22">
      <c r="A22" s="5" t="inlineStr">
        <is>
          <t>TC-SES-001</t>
        </is>
      </c>
      <c r="B22" s="5" t="inlineStr">
        <is>
          <t>Session</t>
        </is>
      </c>
      <c r="C22" s="5" t="inlineStr">
        <is>
          <t>Restore</t>
        </is>
      </c>
      <c r="D22" s="5" t="inlineStr">
        <is>
          <t>Signed-in rep reopens the app offline</t>
        </is>
      </c>
      <c r="E22" s="5" t="inlineStr">
        <is>
          <t>P1</t>
        </is>
      </c>
      <c r="F22" s="5" t="inlineStr">
        <is>
          <t>Offline</t>
        </is>
      </c>
      <c r="G22" s="5" t="inlineStr">
        <is>
          <t>TD-001 signed in; airplane mode.</t>
        </is>
      </c>
      <c r="H22" s="5" t="inlineStr">
        <is>
          <t>TD-001</t>
        </is>
      </c>
      <c r="I22" s="5" t="inlineStr">
        <is>
          <t>Kill and relaunch.</t>
        </is>
      </c>
      <c r="J22" s="5" t="inlineStr">
        <is>
          <t>Opens signed in from the cached profile; no network call needed.</t>
        </is>
      </c>
      <c r="K22" s="5" t="inlineStr">
        <is>
          <t>—</t>
        </is>
      </c>
      <c r="L22" s="5" t="inlineStr">
        <is>
          <t>Mobile</t>
        </is>
      </c>
      <c r="M22" s="5" t="inlineStr"/>
      <c r="N22" s="5" t="inlineStr">
        <is>
          <t>Screenshot of the offline state; Sync Center / pending sheet before and after reconnect; api.* log lines after reconnect (correlationId).</t>
        </is>
      </c>
      <c r="O22" s="5" t="inlineStr">
        <is>
          <t>auth_repository_impl.dart:142-182</t>
        </is>
      </c>
      <c r="P22" s="5" t="inlineStr">
        <is>
          <t>Planned</t>
        </is>
      </c>
      <c r="Q22" s="5" t="inlineStr">
        <is>
          <t>uat</t>
        </is>
      </c>
      <c r="R22" s="5" t="n"/>
    </row>
    <row r="23">
      <c r="A23" s="5" t="inlineStr">
        <is>
          <t>TC-SES-002</t>
        </is>
      </c>
      <c r="B23" s="5" t="inlineStr">
        <is>
          <t>Session</t>
        </is>
      </c>
      <c r="C23" s="5" t="inlineStr">
        <is>
          <t>Token refresh</t>
        </is>
      </c>
      <c r="D23" s="5" t="inlineStr">
        <is>
          <t>Expired access token refreshes once and replays</t>
        </is>
      </c>
      <c r="E23" s="5" t="inlineStr">
        <is>
          <t>P1</t>
        </is>
      </c>
      <c r="F23" s="5" t="inlineStr">
        <is>
          <t>API</t>
        </is>
      </c>
      <c r="G23" s="5" t="inlineStr">
        <is>
          <t>Signed in; wait &gt; 15 min (access token lifetime 899 s).</t>
        </is>
      </c>
      <c r="H23" s="5" t="inlineStr"/>
      <c r="I23" s="5" t="inlineStr">
        <is>
          <t>Open any list that calls the API.</t>
        </is>
      </c>
      <c r="J23" s="5" t="inlineStr">
        <is>
          <t>One POST refresh-token; original request replayed; screen loads. Parallel 401s share one refresh.</t>
        </is>
      </c>
      <c r="K23" s="5" t="inlineStr">
        <is>
          <t>POST /api/v1/mobile/auth/refresh-token</t>
        </is>
      </c>
      <c r="L23" s="5" t="inlineStr">
        <is>
          <t>Mobile → Backend</t>
        </is>
      </c>
      <c r="M23" s="5" t="inlineStr">
        <is>
          <t>Refresh 400 after a single legitimate rotation → Backend. Two refreshes in parallel → Mobile.</t>
        </is>
      </c>
      <c r="N23" s="5" t="inlineStr">
        <is>
          <t>Screenshot; debug log lines api.request/api.response/api.error (method, path, status, errorCode, correlationId, dioType, host); timestamp. Mask tokens and phone numbers.</t>
        </is>
      </c>
      <c r="O23" s="5" t="inlineStr">
        <is>
          <t>auth_interceptor.dart:97-151,226-271</t>
        </is>
      </c>
      <c r="P23" s="5" t="inlineStr">
        <is>
          <t>Automated</t>
        </is>
      </c>
      <c r="Q23" s="5" t="inlineStr">
        <is>
          <t>smoke, regression, uat</t>
        </is>
      </c>
      <c r="R23" s="5" t="n"/>
    </row>
    <row r="24">
      <c r="A24" s="5" t="inlineStr">
        <is>
          <t>TC-SES-003</t>
        </is>
      </c>
      <c r="B24" s="5" t="inlineStr">
        <is>
          <t>Session</t>
        </is>
      </c>
      <c r="C24" s="5" t="inlineStr">
        <is>
          <t>Token refresh</t>
        </is>
      </c>
      <c r="D24" s="5" t="inlineStr">
        <is>
          <t>403 never signs the rep out</t>
        </is>
      </c>
      <c r="E24" s="5" t="inlineStr">
        <is>
          <t>P1</t>
        </is>
      </c>
      <c r="F24" s="5" t="inlineStr">
        <is>
          <t>Security</t>
        </is>
      </c>
      <c r="G24" s="5" t="inlineStr">
        <is>
          <t>Signed in as a role without one permission.</t>
        </is>
      </c>
      <c r="H24" s="5" t="inlineStr"/>
      <c r="I24" s="5" t="inlineStr">
        <is>
          <t>Open the forbidden area.</t>
        </is>
      </c>
      <c r="J24" s="5" t="inlineStr">
        <is>
          <t>“You do not have access to this action.”; no refresh, no sign-out.</t>
        </is>
      </c>
      <c r="K24" s="5" t="inlineStr">
        <is>
          <t>any → 403</t>
        </is>
      </c>
      <c r="L24" s="5" t="inlineStr">
        <is>
          <t>Mobile → Backend</t>
        </is>
      </c>
      <c r="M24" s="5" t="inlineStr"/>
      <c r="N24" s="5" t="inlineStr">
        <is>
          <t>Screenshot; debug log lines api.request/api.response/api.error (method, path, status, errorCode, correlationId, dioType, host); timestamp. Mask tokens and phone numbers.</t>
        </is>
      </c>
      <c r="O24" s="5" t="inlineStr">
        <is>
          <t>auth_interceptor.dart:181-186</t>
        </is>
      </c>
      <c r="P24" s="5" t="inlineStr">
        <is>
          <t>Automated</t>
        </is>
      </c>
      <c r="Q24" s="5" t="inlineStr">
        <is>
          <t>regression, uat</t>
        </is>
      </c>
      <c r="R24" s="5" t="n"/>
    </row>
    <row r="25">
      <c r="A25" s="5" t="inlineStr">
        <is>
          <t>TC-SES-004</t>
        </is>
      </c>
      <c r="B25" s="5" t="inlineStr">
        <is>
          <t>Session</t>
        </is>
      </c>
      <c r="C25" s="5" t="inlineStr">
        <is>
          <t>Token refresh</t>
        </is>
      </c>
      <c r="D25" s="5" t="inlineStr">
        <is>
          <t>Refresh rejected ends the session</t>
        </is>
      </c>
      <c r="E25" s="5" t="inlineStr">
        <is>
          <t>P1</t>
        </is>
      </c>
      <c r="F25" s="5" t="inlineStr">
        <is>
          <t>Security</t>
        </is>
      </c>
      <c r="G25" s="5" t="inlineStr">
        <is>
          <t>Signed in; revoke the session in the portal.</t>
        </is>
      </c>
      <c r="H25" s="5" t="inlineStr"/>
      <c r="I25" s="5" t="inlineStr">
        <is>
          <t>Trigger any API call after expiry.</t>
        </is>
      </c>
      <c r="J25" s="5" t="inlineStr">
        <is>
          <t>Tokens cleared; protected calls answer “Your session expired. Please sign in again.”</t>
        </is>
      </c>
      <c r="K25" s="5" t="inlineStr">
        <is>
          <t>POST /api/v1/mobile/auth/refresh-token → 400/401</t>
        </is>
      </c>
      <c r="L25" s="5" t="inlineStr">
        <is>
          <t>Mobile → Backend</t>
        </is>
      </c>
      <c r="M25" s="5" t="inlineStr">
        <is>
          <t>Known gap: nothing navigates to login on expiry — user stays on screen while calls fail (TC-SES-009).</t>
        </is>
      </c>
      <c r="N25" s="5" t="inlineStr">
        <is>
          <t>Screenshot; debug log lines api.request/api.response/api.error (method, path, status, errorCode, correlationId, dioType, host); timestamp. Mask tokens and phone numbers.</t>
        </is>
      </c>
      <c r="O25" s="5" t="inlineStr">
        <is>
          <t>auth_interceptor.dart:132-137; session_manager.dart:182-188</t>
        </is>
      </c>
      <c r="P25" s="5" t="inlineStr">
        <is>
          <t>Automated</t>
        </is>
      </c>
      <c r="Q25" s="5" t="inlineStr">
        <is>
          <t>smoke, regression, uat</t>
        </is>
      </c>
      <c r="R25" s="5" t="n"/>
    </row>
    <row r="26">
      <c r="A26" s="5" t="inlineStr">
        <is>
          <t>TC-SES-005</t>
        </is>
      </c>
      <c r="B26" s="5" t="inlineStr">
        <is>
          <t>Session</t>
        </is>
      </c>
      <c r="C26" s="5" t="inlineStr">
        <is>
          <t>Sign out</t>
        </is>
      </c>
      <c r="D26" s="5" t="inlineStr">
        <is>
          <t>Sign-out blocked while work is unsent</t>
        </is>
      </c>
      <c r="E26" s="5" t="inlineStr">
        <is>
          <t>P1</t>
        </is>
      </c>
      <c r="F26" s="5" t="inlineStr">
        <is>
          <t>Functional</t>
        </is>
      </c>
      <c r="G26" s="5" t="inlineStr">
        <is>
          <t>Offline; one unsynced check-in or depot.</t>
        </is>
      </c>
      <c r="H26" s="5" t="inlineStr">
        <is>
          <t>TD-001</t>
        </is>
      </c>
      <c r="I26" s="5" t="inlineStr">
        <is>
          <t>Profile → Log out.</t>
        </is>
      </c>
      <c r="J26" s="5" t="inlineStr">
        <is>
          <t>Unsent-work dialog with the count; Open Sync Center opens the pending sheet; sign-out continues only when nothing is left.</t>
        </is>
      </c>
      <c r="K26" s="5" t="inlineStr">
        <is>
          <t>—</t>
        </is>
      </c>
      <c r="L26" s="5" t="inlineStr">
        <is>
          <t>Mobile</t>
        </is>
      </c>
      <c r="M26" s="5" t="inlineStr"/>
      <c r="N26" s="5" t="inlineStr">
        <is>
          <t>Screenshot of the offline state; Sync Center / pending sheet before and after reconnect; api.* log lines after reconnect (correlationId).</t>
        </is>
      </c>
      <c r="O26" s="5" t="inlineStr">
        <is>
          <t>profile_screen.dart:58-96; auth_bloc.dart:248-254</t>
        </is>
      </c>
      <c r="P26" s="5" t="inlineStr">
        <is>
          <t>Automated</t>
        </is>
      </c>
      <c r="Q26" s="5" t="inlineStr">
        <is>
          <t>smoke, regression, uat</t>
        </is>
      </c>
      <c r="R26" s="5" t="n"/>
    </row>
    <row r="27">
      <c r="A27" s="5" t="inlineStr">
        <is>
          <t>TC-SES-006</t>
        </is>
      </c>
      <c r="B27" s="5" t="inlineStr">
        <is>
          <t>Session</t>
        </is>
      </c>
      <c r="C27" s="5" t="inlineStr">
        <is>
          <t>Sign out</t>
        </is>
      </c>
      <c r="D27" s="5" t="inlineStr">
        <is>
          <t>A different rep signing in wipes local data</t>
        </is>
      </c>
      <c r="E27" s="5" t="inlineStr">
        <is>
          <t>P1</t>
        </is>
      </c>
      <c r="F27" s="5" t="inlineStr">
        <is>
          <t>Security</t>
        </is>
      </c>
      <c r="G27" s="5" t="inlineStr">
        <is>
          <t>TD-001 signed in with synced data.</t>
        </is>
      </c>
      <c r="H27" s="5" t="inlineStr">
        <is>
          <t>TD-001, TD-005</t>
        </is>
      </c>
      <c r="I27" s="5" t="inlineStr">
        <is>
          <t>Sign out; sign in as TD-005.</t>
        </is>
      </c>
      <c r="J27" s="5" t="inlineStr">
        <is>
          <t>No depots, visits or orders of TD-001 visible. Same rep signing back in keeps data.</t>
        </is>
      </c>
      <c r="K27" s="5" t="inlineStr">
        <is>
          <t>—</t>
        </is>
      </c>
      <c r="L27" s="5" t="inlineStr">
        <is>
          <t>Mobile</t>
        </is>
      </c>
      <c r="M27" s="5" t="inlineStr"/>
      <c r="N27" s="5" t="inlineStr">
        <is>
          <t>Screenshot (EN + KM where text changes); screen name; device/OS; app version.</t>
        </is>
      </c>
      <c r="O27" s="5" t="inlineStr">
        <is>
          <t>auth_bloc.dart:310-321</t>
        </is>
      </c>
      <c r="P27" s="5" t="inlineStr">
        <is>
          <t>Automated</t>
        </is>
      </c>
      <c r="Q27" s="5" t="inlineStr">
        <is>
          <t>regression, uat</t>
        </is>
      </c>
      <c r="R27" s="5" t="n"/>
    </row>
    <row r="28">
      <c r="A28" s="5" t="inlineStr">
        <is>
          <t>TC-SES-007</t>
        </is>
      </c>
      <c r="B28" s="5" t="inlineStr">
        <is>
          <t>Session</t>
        </is>
      </c>
      <c r="C28" s="5" t="inlineStr">
        <is>
          <t>Sign out</t>
        </is>
      </c>
      <c r="D28" s="5" t="inlineStr">
        <is>
          <t>Sign-out deregisters push and revokes the session</t>
        </is>
      </c>
      <c r="E28" s="5" t="inlineStr">
        <is>
          <t>P1</t>
        </is>
      </c>
      <c r="F28" s="5" t="inlineStr">
        <is>
          <t>Security</t>
        </is>
      </c>
      <c r="G28" s="5" t="inlineStr">
        <is>
          <t>Online, nothing unsent.</t>
        </is>
      </c>
      <c r="H28" s="5" t="inlineStr"/>
      <c r="I28" s="5" t="inlineStr">
        <is>
          <t>Profile → Log out → confirm. Send a push to TD-001 afterwards.</t>
        </is>
      </c>
      <c r="J28" s="5" t="inlineStr">
        <is>
          <t>Device DELETE before token clear; server logout fire-and-forget; app restarts as guest; no push arrives.</t>
        </is>
      </c>
      <c r="K28" s="5" t="inlineStr">
        <is>
          <t>DELETE /api/v1/mobile/devices/{id}; POST /api/v1/auth/logout</t>
        </is>
      </c>
      <c r="L28" s="5" t="inlineStr">
        <is>
          <t>Mobile → Backend → DB</t>
        </is>
      </c>
      <c r="M28" s="5" t="inlineStr">
        <is>
          <t>Push still arrives after a 2xx DELETE → Backend.</t>
        </is>
      </c>
      <c r="N28" s="5" t="inlineStr">
        <is>
          <t>Screenshot; debug log lines api.request/api.response/api.error (method, path, status, errorCode, correlationId, dioType, host); timestamp. Mask tokens and phone numbers.</t>
        </is>
      </c>
      <c r="O28" s="5" t="inlineStr">
        <is>
          <t>auth_bloc.dart:270-305</t>
        </is>
      </c>
      <c r="P28" s="5" t="inlineStr">
        <is>
          <t>Automated</t>
        </is>
      </c>
      <c r="Q28" s="5" t="inlineStr">
        <is>
          <t>regression, uat</t>
        </is>
      </c>
      <c r="R28" s="5" t="n"/>
    </row>
    <row r="29">
      <c r="A29" s="5" t="inlineStr">
        <is>
          <t>TC-SES-008</t>
        </is>
      </c>
      <c r="B29" s="5" t="inlineStr">
        <is>
          <t>Session</t>
        </is>
      </c>
      <c r="C29" s="5" t="inlineStr">
        <is>
          <t>Token refresh</t>
        </is>
      </c>
      <c r="D29" s="5" t="inlineStr">
        <is>
          <t>Transient refresh failure keeps the session</t>
        </is>
      </c>
      <c r="E29" s="5" t="inlineStr">
        <is>
          <t>P2</t>
        </is>
      </c>
      <c r="F29" s="5" t="inlineStr">
        <is>
          <t>Offline</t>
        </is>
      </c>
      <c r="G29" s="5" t="inlineStr">
        <is>
          <t>Access token expired; go offline.</t>
        </is>
      </c>
      <c r="H29" s="5" t="inlineStr"/>
      <c r="I29" s="5" t="inlineStr">
        <is>
          <t>Open a list.</t>
        </is>
      </c>
      <c r="J29" s="5" t="inlineStr">
        <is>
          <t>Request fails as a network error; rep is NOT signed out; works again when online.</t>
        </is>
      </c>
      <c r="K29" s="5" t="inlineStr">
        <is>
          <t>—</t>
        </is>
      </c>
      <c r="L29" s="5" t="inlineStr">
        <is>
          <t>Mobile</t>
        </is>
      </c>
      <c r="M29" s="5" t="inlineStr"/>
      <c r="N29" s="5" t="inlineStr">
        <is>
          <t>Screenshot of the offline state; Sync Center / pending sheet before and after reconnect; api.* log lines after reconnect (correlationId).</t>
        </is>
      </c>
      <c r="O29" s="5" t="inlineStr">
        <is>
          <t>auth_interceptor.dart:139-150</t>
        </is>
      </c>
      <c r="P29" s="5" t="inlineStr">
        <is>
          <t>Automated</t>
        </is>
      </c>
      <c r="Q29" s="5" t="inlineStr">
        <is>
          <t>regression, uat</t>
        </is>
      </c>
      <c r="R29" s="5" t="n"/>
    </row>
    <row r="30">
      <c r="A30" s="5" t="inlineStr">
        <is>
          <t>TC-SES-009</t>
        </is>
      </c>
      <c r="B30" s="5" t="inlineStr">
        <is>
          <t>Session</t>
        </is>
      </c>
      <c r="C30" s="5" t="inlineStr">
        <is>
          <t>Session expiry</t>
        </is>
      </c>
      <c r="D30" s="5" t="inlineStr">
        <is>
          <t>What the rep sees after the session expires</t>
        </is>
      </c>
      <c r="E30" s="5" t="inlineStr">
        <is>
          <t>P1</t>
        </is>
      </c>
      <c r="F30" s="5" t="inlineStr">
        <is>
          <t>UI</t>
        </is>
      </c>
      <c r="G30" s="5" t="inlineStr">
        <is>
          <t>Session revoked server-side.</t>
        </is>
      </c>
      <c r="H30" s="5" t="inlineStr"/>
      <c r="I30" s="5" t="inlineStr">
        <is>
          <t>Use the app for 2 minutes.</t>
        </is>
      </c>
      <c r="J30" s="5" t="inlineStr">
        <is>
          <t>EXPECTED BY BUSINESS (to confirm): rep is taken to login. CURRENT CODE: stays on screen, calls fail with the expiry message.</t>
        </is>
      </c>
      <c r="K30" s="5" t="inlineStr">
        <is>
          <t>—</t>
        </is>
      </c>
      <c r="L30" s="5" t="inlineStr">
        <is>
          <t>Mobile → Backend</t>
        </is>
      </c>
      <c r="M30" s="5" t="inlineStr">
        <is>
          <t>If no redirect → Mobile (no listener on sessionExpired navigates).</t>
        </is>
      </c>
      <c r="N30" s="5" t="inlineStr">
        <is>
          <t>Screenshot (EN + KM where text changes); screen name; device/OS; app version.</t>
        </is>
      </c>
      <c r="O30" s="5" t="inlineStr">
        <is>
          <t>protected_feature.dart:89-103; session_manager.dart</t>
        </is>
      </c>
      <c r="P30" s="5" t="inlineStr">
        <is>
          <t>Planned</t>
        </is>
      </c>
      <c r="Q30" s="5" t="inlineStr">
        <is>
          <t>uat</t>
        </is>
      </c>
      <c r="R30" s="5" t="n"/>
    </row>
    <row r="31">
      <c r="A31" s="5" t="inlineStr">
        <is>
          <t>TC-SES-010</t>
        </is>
      </c>
      <c r="B31" s="5" t="inlineStr">
        <is>
          <t>Session</t>
        </is>
      </c>
      <c r="C31" s="5" t="inlineStr">
        <is>
          <t>Session reset</t>
        </is>
      </c>
      <c r="D31" s="5" t="inlineStr">
        <is>
          <t>Sign-out clears every rep-scoped store</t>
        </is>
      </c>
      <c r="E31" s="5" t="inlineStr">
        <is>
          <t>P1</t>
        </is>
      </c>
      <c r="F31" s="5" t="inlineStr">
        <is>
          <t>Security</t>
        </is>
      </c>
      <c r="G31" s="5" t="inlineStr">
        <is>
          <t>Signed in with depots, visits, quotations cached.</t>
        </is>
      </c>
      <c r="H31" s="5" t="inlineStr"/>
      <c r="I31" s="5" t="inlineStr">
        <is>
          <t>Sign out; sign in as guest; open each tab.</t>
        </is>
      </c>
      <c r="J31" s="5" t="inlineStr">
        <is>
          <t>No previous rep data anywhere; session stores reset.</t>
        </is>
      </c>
      <c r="K31" s="5" t="inlineStr">
        <is>
          <t>—</t>
        </is>
      </c>
      <c r="L31" s="5" t="inlineStr">
        <is>
          <t>Mobile</t>
        </is>
      </c>
      <c r="M31" s="5" t="inlineStr"/>
      <c r="N31" s="5" t="inlineStr">
        <is>
          <t>Screenshot (EN + KM where text changes); screen name; device/OS; app version.</t>
        </is>
      </c>
      <c r="O31" s="5" t="inlineStr"/>
      <c r="P31" s="5" t="inlineStr">
        <is>
          <t>Automated</t>
        </is>
      </c>
      <c r="Q31" s="5" t="inlineStr">
        <is>
          <t>regression, uat</t>
        </is>
      </c>
      <c r="R31" s="5" t="n"/>
    </row>
    <row r="32">
      <c r="A32" s="5" t="inlineStr">
        <is>
          <t>TC-PRO-001</t>
        </is>
      </c>
      <c r="B32" s="5" t="inlineStr">
        <is>
          <t>Profile</t>
        </is>
      </c>
      <c r="C32" s="5" t="inlineStr">
        <is>
          <t>Profile</t>
        </is>
      </c>
      <c r="D32" s="5" t="inlineStr">
        <is>
          <t>Profile loads and falls back to the cache</t>
        </is>
      </c>
      <c r="E32" s="5" t="inlineStr">
        <is>
          <t>P1</t>
        </is>
      </c>
      <c r="F32" s="5" t="inlineStr">
        <is>
          <t>Functional</t>
        </is>
      </c>
      <c r="G32" s="5" t="inlineStr">
        <is>
          <t>Signed in.</t>
        </is>
      </c>
      <c r="H32" s="5" t="inlineStr">
        <is>
          <t>TD-001</t>
        </is>
      </c>
      <c r="I32" s="5" t="inlineStr">
        <is>
          <t>1. Open profile online.
2. Go offline; reopen.</t>
        </is>
      </c>
      <c r="J32" s="5" t="inlineStr">
        <is>
          <t>1. Server profile (name, Khmer name, employee code, line manager).
2. Cached profile; no error.</t>
        </is>
      </c>
      <c r="K32" s="5" t="inlineStr">
        <is>
          <t>GET /api/v1/mobile/auth/profile</t>
        </is>
      </c>
      <c r="L32" s="5" t="inlineStr">
        <is>
          <t>Mobile → Backend → DB</t>
        </is>
      </c>
      <c r="M32" s="5" t="inlineStr"/>
      <c r="N32" s="5" t="inlineStr">
        <is>
          <t>Screenshot; debug log lines api.request/api.response/api.error (method, path, status, errorCode, correlationId, dioType, host); timestamp. Mask tokens and phone numbers.</t>
        </is>
      </c>
      <c r="O32" s="5" t="inlineStr">
        <is>
          <t>auth_backed_profile_data_source.dart:67-93</t>
        </is>
      </c>
      <c r="P32" s="5" t="inlineStr">
        <is>
          <t>Automated</t>
        </is>
      </c>
      <c r="Q32" s="5" t="inlineStr">
        <is>
          <t>smoke, regression, uat</t>
        </is>
      </c>
      <c r="R32" s="5" t="n"/>
    </row>
    <row r="33">
      <c r="A33" s="5" t="inlineStr">
        <is>
          <t>TC-PRO-002</t>
        </is>
      </c>
      <c r="B33" s="5" t="inlineStr">
        <is>
          <t>Profile</t>
        </is>
      </c>
      <c r="C33" s="5" t="inlineStr">
        <is>
          <t>Profile</t>
        </is>
      </c>
      <c r="D33" s="5" t="inlineStr">
        <is>
          <t>Guest tapping the avatar is asked to sign in</t>
        </is>
      </c>
      <c r="E33" s="5" t="inlineStr">
        <is>
          <t>P1</t>
        </is>
      </c>
      <c r="F33" s="5" t="inlineStr">
        <is>
          <t>Functional</t>
        </is>
      </c>
      <c r="G33" s="5" t="inlineStr">
        <is>
          <t>Guest.</t>
        </is>
      </c>
      <c r="H33" s="5" t="inlineStr"/>
      <c r="I33" s="5" t="inlineStr">
        <is>
          <t>Tap the avatar.</t>
        </is>
      </c>
      <c r="J33" s="5" t="inlineStr">
        <is>
          <t>LoginRequiredDialog.</t>
        </is>
      </c>
      <c r="K33" s="5" t="inlineStr">
        <is>
          <t>—</t>
        </is>
      </c>
      <c r="L33" s="5" t="inlineStr">
        <is>
          <t>Mobile</t>
        </is>
      </c>
      <c r="M33" s="5" t="inlineStr"/>
      <c r="N33" s="5" t="inlineStr">
        <is>
          <t>Screenshot (EN + KM where text changes); screen name; device/OS; app version.</t>
        </is>
      </c>
      <c r="O33" s="5" t="inlineStr">
        <is>
          <t>main_shell.dart:147-149</t>
        </is>
      </c>
      <c r="P33" s="5" t="inlineStr">
        <is>
          <t>Partial</t>
        </is>
      </c>
      <c r="Q33" s="5" t="inlineStr">
        <is>
          <t>regression, uat</t>
        </is>
      </c>
      <c r="R33" s="5" t="n"/>
    </row>
    <row r="34">
      <c r="A34" s="5" t="inlineStr">
        <is>
          <t>TC-PRO-003</t>
        </is>
      </c>
      <c r="B34" s="5" t="inlineStr">
        <is>
          <t>Profile</t>
        </is>
      </c>
      <c r="C34" s="5" t="inlineStr">
        <is>
          <t>Photo</t>
        </is>
      </c>
      <c r="D34" s="5" t="inlineStr">
        <is>
          <t>Upload, replace and remove the profile photo</t>
        </is>
      </c>
      <c r="E34" s="5" t="inlineStr">
        <is>
          <t>P2</t>
        </is>
      </c>
      <c r="F34" s="5" t="inlineStr">
        <is>
          <t>Functional</t>
        </is>
      </c>
      <c r="G34" s="5" t="inlineStr">
        <is>
          <t>Signed in, online.</t>
        </is>
      </c>
      <c r="H34" s="5" t="inlineStr">
        <is>
          <t>TD-019</t>
        </is>
      </c>
      <c r="I34" s="5" t="inlineStr">
        <is>
          <t>Pick a photo; save. Replace it. Remove it.</t>
        </is>
      </c>
      <c r="J34" s="5" t="inlineStr">
        <is>
          <t>Photo shown upright; GPS/EXIF stripped before upload; removal returns to initials.</t>
        </is>
      </c>
      <c r="K34" s="5" t="inlineStr">
        <is>
          <t>POST|DELETE /api/v1/users/profile-photo</t>
        </is>
      </c>
      <c r="L34" s="5" t="inlineStr">
        <is>
          <t>Mobile → Backend → DB</t>
        </is>
      </c>
      <c r="M34" s="5" t="inlineStr"/>
      <c r="N34" s="5" t="inlineStr">
        <is>
          <t>Screenshot; debug log lines api.request/api.response/api.error (method, path, status, errorCode, correlationId, dioType, host); timestamp. Mask tokens and phone numbers.</t>
        </is>
      </c>
      <c r="O34" s="5" t="inlineStr">
        <is>
          <t>edit_profile_sheet.dart:170-189; profile_repository_impl.dart:23-34</t>
        </is>
      </c>
      <c r="P34" s="5" t="inlineStr">
        <is>
          <t>Automated</t>
        </is>
      </c>
      <c r="Q34" s="5" t="inlineStr">
        <is>
          <t>regression, uat</t>
        </is>
      </c>
      <c r="R34" s="5" t="n"/>
    </row>
    <row r="35">
      <c r="A35" s="5" t="inlineStr">
        <is>
          <t>TC-PRO-004</t>
        </is>
      </c>
      <c r="B35" s="5" t="inlineStr">
        <is>
          <t>Profile</t>
        </is>
      </c>
      <c r="C35" s="5" t="inlineStr">
        <is>
          <t>Photo</t>
        </is>
      </c>
      <c r="D35" s="5" t="inlineStr">
        <is>
          <t>Photo errors are explained</t>
        </is>
      </c>
      <c r="E35" s="5" t="inlineStr">
        <is>
          <t>P2</t>
        </is>
      </c>
      <c r="F35" s="5" t="inlineStr">
        <is>
          <t>Negative</t>
        </is>
      </c>
      <c r="G35" s="5" t="inlineStr">
        <is>
          <t>Signed in.</t>
        </is>
      </c>
      <c r="H35" s="5" t="inlineStr">
        <is>
          <t>TD-019</t>
        </is>
      </c>
      <c r="I35" s="5" t="inlineStr">
        <is>
          <t>Upload while offline; upload a file the server refuses by size / type.</t>
        </is>
      </c>
      <c r="J35" s="5" t="inlineStr">
        <is>
          <t>profile.error_offline; error_photo_size (413); error_photo_type (400); error_too_many (429); no change → profile.no_changes.</t>
        </is>
      </c>
      <c r="K35" s="5" t="inlineStr">
        <is>
          <t>POST /api/v1/users/profile-photo</t>
        </is>
      </c>
      <c r="L35" s="5" t="inlineStr">
        <is>
          <t>Mobile → Backend</t>
        </is>
      </c>
      <c r="M35" s="5" t="inlineStr">
        <is>
          <t>Map by HTTP status: 413/400 with a valid JPG &lt; 5 MB → Backend.</t>
        </is>
      </c>
      <c r="N35" s="5" t="inlineStr">
        <is>
          <t>Screenshot; debug log lines api.request/api.response/api.error (method, path, status, errorCode, correlationId, dioType, host); timestamp. Mask tokens and phone numbers.</t>
        </is>
      </c>
      <c r="O35" s="5" t="inlineStr">
        <is>
          <t>edit_profile_sheet.dart:392-415</t>
        </is>
      </c>
      <c r="P35" s="5" t="inlineStr">
        <is>
          <t>Automated</t>
        </is>
      </c>
      <c r="Q35" s="5" t="inlineStr">
        <is>
          <t>regression, uat</t>
        </is>
      </c>
      <c r="R35" s="5" t="n"/>
    </row>
    <row r="36">
      <c r="A36" s="5" t="inlineStr">
        <is>
          <t>TC-PRO-005</t>
        </is>
      </c>
      <c r="B36" s="5" t="inlineStr">
        <is>
          <t>Profile</t>
        </is>
      </c>
      <c r="C36" s="5" t="inlineStr">
        <is>
          <t>Password</t>
        </is>
      </c>
      <c r="D36" s="5" t="inlineStr">
        <is>
          <t>Change password tile opens the SMS reset flow</t>
        </is>
      </c>
      <c r="E36" s="5" t="inlineStr">
        <is>
          <t>P2</t>
        </is>
      </c>
      <c r="F36" s="5" t="inlineStr">
        <is>
          <t>Functional</t>
        </is>
      </c>
      <c r="G36" s="5" t="inlineStr">
        <is>
          <t>Signed in.</t>
        </is>
      </c>
      <c r="H36" s="5" t="inlineStr"/>
      <c r="I36" s="5" t="inlineStr">
        <is>
          <t>Profile → Change password.</t>
        </is>
      </c>
      <c r="J36" s="5" t="inlineStr">
        <is>
          <t>Opens /forgot-password (SMS reset), not the change-password form.</t>
        </is>
      </c>
      <c r="K36" s="5" t="inlineStr">
        <is>
          <t>—</t>
        </is>
      </c>
      <c r="L36" s="5" t="inlineStr">
        <is>
          <t>Mobile</t>
        </is>
      </c>
      <c r="M36" s="5" t="inlineStr"/>
      <c r="N36" s="5" t="inlineStr">
        <is>
          <t>Screenshot (EN + KM where text changes); screen name; device/OS; app version.</t>
        </is>
      </c>
      <c r="O36" s="5" t="inlineStr">
        <is>
          <t>profile_screen.dart:139-144</t>
        </is>
      </c>
      <c r="P36" s="5" t="inlineStr">
        <is>
          <t>Planned</t>
        </is>
      </c>
      <c r="Q36" s="5" t="inlineStr">
        <is>
          <t>uat</t>
        </is>
      </c>
      <c r="R36" s="5" t="n"/>
    </row>
    <row r="37">
      <c r="A37" s="5" t="inlineStr">
        <is>
          <t>TC-PRO-006</t>
        </is>
      </c>
      <c r="B37" s="5" t="inlineStr">
        <is>
          <t>Profile</t>
        </is>
      </c>
      <c r="C37" s="5" t="inlineStr">
        <is>
          <t>Profile</t>
        </is>
      </c>
      <c r="D37" s="5" t="inlineStr">
        <is>
          <t>Profile details: Khmer name, line manager, temporary-password expiry</t>
        </is>
      </c>
      <c r="E37" s="5" t="inlineStr">
        <is>
          <t>P3</t>
        </is>
      </c>
      <c r="F37" s="5" t="inlineStr">
        <is>
          <t>Functional</t>
        </is>
      </c>
      <c r="G37" s="5" t="inlineStr">
        <is>
          <t>Signed in; profile has Khmer name and a line manager.</t>
        </is>
      </c>
      <c r="H37" s="5" t="inlineStr"/>
      <c r="I37" s="5" t="inlineStr">
        <is>
          <t>Open profile in English and Khmer.</t>
        </is>
      </c>
      <c r="J37" s="5" t="inlineStr">
        <is>
          <t>Each field shown when present, hidden when absent; expiry shown only for a temporary password.</t>
        </is>
      </c>
      <c r="K37" s="5" t="inlineStr">
        <is>
          <t>—</t>
        </is>
      </c>
      <c r="L37" s="5" t="inlineStr">
        <is>
          <t>Mobile</t>
        </is>
      </c>
      <c r="M37" s="5" t="inlineStr"/>
      <c r="N37" s="5" t="inlineStr">
        <is>
          <t>Screenshot (EN + KM where text changes); screen name; device/OS; app version.</t>
        </is>
      </c>
      <c r="O37" s="5" t="inlineStr"/>
      <c r="P37" s="5" t="inlineStr">
        <is>
          <t>Automated</t>
        </is>
      </c>
      <c r="Q37" s="5" t="inlineStr">
        <is>
          <t>regression, uat</t>
        </is>
      </c>
      <c r="R37" s="5" t="n"/>
    </row>
  </sheetData>
  <autoFilter ref="A1:P37"/>
  <dataValidations count="4">
    <dataValidation sqref="E2:E2000" showDropDown="0" showInputMessage="0" showErrorMessage="0" allowBlank="1" errorTitle="Priority" error="Pick a value from the Priority list." type="list">
      <formula1>=Dropdowns!$G$2:$G$4</formula1>
    </dataValidation>
    <dataValidation sqref="F2:F2000" showDropDown="0" showInputMessage="0" showErrorMessage="0" allowBlank="1" errorTitle="Test Type" error="Pick a value from the Test Type list." type="list">
      <formula1>=Dropdowns!$H$2:$H$10</formula1>
    </dataValidation>
    <dataValidation sqref="P2:P2000" showDropDown="0" showInputMessage="0" showErrorMessage="0" allowBlank="1" errorTitle="Automation Status" error="Pick a value from the Automation Status list." type="list">
      <formula1>=Dropdowns!$I$2:$I$5</formula1>
    </dataValidation>
    <dataValidation sqref="Q2:Q2000" showDropDown="0" showInputMessage="0" showErrorMessage="0" allowBlank="1" type="list">
      <formula1>=Dropdowns!$N$2:$N$4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4" customWidth="1" min="2" max="2"/>
    <col width="40" customWidth="1" min="3" max="3"/>
    <col width="60" customWidth="1" min="4" max="4"/>
    <col width="30" customWidth="1" min="5" max="5"/>
    <col width="9" customWidth="1" min="6" max="6"/>
    <col width="26" customWidth="1" min="7" max="7"/>
    <col width="40" customWidth="1" min="8" max="8"/>
  </cols>
  <sheetData>
    <row r="1" ht="32" customHeight="1">
      <c r="A1" s="4" t="inlineStr">
        <is>
          <t>Scenario ID</t>
        </is>
      </c>
      <c r="B1" s="4" t="inlineStr">
        <is>
          <t>Module</t>
        </is>
      </c>
      <c r="C1" s="4" t="inlineStr">
        <is>
          <t>Scenario</t>
        </is>
      </c>
      <c r="D1" s="4" t="inlineStr">
        <is>
          <t>End-to-End Flow</t>
        </is>
      </c>
      <c r="E1" s="4" t="inlineStr">
        <is>
          <t>Linked TCs</t>
        </is>
      </c>
      <c r="F1" s="4" t="inlineStr">
        <is>
          <t>Priority</t>
        </is>
      </c>
      <c r="G1" s="4" t="inlineStr">
        <is>
          <t>Layers Exercised</t>
        </is>
      </c>
      <c r="H1" s="4" t="inlineStr">
        <is>
          <t>Notes</t>
        </is>
      </c>
    </row>
    <row r="2">
      <c r="A2" s="5" t="inlineStr">
        <is>
          <t>SC-AUTH-01</t>
        </is>
      </c>
      <c r="B2" s="5" t="inlineStr">
        <is>
          <t>Authentication</t>
        </is>
      </c>
      <c r="C2" s="5" t="inlineStr">
        <is>
          <t>First sign-in of a new rep with a temporary password</t>
        </is>
      </c>
      <c r="D2" s="5" t="inlineStr">
        <is>
          <t>Install → splash → language → onboarding → login (TD-002) → forced change-password (policy errors, then valid) → main shell → relaunch lands on main</t>
        </is>
      </c>
      <c r="E2" s="5" t="inlineStr">
        <is>
          <t>TC-AUTH-001, TC-AUTH-002, TC-AUTH-008, TC-AUTH-009, TC-AUTH-010</t>
        </is>
      </c>
      <c r="F2" s="5" t="inlineStr">
        <is>
          <t>P1</t>
        </is>
      </c>
      <c r="G2" s="5" t="inlineStr">
        <is>
          <t>Mobile → Backend → DB</t>
        </is>
      </c>
      <c r="H2" s="5" t="inlineStr"/>
    </row>
    <row r="3">
      <c r="A3" s="5" t="inlineStr">
        <is>
          <t>SC-AUTH-02</t>
        </is>
      </c>
      <c r="B3" s="5" t="inlineStr">
        <is>
          <t>Authentication</t>
        </is>
      </c>
      <c r="C3" s="5" t="inlineStr">
        <is>
          <t>Daily sign-in, including a wrong password</t>
        </is>
      </c>
      <c r="D3" s="5" t="inlineStr">
        <is>
          <t>Login with a wrong password → error pill → correct password → main shell → Remember me pre-fills next time</t>
        </is>
      </c>
      <c r="E3" s="5" t="inlineStr">
        <is>
          <t>TC-AUTH-004, TC-AUTH-002, TC-AUTH-016</t>
        </is>
      </c>
      <c r="F3" s="5" t="inlineStr">
        <is>
          <t>P1</t>
        </is>
      </c>
      <c r="G3" s="5" t="inlineStr">
        <is>
          <t>Mobile → Backend → DB</t>
        </is>
      </c>
      <c r="H3" s="5" t="inlineStr"/>
    </row>
    <row r="4">
      <c r="A4" s="5" t="inlineStr">
        <is>
          <t>SC-AUTH-03</t>
        </is>
      </c>
      <c r="B4" s="5" t="inlineStr">
        <is>
          <t>Authentication</t>
        </is>
      </c>
      <c r="C4" s="5" t="inlineStr">
        <is>
          <t>Forgotten password reset by SMS</t>
        </is>
      </c>
      <c r="D4" s="5" t="inlineStr">
        <is>
          <t>Login → Forgot? → phone → SMS code (wrong once, then right) → new password vs policy → success → login with new password</t>
        </is>
      </c>
      <c r="E4" s="5" t="inlineStr">
        <is>
          <t>TC-AUTH-011, TC-AUTH-012, TC-AUTH-013, TC-AUTH-014, TC-AUTH-015</t>
        </is>
      </c>
      <c r="F4" s="5" t="inlineStr">
        <is>
          <t>P1</t>
        </is>
      </c>
      <c r="G4" s="5" t="inlineStr">
        <is>
          <t>Mobile → Backend → SMS gateway</t>
        </is>
      </c>
      <c r="H4" s="5" t="inlineStr">
        <is>
          <t>SMS not received with HTTP 200 → Backend/SMS gateway (Environment), never Mobile.</t>
        </is>
      </c>
    </row>
    <row r="5">
      <c r="A5" s="5" t="inlineStr">
        <is>
          <t>SC-AUTH-04</t>
        </is>
      </c>
      <c r="B5" s="5" t="inlineStr">
        <is>
          <t>Authentication</t>
        </is>
      </c>
      <c r="C5" s="5" t="inlineStr">
        <is>
          <t>Sign-in when things go wrong</t>
        </is>
      </c>
      <c r="D5" s="5" t="inlineStr">
        <is>
          <t>Airplane mode → offline message; wrong VPN/host → server unreachable; locked and inactive accounts refused; 5 wrong passwords lock</t>
        </is>
      </c>
      <c r="E5" s="5" t="inlineStr">
        <is>
          <t>TC-AUTH-005, TC-AUTH-006, TC-AUTH-007, TC-AUTH-018, TC-AUTH-019</t>
        </is>
      </c>
      <c r="F5" s="5" t="inlineStr">
        <is>
          <t>P1</t>
        </is>
      </c>
      <c r="G5" s="5" t="inlineStr">
        <is>
          <t>Mobile → Network → Backend</t>
        </is>
      </c>
      <c r="H5" s="5" t="inlineStr">
        <is>
          <t>Use api.error host + dioType to separate Network / Environment / Backend.</t>
        </is>
      </c>
    </row>
    <row r="6">
      <c r="A6" s="5" t="inlineStr">
        <is>
          <t>SC-SES-01</t>
        </is>
      </c>
      <c r="B6" s="5" t="inlineStr">
        <is>
          <t>Session</t>
        </is>
      </c>
      <c r="C6" s="5" t="inlineStr">
        <is>
          <t>A full working day on one session</t>
        </is>
      </c>
      <c r="D6" s="5" t="inlineStr">
        <is>
          <t>Sign in → work offline → relaunch offline (still signed in) → back online after &gt; 15 min (token refresh replays) → 403 area does not sign out</t>
        </is>
      </c>
      <c r="E6" s="5" t="inlineStr">
        <is>
          <t>TC-SES-001, TC-SES-002, TC-SES-003, TC-SES-008</t>
        </is>
      </c>
      <c r="F6" s="5" t="inlineStr">
        <is>
          <t>P1</t>
        </is>
      </c>
      <c r="G6" s="5" t="inlineStr">
        <is>
          <t>Mobile → Backend</t>
        </is>
      </c>
      <c r="H6" s="5" t="inlineStr"/>
    </row>
    <row r="7">
      <c r="A7" s="5" t="inlineStr">
        <is>
          <t>SC-SES-02</t>
        </is>
      </c>
      <c r="B7" s="5" t="inlineStr">
        <is>
          <t>Session</t>
        </is>
      </c>
      <c r="C7" s="5" t="inlineStr">
        <is>
          <t>Session revoked by an admin</t>
        </is>
      </c>
      <c r="D7" s="5" t="inlineStr">
        <is>
          <t>Admin revokes session → next call refresh rejected → expiry message → (business to confirm) redirect to login</t>
        </is>
      </c>
      <c r="E7" s="5" t="inlineStr">
        <is>
          <t>TC-SES-004, TC-SES-009</t>
        </is>
      </c>
      <c r="F7" s="5" t="inlineStr">
        <is>
          <t>P1</t>
        </is>
      </c>
      <c r="G7" s="5" t="inlineStr">
        <is>
          <t>Mobile → Backend</t>
        </is>
      </c>
      <c r="H7" s="5" t="inlineStr"/>
    </row>
    <row r="8">
      <c r="A8" s="5" t="inlineStr">
        <is>
          <t>SC-SES-03</t>
        </is>
      </c>
      <c r="B8" s="5" t="inlineStr">
        <is>
          <t>Session</t>
        </is>
      </c>
      <c r="C8" s="5" t="inlineStr">
        <is>
          <t>Handing the phone to another rep</t>
        </is>
      </c>
      <c r="D8" s="5" t="inlineStr">
        <is>
          <t>Offline work pending → logout blocked → Sync Center → sync → logout (push deregistered, session revoked) → second rep signs in → no data of first rep</t>
        </is>
      </c>
      <c r="E8" s="5" t="inlineStr">
        <is>
          <t>TC-SES-005, TC-SES-007, TC-SES-006, TC-SES-010</t>
        </is>
      </c>
      <c r="F8" s="5" t="inlineStr">
        <is>
          <t>P1</t>
        </is>
      </c>
      <c r="G8" s="5" t="inlineStr">
        <is>
          <t>Mobile → Backend → DB</t>
        </is>
      </c>
      <c r="H8" s="5" t="inlineStr"/>
    </row>
    <row r="9">
      <c r="A9" s="5" t="inlineStr">
        <is>
          <t>SC-PRO-01</t>
        </is>
      </c>
      <c r="B9" s="5" t="inlineStr">
        <is>
          <t>Profile</t>
        </is>
      </c>
      <c r="C9" s="5" t="inlineStr">
        <is>
          <t>Rep reviews and updates their profile</t>
        </is>
      </c>
      <c r="D9" s="5" t="inlineStr">
        <is>
          <t>Open profile online → details correct → upload photo → replace → remove → errors for too-large / wrong type → offline shows cached profile</t>
        </is>
      </c>
      <c r="E9" s="5" t="inlineStr">
        <is>
          <t>TC-PRO-001, TC-PRO-003, TC-PRO-004, TC-PRO-006</t>
        </is>
      </c>
      <c r="F9" s="5" t="inlineStr">
        <is>
          <t>P2</t>
        </is>
      </c>
      <c r="G9" s="5" t="inlineStr">
        <is>
          <t>Mobile → Backend → Storage</t>
        </is>
      </c>
      <c r="H9" s="5" t="inlineStr"/>
    </row>
    <row r="10">
      <c r="A10" s="5" t="inlineStr">
        <is>
          <t>SC-PRO-02</t>
        </is>
      </c>
      <c r="B10" s="5" t="inlineStr">
        <is>
          <t>Profile</t>
        </is>
      </c>
      <c r="C10" s="5" t="inlineStr">
        <is>
          <t>Guest and password entry points</t>
        </is>
      </c>
      <c r="D10" s="5" t="inlineStr">
        <is>
          <t>Guest taps avatar → sign-in prompt; signed in → Change password opens SMS reset</t>
        </is>
      </c>
      <c r="E10" s="5" t="inlineStr">
        <is>
          <t>TC-PRO-002, TC-PRO-005</t>
        </is>
      </c>
      <c r="F10" s="5" t="inlineStr">
        <is>
          <t>P2</t>
        </is>
      </c>
      <c r="G10" s="5" t="inlineStr">
        <is>
          <t>Mobile</t>
        </is>
      </c>
      <c r="H10" s="5" t="inlineStr"/>
    </row>
  </sheetData>
  <autoFilter ref="A1:H10"/>
  <dataValidations count="1">
    <dataValidation sqref="F2:F2000" showDropDown="0" showInputMessage="0" showErrorMessage="0" allowBlank="1" errorTitle="Priority" error="Pick a value from the Priority list." type="list">
      <formula1>=Dropdowns!$G$2:$G$4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16" customWidth="1" min="3" max="3"/>
    <col width="46" customWidth="1" min="4" max="4"/>
    <col width="12" customWidth="1" min="5" max="5"/>
    <col width="26" customWidth="1" min="6" max="6"/>
    <col width="44" customWidth="1" min="7" max="7"/>
  </cols>
  <sheetData>
    <row r="1" ht="32" customHeight="1">
      <c r="A1" s="4" t="inlineStr">
        <is>
          <t>Data ID</t>
        </is>
      </c>
      <c r="B1" s="4" t="inlineStr">
        <is>
          <t>Description</t>
        </is>
      </c>
      <c r="C1" s="4" t="inlineStr">
        <is>
          <t>Category</t>
        </is>
      </c>
      <c r="D1" s="4" t="inlineStr">
        <is>
          <t>Value / Where to Get It</t>
        </is>
      </c>
      <c r="E1" s="4" t="inlineStr">
        <is>
          <t>Environment</t>
        </is>
      </c>
      <c r="F1" s="4" t="inlineStr">
        <is>
          <t>Used By</t>
        </is>
      </c>
      <c r="G1" s="4" t="inlineStr">
        <is>
          <t>Notes</t>
        </is>
      </c>
    </row>
    <row r="2">
      <c r="A2" s="5" t="inlineStr">
        <is>
          <t>TD-001</t>
        </is>
      </c>
      <c r="B2" s="5" t="inlineStr">
        <is>
          <t>Active field rep (primary test user)</t>
        </is>
      </c>
      <c r="C2" s="5" t="inlineStr">
        <is>
          <t>Account</t>
        </is>
      </c>
      <c r="D2" s="5" t="inlineStr">
        <is>
          <t>UAT secret store → QA_REP_PRIMARY (ask the QA lead). Never type the password into this workbook.</t>
        </is>
      </c>
      <c r="E2" s="5" t="inlineStr">
        <is>
          <t>UAT</t>
        </is>
      </c>
      <c r="F2" s="5" t="inlineStr">
        <is>
          <t>All signed-in TCs</t>
        </is>
      </c>
      <c r="G2" s="5" t="inlineStr">
        <is>
          <t>Needs at least one synced record for the sign-out / rep-switch cases.</t>
        </is>
      </c>
    </row>
    <row r="3">
      <c r="A3" s="5" t="inlineStr">
        <is>
          <t>TD-002</t>
        </is>
      </c>
      <c r="B3" s="5" t="inlineStr">
        <is>
          <t>Rep with a temporary password (passwordChangeRequired = true)</t>
        </is>
      </c>
      <c r="C3" s="5" t="inlineStr">
        <is>
          <t>Account</t>
        </is>
      </c>
      <c r="D3" s="5" t="inlineStr">
        <is>
          <t>Reset in the admin portal before each run; secret store → QA_REP_TEMP_PW</t>
        </is>
      </c>
      <c r="E3" s="5" t="inlineStr">
        <is>
          <t>UAT</t>
        </is>
      </c>
      <c r="F3" s="5" t="inlineStr">
        <is>
          <t>TC-AUTH-008..010</t>
        </is>
      </c>
      <c r="G3" s="5" t="inlineStr"/>
    </row>
    <row r="4">
      <c r="A4" s="5" t="inlineStr">
        <is>
          <t>TD-003</t>
        </is>
      </c>
      <c r="B4" s="5" t="inlineStr">
        <is>
          <t>Locked account (Auth.AccountLocked)</t>
        </is>
      </c>
      <c r="C4" s="5" t="inlineStr">
        <is>
          <t>Account</t>
        </is>
      </c>
      <c r="D4" s="5" t="inlineStr">
        <is>
          <t>Admin portal → lock user QA_REP_LOCKED</t>
        </is>
      </c>
      <c r="E4" s="5" t="inlineStr">
        <is>
          <t>UAT</t>
        </is>
      </c>
      <c r="F4" s="5" t="inlineStr">
        <is>
          <t>TC-AUTH-005</t>
        </is>
      </c>
      <c r="G4" s="5" t="inlineStr"/>
    </row>
    <row r="5">
      <c r="A5" s="5" t="inlineStr">
        <is>
          <t>TD-004</t>
        </is>
      </c>
      <c r="B5" s="5" t="inlineStr">
        <is>
          <t>Inactive account (Auth.AccountInactive)</t>
        </is>
      </c>
      <c r="C5" s="5" t="inlineStr">
        <is>
          <t>Account</t>
        </is>
      </c>
      <c r="D5" s="5" t="inlineStr">
        <is>
          <t>Admin portal → deactivate user QA_REP_INACTIVE</t>
        </is>
      </c>
      <c r="E5" s="5" t="inlineStr">
        <is>
          <t>UAT</t>
        </is>
      </c>
      <c r="F5" s="5" t="inlineStr">
        <is>
          <t>TC-AUTH-005</t>
        </is>
      </c>
      <c r="G5" s="5" t="inlineStr"/>
    </row>
    <row r="6">
      <c r="A6" s="5" t="inlineStr">
        <is>
          <t>TD-005</t>
        </is>
      </c>
      <c r="B6" s="5" t="inlineStr">
        <is>
          <t>Second rep (for rep-switch wipe)</t>
        </is>
      </c>
      <c r="C6" s="5" t="inlineStr">
        <is>
          <t>Account</t>
        </is>
      </c>
      <c r="D6" s="5" t="inlineStr">
        <is>
          <t>Secret store → QA_REP_SECONDARY</t>
        </is>
      </c>
      <c r="E6" s="5" t="inlineStr">
        <is>
          <t>UAT</t>
        </is>
      </c>
      <c r="F6" s="5" t="inlineStr">
        <is>
          <t>TC-SES-006</t>
        </is>
      </c>
      <c r="G6" s="5" t="inlineStr"/>
    </row>
    <row r="7">
      <c r="A7" s="5" t="inlineStr">
        <is>
          <t>TD-006</t>
        </is>
      </c>
      <c r="B7" s="5" t="inlineStr">
        <is>
          <t>Registered phone that receives the reset SMS</t>
        </is>
      </c>
      <c r="C7" s="5" t="inlineStr">
        <is>
          <t>Phone</t>
        </is>
      </c>
      <c r="D7" s="5" t="inlineStr">
        <is>
          <t>QA team handset — number held by the QA lead</t>
        </is>
      </c>
      <c r="E7" s="5" t="inlineStr">
        <is>
          <t>UAT</t>
        </is>
      </c>
      <c r="F7" s="5" t="inlineStr">
        <is>
          <t>TC-AUTH-011..014</t>
        </is>
      </c>
      <c r="G7" s="5" t="inlineStr"/>
    </row>
    <row r="8">
      <c r="A8" s="5" t="inlineStr">
        <is>
          <t>TD-007</t>
        </is>
      </c>
      <c r="B8" s="5" t="inlineStr">
        <is>
          <t>Unregistered but well-formed phone number</t>
        </is>
      </c>
      <c r="C8" s="5" t="inlineStr">
        <is>
          <t>Phone</t>
        </is>
      </c>
      <c r="D8" s="5" t="inlineStr">
        <is>
          <t>Any number not in UAT (server still answers 200)</t>
        </is>
      </c>
      <c r="E8" s="5" t="inlineStr">
        <is>
          <t>UAT</t>
        </is>
      </c>
      <c r="F8" s="5" t="inlineStr">
        <is>
          <t>TC-AUTH-011</t>
        </is>
      </c>
      <c r="G8" s="5" t="inlineStr"/>
    </row>
    <row r="9">
      <c r="A9" s="5" t="inlineStr">
        <is>
          <t>TD-008</t>
        </is>
      </c>
      <c r="B9" s="5" t="inlineStr">
        <is>
          <t>Candidate new passwords for policy checks</t>
        </is>
      </c>
      <c r="C9" s="5" t="inlineStr">
        <is>
          <t>Password</t>
        </is>
      </c>
      <c r="D9" s="5" t="inlineStr">
        <is>
          <t>Generate per run: 11 chars; 12+ chars; no uppercase; no digit; no special; same as current</t>
        </is>
      </c>
      <c r="E9" s="5" t="inlineStr">
        <is>
          <t>UAT</t>
        </is>
      </c>
      <c r="F9" s="5" t="inlineStr">
        <is>
          <t>TC-AUTH-008, TC-AUTH-014</t>
        </is>
      </c>
      <c r="G9" s="5" t="inlineStr">
        <is>
          <t>Use throwaway values; do not reuse a real password.</t>
        </is>
      </c>
    </row>
    <row r="10">
      <c r="A10" s="5" t="inlineStr">
        <is>
          <t>TD-018</t>
        </is>
      </c>
      <c r="B10" s="5" t="inlineStr">
        <is>
          <t>Network conditions</t>
        </is>
      </c>
      <c r="C10" s="5" t="inlineStr">
        <is>
          <t>Device</t>
        </is>
      </c>
      <c r="D10" s="5" t="inlineStr">
        <is>
          <t>Airplane mode; Android emulator network throttling / iOS Network Link Conditioner (100% loss, 3G)</t>
        </is>
      </c>
      <c r="E10" s="5" t="inlineStr">
        <is>
          <t>UAT</t>
        </is>
      </c>
      <c r="F10" s="5" t="inlineStr">
        <is>
          <t>TC-AUTH-006, TC-SES-001, TC-SES-008</t>
        </is>
      </c>
      <c r="G10" s="5" t="inlineStr"/>
    </row>
    <row r="11">
      <c r="A11" s="5" t="inlineStr">
        <is>
          <t>TD-019</t>
        </is>
      </c>
      <c r="B11" s="5" t="inlineStr">
        <is>
          <t>Photos for depot registration</t>
        </is>
      </c>
      <c r="C11" s="5" t="inlineStr">
        <is>
          <t>Media</t>
        </is>
      </c>
      <c r="D11" s="5" t="inlineStr">
        <is>
          <t>Photos taken at test time: one normal JPG; one &gt; 5 MB; one .gif</t>
        </is>
      </c>
      <c r="E11" s="5" t="inlineStr">
        <is>
          <t>UAT</t>
        </is>
      </c>
      <c r="F11" s="5" t="inlineStr">
        <is>
          <t>TC-PRO-003, TC-PRO-004</t>
        </is>
      </c>
      <c r="G11" s="5" t="inlineStr"/>
    </row>
  </sheetData>
  <autoFilter ref="A1:G11"/>
  <dataValidations count="1">
    <dataValidation sqref="E2:E2000" showDropDown="0" showInputMessage="0" showErrorMessage="0" allowBlank="1" errorTitle="Environment" error="Pick a value from the Environment list." type="list">
      <formula1>=Dropdowns!$K$2:$K$5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4" customWidth="1" min="3" max="3"/>
    <col width="16" customWidth="1" min="4" max="4"/>
    <col width="52" customWidth="1" min="5" max="5"/>
    <col width="52" customWidth="1" min="6" max="6"/>
    <col width="60" customWidth="1" min="7" max="7"/>
  </cols>
  <sheetData>
    <row r="1" ht="32" customHeight="1">
      <c r="A1" s="4" t="inlineStr">
        <is>
          <t>TC ID</t>
        </is>
      </c>
      <c r="B1" s="4" t="inlineStr">
        <is>
          <t>Title</t>
        </is>
      </c>
      <c r="C1" s="4" t="inlineStr">
        <is>
          <t>Automation Status</t>
        </is>
      </c>
      <c r="D1" s="4" t="inlineStr">
        <is>
          <t>Automation Level</t>
        </is>
      </c>
      <c r="E1" s="4" t="inlineStr">
        <is>
          <t>Existing Test File</t>
        </is>
      </c>
      <c r="F1" s="4" t="inlineStr">
        <is>
          <t>Gap / Next Automation Step</t>
        </is>
      </c>
      <c r="G1" s="4" t="inlineStr">
        <is>
          <t>Automation ID</t>
        </is>
      </c>
    </row>
    <row r="2">
      <c r="A2" s="5" t="inlineStr">
        <is>
          <t>TC-AUTH-001</t>
        </is>
      </c>
      <c r="B2" s="5" t="inlineStr">
        <is>
          <t>Login form validates before any request</t>
        </is>
      </c>
      <c r="C2" s="5" t="inlineStr">
        <is>
          <t>Planned</t>
        </is>
      </c>
      <c r="D2" s="5" t="inlineStr">
        <is>
          <t>Manual</t>
        </is>
      </c>
      <c r="E2" s="5" t="inlineStr">
        <is>
          <t>—</t>
        </is>
      </c>
      <c r="F2" s="5" t="inlineStr">
        <is>
          <t>Widget test for both validators.</t>
        </is>
      </c>
      <c r="G2" s="5" t="inlineStr">
        <is>
          <t>manual</t>
        </is>
      </c>
    </row>
    <row r="3">
      <c r="A3" s="5" t="inlineStr">
        <is>
          <t>TC-AUTH-002</t>
        </is>
      </c>
      <c r="B3" s="5" t="inlineStr">
        <is>
          <t>Successful login lands on the main shell</t>
        </is>
      </c>
      <c r="C3" s="5" t="inlineStr">
        <is>
          <t>Partial</t>
        </is>
      </c>
      <c r="D3" s="5" t="inlineStr">
        <is>
          <t>Unit</t>
        </is>
      </c>
      <c r="E3" s="5" t="inlineStr">
        <is>
          <t>test/features/authentication/login_no_otp_test.dart; test/features/authentication/auth_me_profile_test.dart</t>
        </is>
      </c>
      <c r="F3" s="5" t="inlineStr">
        <is>
          <t>E2E device test with a UAT account.</t>
        </is>
      </c>
      <c r="G3" s="5" t="inlineStr">
        <is>
          <t>flutter:test/features/authentication/login_no_otp_test.dart; flutter:test/features/authentication/auth_me_profile_test.dart; pytest:tests/api/test_auth.py::test_login_returns_a_usable_token_pair; pytest:tests/api/test_auth.py::test_current_user_matches_the_contract; drive:integration_test/auth/login_device_test.dart</t>
        </is>
      </c>
    </row>
    <row r="4">
      <c r="A4" s="5" t="inlineStr">
        <is>
          <t>TC-AUTH-003</t>
        </is>
      </c>
      <c r="B4" s="5" t="inlineStr">
        <is>
          <t>Login screen fits small phones, tablets and the keyboard</t>
        </is>
      </c>
      <c r="C4" s="5" t="inlineStr">
        <is>
          <t>Automated</t>
        </is>
      </c>
      <c r="D4" s="5" t="inlineStr">
        <is>
          <t>Widget</t>
        </is>
      </c>
      <c r="E4" s="5" t="inlineStr">
        <is>
          <t>test/features/authentication/login_screen_layout_test.dart; test/features/authentication/login_keyboard_test.dart; test/features/authentication/login_keyboard_insets_test.dart</t>
        </is>
      </c>
      <c r="F4" s="5" t="inlineStr"/>
      <c r="G4" s="5" t="inlineStr">
        <is>
          <t>flutter:test/features/authentication/login_screen_layout_test.dart; flutter:test/features/authentication/login_keyboard_test.dart; flutter:test/features/authentication/login_keyboard_insets_test.dart</t>
        </is>
      </c>
    </row>
    <row r="5">
      <c r="A5" s="5" t="inlineStr">
        <is>
          <t>TC-AUTH-004</t>
        </is>
      </c>
      <c r="B5" s="5" t="inlineStr">
        <is>
          <t>Wrong password shows the server message</t>
        </is>
      </c>
      <c r="C5" s="5" t="inlineStr">
        <is>
          <t>Partial</t>
        </is>
      </c>
      <c r="D5" s="5" t="inlineStr">
        <is>
          <t>Unit</t>
        </is>
      </c>
      <c r="E5" s="5" t="inlineStr">
        <is>
          <t>test/features/authentication/auth_failure_mapping_test.dart</t>
        </is>
      </c>
      <c r="F5" s="5" t="inlineStr">
        <is>
          <t>Widget test for the status pill.</t>
        </is>
      </c>
      <c r="G5" s="5" t="inlineStr">
        <is>
          <t>flutter:test/features/authentication/auth_failure_mapping_test.dart; pytest:tests/api/test_auth.py::test_a_wrong_password_is_refused_without_tokens</t>
        </is>
      </c>
    </row>
    <row r="6">
      <c r="A6" s="5" t="inlineStr">
        <is>
          <t>TC-AUTH-005</t>
        </is>
      </c>
      <c r="B6" s="5" t="inlineStr">
        <is>
          <t>Locked / inactive / expired-password accounts are refused with their message</t>
        </is>
      </c>
      <c r="C6" s="5" t="inlineStr">
        <is>
          <t>Partial</t>
        </is>
      </c>
      <c r="D6" s="5" t="inlineStr">
        <is>
          <t>E2E (device)</t>
        </is>
      </c>
      <c r="E6" s="5" t="inlineStr">
        <is>
          <t>integration_test/auth/account_state_refused_device_test.dart</t>
        </is>
      </c>
      <c r="F6" s="5" t="inlineStr">
        <is>
          <t>Device test injects each refusal (documented and staging shapes). Still needed: real locked / inactive / expired accounts on UAT (TD-003, TD-004) to confirm the backend's own codes.</t>
        </is>
      </c>
      <c r="G6" s="5" t="inlineStr">
        <is>
          <t>drive:integration_test/auth/account_state_refused_device_test.dart</t>
        </is>
      </c>
    </row>
    <row r="7">
      <c r="A7" s="5" t="inlineStr">
        <is>
          <t>TC-AUTH-006</t>
        </is>
      </c>
      <c r="B7" s="5" t="inlineStr">
        <is>
          <t>Login while offline</t>
        </is>
      </c>
      <c r="C7" s="5" t="inlineStr">
        <is>
          <t>Planned</t>
        </is>
      </c>
      <c r="D7" s="5" t="inlineStr">
        <is>
          <t>Manual</t>
        </is>
      </c>
      <c r="E7" s="5" t="inlineStr">
        <is>
          <t>—</t>
        </is>
      </c>
      <c r="F7" s="5" t="inlineStr">
        <is>
          <t>Repository unit test with an offline NetworkInfo fake; widget test for the translated message.</t>
        </is>
      </c>
      <c r="G7" s="5" t="inlineStr">
        <is>
          <t>manual</t>
        </is>
      </c>
    </row>
    <row r="8">
      <c r="A8" s="5" t="inlineStr">
        <is>
          <t>TC-AUTH-007</t>
        </is>
      </c>
      <c r="B8" s="5" t="inlineStr">
        <is>
          <t>Login when UAT is unreachable / returns 5xx / times out</t>
        </is>
      </c>
      <c r="C8" s="5" t="inlineStr">
        <is>
          <t>Planned</t>
        </is>
      </c>
      <c r="D8" s="5" t="inlineStr">
        <is>
          <t>Manual</t>
        </is>
      </c>
      <c r="E8" s="5" t="inlineStr">
        <is>
          <t>—</t>
        </is>
      </c>
      <c r="F8" s="5" t="inlineStr">
        <is>
          <t>Repository unit tests for unreachable, 5xx and timeout (tokens cleared).</t>
        </is>
      </c>
      <c r="G8" s="5" t="inlineStr">
        <is>
          <t>manual</t>
        </is>
      </c>
    </row>
    <row r="9">
      <c r="A9" s="5" t="inlineStr">
        <is>
          <t>TC-AUTH-008</t>
        </is>
      </c>
      <c r="B9" s="5" t="inlineStr">
        <is>
          <t>Temporary-password policy</t>
        </is>
      </c>
      <c r="C9" s="5" t="inlineStr">
        <is>
          <t>Partial</t>
        </is>
      </c>
      <c r="D9" s="5" t="inlineStr">
        <is>
          <t>Widget</t>
        </is>
      </c>
      <c r="E9" s="5" t="inlineStr">
        <is>
          <t>test/features/authentication/temporary_password_test.dart</t>
        </is>
      </c>
      <c r="F9" s="5" t="inlineStr">
        <is>
          <t>Widget test for the server-failure message on submit.</t>
        </is>
      </c>
      <c r="G9" s="5" t="inlineStr">
        <is>
          <t>flutter:test/features/authentication/temporary_password_test.dart</t>
        </is>
      </c>
    </row>
    <row r="10">
      <c r="A10" s="5" t="inlineStr">
        <is>
          <t>TC-AUTH-009</t>
        </is>
      </c>
      <c r="B10" s="5" t="inlineStr">
        <is>
          <t>Temporary password changed successfully</t>
        </is>
      </c>
      <c r="C10" s="5" t="inlineStr">
        <is>
          <t>Partial</t>
        </is>
      </c>
      <c r="D10" s="5" t="inlineStr">
        <is>
          <t>Widget</t>
        </is>
      </c>
      <c r="E10" s="5" t="inlineStr">
        <is>
          <t>test/features/authentication/temporary_password_test.dart</t>
        </is>
      </c>
      <c r="F10" s="5" t="inlineStr">
        <is>
          <t>Device E2E against UAT (needs an account reset per run).</t>
        </is>
      </c>
      <c r="G10" s="5" t="inlineStr">
        <is>
          <t>flutter:test/features/authentication/temporary_password_test.dart</t>
        </is>
      </c>
    </row>
    <row r="11">
      <c r="A11" s="5" t="inlineStr">
        <is>
          <t>TC-AUTH-010</t>
        </is>
      </c>
      <c r="B11" s="5" t="inlineStr">
        <is>
          <t>Pending temporary password survives an app restart</t>
        </is>
      </c>
      <c r="C11" s="5" t="inlineStr">
        <is>
          <t>Partial</t>
        </is>
      </c>
      <c r="D11" s="5" t="inlineStr">
        <is>
          <t>Unit</t>
        </is>
      </c>
      <c r="E11" s="5" t="inlineStr">
        <is>
          <t>test/features/authentication/temporary_password_test.dart</t>
        </is>
      </c>
      <c r="F11" s="5" t="inlineStr">
        <is>
          <t>Splash routing test.</t>
        </is>
      </c>
      <c r="G11" s="5" t="inlineStr">
        <is>
          <t>flutter:test/features/authentication/temporary_password_test.dart</t>
        </is>
      </c>
    </row>
    <row r="12">
      <c r="A12" s="5" t="inlineStr">
        <is>
          <t>TC-AUTH-011</t>
        </is>
      </c>
      <c r="B12" s="5" t="inlineStr">
        <is>
          <t>Request SMS code (anti-enumeration)</t>
        </is>
      </c>
      <c r="C12" s="5" t="inlineStr">
        <is>
          <t>Automated</t>
        </is>
      </c>
      <c r="D12" s="5" t="inlineStr">
        <is>
          <t>Widget</t>
        </is>
      </c>
      <c r="E12" s="5" t="inlineStr">
        <is>
          <t>test/features/authentication/forgot_password_flow_test.dart</t>
        </is>
      </c>
      <c r="F12" s="5" t="inlineStr"/>
      <c r="G12" s="5" t="inlineStr">
        <is>
          <t>flutter:test/features/authentication/forgot_password_flow_test.dart</t>
        </is>
      </c>
    </row>
    <row r="13">
      <c r="A13" s="5" t="inlineStr">
        <is>
          <t>TC-AUTH-012</t>
        </is>
      </c>
      <c r="B13" s="5" t="inlineStr">
        <is>
          <t>Verify OTP: incomplete, paste, wrong code</t>
        </is>
      </c>
      <c r="C13" s="5" t="inlineStr">
        <is>
          <t>Partial</t>
        </is>
      </c>
      <c r="D13" s="5" t="inlineStr">
        <is>
          <t>Unit</t>
        </is>
      </c>
      <c r="E13" s="5" t="inlineStr">
        <is>
          <t>test/features/authentication/password_reset_by_phone_test.dart</t>
        </is>
      </c>
      <c r="F13" s="5" t="inlineStr">
        <is>
          <t>OTP screen widget test.</t>
        </is>
      </c>
      <c r="G13" s="5" t="inlineStr">
        <is>
          <t>flutter:test/features/authentication/password_reset_by_phone_test.dart</t>
        </is>
      </c>
    </row>
    <row r="14">
      <c r="A14" s="5" t="inlineStr">
        <is>
          <t>TC-AUTH-013</t>
        </is>
      </c>
      <c r="B14" s="5" t="inlineStr">
        <is>
          <t>Resend code cooldown and blocked/expired codes</t>
        </is>
      </c>
      <c r="C14" s="5" t="inlineStr">
        <is>
          <t>Planned</t>
        </is>
      </c>
      <c r="D14" s="5" t="inlineStr">
        <is>
          <t>Manual</t>
        </is>
      </c>
      <c r="E14" s="5" t="inlineStr">
        <is>
          <t>—</t>
        </is>
      </c>
      <c r="F14" s="5" t="inlineStr">
        <is>
          <t>OTP screen widget test: 30 s cooldown, resend failure handling.</t>
        </is>
      </c>
      <c r="G14" s="5" t="inlineStr">
        <is>
          <t>manual</t>
        </is>
      </c>
    </row>
    <row r="15">
      <c r="A15" s="5" t="inlineStr">
        <is>
          <t>TC-AUTH-014</t>
        </is>
      </c>
      <c r="B15" s="5" t="inlineStr">
        <is>
          <t>New password checked against the server policy</t>
        </is>
      </c>
      <c r="C15" s="5" t="inlineStr">
        <is>
          <t>Automated</t>
        </is>
      </c>
      <c r="D15" s="5" t="inlineStr">
        <is>
          <t>Widget</t>
        </is>
      </c>
      <c r="E15" s="5" t="inlineStr">
        <is>
          <t>test/features/authentication/create_new_password_policy_test.dart</t>
        </is>
      </c>
      <c r="F15" s="5" t="inlineStr"/>
      <c r="G15" s="5" t="inlineStr">
        <is>
          <t>flutter:test/features/authentication/create_new_password_policy_test.dart</t>
        </is>
      </c>
    </row>
    <row r="16">
      <c r="A16" s="5" t="inlineStr">
        <is>
          <t>TC-AUTH-015</t>
        </is>
      </c>
      <c r="B16" s="5" t="inlineStr">
        <is>
          <t>Reset succeeds and returns to login</t>
        </is>
      </c>
      <c r="C16" s="5" t="inlineStr">
        <is>
          <t>Planned</t>
        </is>
      </c>
      <c r="D16" s="5" t="inlineStr">
        <is>
          <t>Manual</t>
        </is>
      </c>
      <c r="E16" s="5" t="inlineStr">
        <is>
          <t>—</t>
        </is>
      </c>
      <c r="F16" s="5" t="inlineStr">
        <is>
          <t>Keep manual — the SMS needs a real handset.</t>
        </is>
      </c>
      <c r="G16" s="5" t="inlineStr">
        <is>
          <t>manual</t>
        </is>
      </c>
    </row>
    <row r="17">
      <c r="A17" s="5" t="inlineStr">
        <is>
          <t>TC-AUTH-016</t>
        </is>
      </c>
      <c r="B17" s="5" t="inlineStr">
        <is>
          <t>Remember me keeps the phone, never the password</t>
        </is>
      </c>
      <c r="C17" s="5" t="inlineStr">
        <is>
          <t>Automated</t>
        </is>
      </c>
      <c r="D17" s="5" t="inlineStr">
        <is>
          <t>Unit</t>
        </is>
      </c>
      <c r="E17" s="5" t="inlineStr">
        <is>
          <t>test/features/authentication/remember_phone_test.dart</t>
        </is>
      </c>
      <c r="F17" s="5" t="inlineStr"/>
      <c r="G17" s="5" t="inlineStr">
        <is>
          <t>flutter:test/features/authentication/remember_phone_test.dart</t>
        </is>
      </c>
    </row>
    <row r="18">
      <c r="A18" s="5" t="inlineStr">
        <is>
          <t>TC-AUTH-017</t>
        </is>
      </c>
      <c r="B18" s="5" t="inlineStr">
        <is>
          <t>Continue as guest</t>
        </is>
      </c>
      <c r="C18" s="5" t="inlineStr">
        <is>
          <t>Automated</t>
        </is>
      </c>
      <c r="D18" s="5" t="inlineStr">
        <is>
          <t>Widget</t>
        </is>
      </c>
      <c r="E18" s="5" t="inlineStr">
        <is>
          <t>test/features/shell/guest_home_screen_test.dart</t>
        </is>
      </c>
      <c r="F18" s="5" t="inlineStr"/>
      <c r="G18" s="5" t="inlineStr">
        <is>
          <t>flutter:test/features/shell/guest_home_screen_test.dart</t>
        </is>
      </c>
    </row>
    <row r="19">
      <c r="A19" s="5" t="inlineStr">
        <is>
          <t>TC-AUTH-018</t>
        </is>
      </c>
      <c r="B19" s="5" t="inlineStr">
        <is>
          <t>Profile read fails right after login</t>
        </is>
      </c>
      <c r="C19" s="5" t="inlineStr">
        <is>
          <t>Automated</t>
        </is>
      </c>
      <c r="D19" s="5" t="inlineStr">
        <is>
          <t>E2E (device)</t>
        </is>
      </c>
      <c r="E19" s="5" t="inlineStr">
        <is>
          <t>integration_test/auth/profile_read_failure_device_test.dart</t>
        </is>
      </c>
      <c r="F19" s="5" t="inlineStr">
        <is>
          <t>Device test: real login on the backend, /auth/me answered 503 inside the test. Optional: a repository unit test for faster feedback.</t>
        </is>
      </c>
      <c r="G19" s="5" t="inlineStr">
        <is>
          <t>drive:integration_test/auth/profile_read_failure_device_test.dart</t>
        </is>
      </c>
    </row>
    <row r="20">
      <c r="A20" s="5" t="inlineStr">
        <is>
          <t>TC-AUTH-019</t>
        </is>
      </c>
      <c r="B20" s="5" t="inlineStr">
        <is>
          <t>Five wrong passwords lock the account (backend rule)</t>
        </is>
      </c>
      <c r="C20" s="5" t="inlineStr">
        <is>
          <t>Planned</t>
        </is>
      </c>
      <c r="D20" s="5" t="inlineStr">
        <is>
          <t>Manual</t>
        </is>
      </c>
      <c r="E20" s="5" t="inlineStr">
        <is>
          <t>—</t>
        </is>
      </c>
      <c r="F20" s="5" t="inlineStr">
        <is>
          <t>Manual only on mobile; the lockout rule belongs in backend API tests.</t>
        </is>
      </c>
      <c r="G20" s="5" t="inlineStr">
        <is>
          <t>manual</t>
        </is>
      </c>
    </row>
    <row r="21">
      <c r="A21" s="5" t="inlineStr">
        <is>
          <t>TC-AUTH-020</t>
        </is>
      </c>
      <c r="B21" s="5" t="inlineStr">
        <is>
          <t>Offline error in the reset flow is shown in Khmer</t>
        </is>
      </c>
      <c r="C21" s="5" t="inlineStr">
        <is>
          <t>Planned</t>
        </is>
      </c>
      <c r="D21" s="5" t="inlineStr">
        <is>
          <t>Manual</t>
        </is>
      </c>
      <c r="E21" s="5" t="inlineStr">
        <is>
          <t>—</t>
        </is>
      </c>
      <c r="F21" s="5" t="inlineStr">
        <is>
          <t>Widget test in km with a NetworkFailure on each reset step.</t>
        </is>
      </c>
      <c r="G21" s="5" t="inlineStr">
        <is>
          <t>manual</t>
        </is>
      </c>
    </row>
    <row r="22">
      <c r="A22" s="5" t="inlineStr">
        <is>
          <t>TC-SES-001</t>
        </is>
      </c>
      <c r="B22" s="5" t="inlineStr">
        <is>
          <t>Signed-in rep reopens the app offline</t>
        </is>
      </c>
      <c r="C22" s="5" t="inlineStr">
        <is>
          <t>Planned</t>
        </is>
      </c>
      <c r="D22" s="5" t="inlineStr">
        <is>
          <t>Manual</t>
        </is>
      </c>
      <c r="E22" s="5" t="inlineStr">
        <is>
          <t>—</t>
        </is>
      </c>
      <c r="F22" s="5" t="inlineStr">
        <is>
          <t>AuthBloc restore unit test.</t>
        </is>
      </c>
      <c r="G22" s="5" t="inlineStr">
        <is>
          <t>manual</t>
        </is>
      </c>
    </row>
    <row r="23">
      <c r="A23" s="5" t="inlineStr">
        <is>
          <t>TC-SES-002</t>
        </is>
      </c>
      <c r="B23" s="5" t="inlineStr">
        <is>
          <t>Expired access token refreshes once and replays</t>
        </is>
      </c>
      <c r="C23" s="5" t="inlineStr">
        <is>
          <t>Automated</t>
        </is>
      </c>
      <c r="D23" s="5" t="inlineStr">
        <is>
          <t>Unit</t>
        </is>
      </c>
      <c r="E23" s="5" t="inlineStr">
        <is>
          <t>test/core/network/auth_interceptor_test.dart</t>
        </is>
      </c>
      <c r="F23" s="5" t="inlineStr"/>
      <c r="G23" s="5" t="inlineStr">
        <is>
          <t>flutter:test/core/network/auth_interceptor_test.dart; pytest:tests/api/test_auth.py::test_refresh_rotates_both_tokens_and_the_new_access_token_works; pytest:tests/api/test_auth.py::test_a_rotated_refresh_token_cannot_be_used_again</t>
        </is>
      </c>
    </row>
    <row r="24">
      <c r="A24" s="5" t="inlineStr">
        <is>
          <t>TC-SES-003</t>
        </is>
      </c>
      <c r="B24" s="5" t="inlineStr">
        <is>
          <t>403 never signs the rep out</t>
        </is>
      </c>
      <c r="C24" s="5" t="inlineStr">
        <is>
          <t>Automated</t>
        </is>
      </c>
      <c r="D24" s="5" t="inlineStr">
        <is>
          <t>Unit</t>
        </is>
      </c>
      <c r="E24" s="5" t="inlineStr">
        <is>
          <t>test/core/network/auth_interceptor_test.dart</t>
        </is>
      </c>
      <c r="F24" s="5" t="inlineStr"/>
      <c r="G24" s="5" t="inlineStr">
        <is>
          <t>flutter:test/core/network/auth_interceptor_test.dart</t>
        </is>
      </c>
    </row>
    <row r="25">
      <c r="A25" s="5" t="inlineStr">
        <is>
          <t>TC-SES-004</t>
        </is>
      </c>
      <c r="B25" s="5" t="inlineStr">
        <is>
          <t>Refresh rejected ends the session</t>
        </is>
      </c>
      <c r="C25" s="5" t="inlineStr">
        <is>
          <t>Automated</t>
        </is>
      </c>
      <c r="D25" s="5" t="inlineStr">
        <is>
          <t>Unit</t>
        </is>
      </c>
      <c r="E25" s="5" t="inlineStr">
        <is>
          <t>test/core/network/auth_interceptor_test.dart</t>
        </is>
      </c>
      <c r="F25" s="5" t="inlineStr"/>
      <c r="G25" s="5" t="inlineStr">
        <is>
          <t>flutter:test/core/network/auth_interceptor_test.dart; pytest:tests/api/test_auth.py::test_refresh_with_an_unknown_token_is_refused; pytest:tests/api/test_auth.py::test_a_protected_route_without_a_token_is_401</t>
        </is>
      </c>
    </row>
    <row r="26">
      <c r="A26" s="5" t="inlineStr">
        <is>
          <t>TC-SES-005</t>
        </is>
      </c>
      <c r="B26" s="5" t="inlineStr">
        <is>
          <t>Sign-out blocked while work is unsent</t>
        </is>
      </c>
      <c r="C26" s="5" t="inlineStr">
        <is>
          <t>Automated</t>
        </is>
      </c>
      <c r="D26" s="5" t="inlineStr">
        <is>
          <t>Widget</t>
        </is>
      </c>
      <c r="E26" s="5" t="inlineStr">
        <is>
          <t>test/features/authentication/auth_logout_test.dart; test/features/profile/unsent_work_dialog_test.dart; test/core/session/unsent_work_order_test.dart</t>
        </is>
      </c>
      <c r="F26" s="5" t="inlineStr"/>
      <c r="G26" s="5" t="inlineStr">
        <is>
          <t>flutter:test/features/authentication/auth_logout_test.dart; flutter:test/features/profile/unsent_work_dialog_test.dart; flutter:test/core/session/unsent_work_order_test.dart</t>
        </is>
      </c>
    </row>
    <row r="27">
      <c r="A27" s="5" t="inlineStr">
        <is>
          <t>TC-SES-006</t>
        </is>
      </c>
      <c r="B27" s="5" t="inlineStr">
        <is>
          <t>A different rep signing in wipes local data</t>
        </is>
      </c>
      <c r="C27" s="5" t="inlineStr">
        <is>
          <t>Automated</t>
        </is>
      </c>
      <c r="D27" s="5" t="inlineStr">
        <is>
          <t>Unit</t>
        </is>
      </c>
      <c r="E27" s="5" t="inlineStr">
        <is>
          <t>test/core/session/local_data_wipe_test.dart</t>
        </is>
      </c>
      <c r="F27" s="5" t="inlineStr"/>
      <c r="G27" s="5" t="inlineStr">
        <is>
          <t>flutter:test/core/session/local_data_wipe_test.dart</t>
        </is>
      </c>
    </row>
    <row r="28">
      <c r="A28" s="5" t="inlineStr">
        <is>
          <t>TC-SES-007</t>
        </is>
      </c>
      <c r="B28" s="5" t="inlineStr">
        <is>
          <t>Sign-out deregisters push and revokes the session</t>
        </is>
      </c>
      <c r="C28" s="5" t="inlineStr">
        <is>
          <t>Automated</t>
        </is>
      </c>
      <c r="D28" s="5" t="inlineStr">
        <is>
          <t>Unit</t>
        </is>
      </c>
      <c r="E28" s="5" t="inlineStr">
        <is>
          <t>test/features/authentication/auth_repository_logout_test.dart</t>
        </is>
      </c>
      <c r="F28" s="5" t="inlineStr"/>
      <c r="G28" s="5" t="inlineStr">
        <is>
          <t>flutter:test/features/authentication/auth_repository_logout_test.dart; pytest:tests/api/test_auth.py::test_logout_revokes_the_session</t>
        </is>
      </c>
    </row>
    <row r="29">
      <c r="A29" s="5" t="inlineStr">
        <is>
          <t>TC-SES-008</t>
        </is>
      </c>
      <c r="B29" s="5" t="inlineStr">
        <is>
          <t>Transient refresh failure keeps the session</t>
        </is>
      </c>
      <c r="C29" s="5" t="inlineStr">
        <is>
          <t>Automated</t>
        </is>
      </c>
      <c r="D29" s="5" t="inlineStr">
        <is>
          <t>Unit</t>
        </is>
      </c>
      <c r="E29" s="5" t="inlineStr">
        <is>
          <t>test/core/network/auth_interceptor_test.dart</t>
        </is>
      </c>
      <c r="F29" s="5" t="inlineStr"/>
      <c r="G29" s="5" t="inlineStr">
        <is>
          <t>flutter:test/core/network/auth_interceptor_test.dart</t>
        </is>
      </c>
    </row>
    <row r="30">
      <c r="A30" s="5" t="inlineStr">
        <is>
          <t>TC-SES-009</t>
        </is>
      </c>
      <c r="B30" s="5" t="inlineStr">
        <is>
          <t>What the rep sees after the session expires</t>
        </is>
      </c>
      <c r="C30" s="5" t="inlineStr">
        <is>
          <t>Planned</t>
        </is>
      </c>
      <c r="D30" s="5" t="inlineStr">
        <is>
          <t>Manual</t>
        </is>
      </c>
      <c r="E30" s="5" t="inlineStr">
        <is>
          <t>—</t>
        </is>
      </c>
      <c r="F30" s="5" t="inlineStr">
        <is>
          <t>Decide the expected UX first, then a widget test.</t>
        </is>
      </c>
      <c r="G30" s="5" t="inlineStr">
        <is>
          <t>manual</t>
        </is>
      </c>
    </row>
    <row r="31">
      <c r="A31" s="5" t="inlineStr">
        <is>
          <t>TC-SES-010</t>
        </is>
      </c>
      <c r="B31" s="5" t="inlineStr">
        <is>
          <t>Sign-out clears every rep-scoped store</t>
        </is>
      </c>
      <c r="C31" s="5" t="inlineStr">
        <is>
          <t>Automated</t>
        </is>
      </c>
      <c r="D31" s="5" t="inlineStr">
        <is>
          <t>Unit</t>
        </is>
      </c>
      <c r="E31" s="5" t="inlineStr">
        <is>
          <t>test/core/session/session_reset_service_test.dart; test/core/session/session_manager_test.dart</t>
        </is>
      </c>
      <c r="F31" s="5" t="inlineStr"/>
      <c r="G31" s="5" t="inlineStr">
        <is>
          <t>flutter:test/core/session/session_reset_service_test.dart; flutter:test/core/session/session_manager_test.dart</t>
        </is>
      </c>
    </row>
    <row r="32">
      <c r="A32" s="5" t="inlineStr">
        <is>
          <t>TC-PRO-001</t>
        </is>
      </c>
      <c r="B32" s="5" t="inlineStr">
        <is>
          <t>Profile loads and falls back to the cache</t>
        </is>
      </c>
      <c r="C32" s="5" t="inlineStr">
        <is>
          <t>Automated</t>
        </is>
      </c>
      <c r="D32" s="5" t="inlineStr">
        <is>
          <t>Unit</t>
        </is>
      </c>
      <c r="E32" s="5" t="inlineStr">
        <is>
          <t>test/features/profile/auth_backed_profile_test.dart</t>
        </is>
      </c>
      <c r="F32" s="5" t="inlineStr"/>
      <c r="G32" s="5" t="inlineStr">
        <is>
          <t>flutter:test/features/profile/auth_backed_profile_test.dart; pytest:tests/api/test_auth.py::test_my_profile_matches_the_contract</t>
        </is>
      </c>
    </row>
    <row r="33">
      <c r="A33" s="5" t="inlineStr">
        <is>
          <t>TC-PRO-002</t>
        </is>
      </c>
      <c r="B33" s="5" t="inlineStr">
        <is>
          <t>Guest tapping the avatar is asked to sign in</t>
        </is>
      </c>
      <c r="C33" s="5" t="inlineStr">
        <is>
          <t>Partial</t>
        </is>
      </c>
      <c r="D33" s="5" t="inlineStr">
        <is>
          <t>Widget</t>
        </is>
      </c>
      <c r="E33" s="5" t="inlineStr">
        <is>
          <t>test/features/shell/guest_home_screen_test.dart</t>
        </is>
      </c>
      <c r="F33" s="5" t="inlineStr"/>
      <c r="G33" s="5" t="inlineStr">
        <is>
          <t>flutter:test/features/shell/guest_home_screen_test.dart</t>
        </is>
      </c>
    </row>
    <row r="34">
      <c r="A34" s="5" t="inlineStr">
        <is>
          <t>TC-PRO-003</t>
        </is>
      </c>
      <c r="B34" s="5" t="inlineStr">
        <is>
          <t>Upload, replace and remove the profile photo</t>
        </is>
      </c>
      <c r="C34" s="5" t="inlineStr">
        <is>
          <t>Automated</t>
        </is>
      </c>
      <c r="D34" s="5" t="inlineStr">
        <is>
          <t>Unit</t>
        </is>
      </c>
      <c r="E34" s="5" t="inlineStr">
        <is>
          <t>test/features/profile/profile_update_test.dart</t>
        </is>
      </c>
      <c r="F34" s="5" t="inlineStr"/>
      <c r="G34" s="5" t="inlineStr">
        <is>
          <t>flutter:test/features/profile/profile_update_test.dart</t>
        </is>
      </c>
    </row>
    <row r="35">
      <c r="A35" s="5" t="inlineStr">
        <is>
          <t>TC-PRO-004</t>
        </is>
      </c>
      <c r="B35" s="5" t="inlineStr">
        <is>
          <t>Photo errors are explained</t>
        </is>
      </c>
      <c r="C35" s="5" t="inlineStr">
        <is>
          <t>Automated</t>
        </is>
      </c>
      <c r="D35" s="5" t="inlineStr">
        <is>
          <t>Widget</t>
        </is>
      </c>
      <c r="E35" s="5" t="inlineStr">
        <is>
          <t>test/features/profile/profile_edit_ui_test.dart</t>
        </is>
      </c>
      <c r="F35" s="5" t="inlineStr"/>
      <c r="G35" s="5" t="inlineStr">
        <is>
          <t>flutter:test/features/profile/profile_edit_ui_test.dart</t>
        </is>
      </c>
    </row>
    <row r="36">
      <c r="A36" s="5" t="inlineStr">
        <is>
          <t>TC-PRO-005</t>
        </is>
      </c>
      <c r="B36" s="5" t="inlineStr">
        <is>
          <t>Change password tile opens the SMS reset flow</t>
        </is>
      </c>
      <c r="C36" s="5" t="inlineStr">
        <is>
          <t>Planned</t>
        </is>
      </c>
      <c r="D36" s="5" t="inlineStr">
        <is>
          <t>Manual</t>
        </is>
      </c>
      <c r="E36" s="5" t="inlineStr">
        <is>
          <t>—</t>
        </is>
      </c>
      <c r="F36" s="5" t="inlineStr">
        <is>
          <t>Confirm with business that this is intended.</t>
        </is>
      </c>
      <c r="G36" s="5" t="inlineStr">
        <is>
          <t>manual</t>
        </is>
      </c>
    </row>
    <row r="37">
      <c r="A37" s="5" t="inlineStr">
        <is>
          <t>TC-PRO-006</t>
        </is>
      </c>
      <c r="B37" s="5" t="inlineStr">
        <is>
          <t>Profile details: Khmer name, line manager, temporary-password expiry</t>
        </is>
      </c>
      <c r="C37" s="5" t="inlineStr">
        <is>
          <t>Automated</t>
        </is>
      </c>
      <c r="D37" s="5" t="inlineStr">
        <is>
          <t>Widget</t>
        </is>
      </c>
      <c r="E37" s="5" t="inlineStr">
        <is>
          <t>test/features/profile/profile_details_fields_test.dart</t>
        </is>
      </c>
      <c r="F37" s="5" t="inlineStr"/>
      <c r="G37" s="5" t="inlineStr">
        <is>
          <t>flutter:test/features/profile/profile_details_fields_test.dart</t>
        </is>
      </c>
    </row>
  </sheetData>
  <autoFilter ref="A1:F37"/>
  <dataValidations count="2">
    <dataValidation sqref="C2:C2000" showDropDown="0" showInputMessage="0" showErrorMessage="0" allowBlank="1" errorTitle="Automation Status" error="Pick a value from the Automation Status list." type="list">
      <formula1>=Dropdowns!$I$2:$I$5</formula1>
    </dataValidation>
    <dataValidation sqref="D2:D2000" showDropDown="0" showInputMessage="0" showErrorMessage="0" allowBlank="1" errorTitle="Automation Level" error="Pick a value from the Automation Level list." type="list">
      <formula1>=Dropdowns!$J$2:$J$7</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00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4" customWidth="1" min="2" max="2"/>
    <col width="12" customWidth="1" min="3" max="3"/>
    <col width="14" customWidth="1" min="4" max="4"/>
    <col width="12" customWidth="1" min="5" max="5"/>
    <col width="11" customWidth="1" min="6" max="6"/>
    <col width="16" customWidth="1" min="7" max="7"/>
    <col width="11" customWidth="1" min="8" max="8"/>
    <col width="11" customWidth="1" min="9" max="9"/>
    <col width="10" customWidth="1" min="10" max="10"/>
    <col width="13" customWidth="1" min="11" max="11"/>
    <col width="12" customWidth="1" min="12" max="12"/>
    <col width="40" customWidth="1" min="13" max="13"/>
    <col width="9" customWidth="1" min="14" max="14"/>
    <col width="30" customWidth="1" min="15" max="15"/>
    <col width="22" customWidth="1" min="16" max="16"/>
    <col width="20" customWidth="1" min="17" max="17"/>
    <col width="30" customWidth="1" min="18" max="18"/>
    <col width="30" customWidth="1" min="19" max="19"/>
    <col width="44" customWidth="1" min="20" max="20"/>
    <col width="10" customWidth="1" min="21" max="21"/>
    <col width="12" customWidth="1" min="22" max="22"/>
    <col width="11" customWidth="1" min="23" max="23"/>
    <col width="40" customWidth="1" min="24" max="24"/>
    <col width="34" customWidth="1" min="25" max="25"/>
  </cols>
  <sheetData>
    <row r="1" ht="32" customHeight="1">
      <c r="A1" s="4" t="inlineStr">
        <is>
          <t>Run ID</t>
        </is>
      </c>
      <c r="B1" s="4" t="inlineStr">
        <is>
          <t>TC ID</t>
        </is>
      </c>
      <c r="C1" s="4" t="inlineStr">
        <is>
          <t>Executed On</t>
        </is>
      </c>
      <c r="D1" s="4" t="inlineStr">
        <is>
          <t>Executed By</t>
        </is>
      </c>
      <c r="E1" s="4" t="inlineStr">
        <is>
          <t>Environment</t>
        </is>
      </c>
      <c r="F1" s="4" t="inlineStr">
        <is>
          <t>App Version</t>
        </is>
      </c>
      <c r="G1" s="4" t="inlineStr">
        <is>
          <t>Device</t>
        </is>
      </c>
      <c r="H1" s="4" t="inlineStr">
        <is>
          <t>OS Version</t>
        </is>
      </c>
      <c r="I1" s="4" t="inlineStr">
        <is>
          <t>Test Result</t>
        </is>
      </c>
      <c r="J1" s="4" t="inlineStr">
        <is>
          <t>Issue Detected</t>
        </is>
      </c>
      <c r="K1" s="4" t="inlineStr">
        <is>
          <t>Issue Source</t>
        </is>
      </c>
      <c r="L1" s="4" t="inlineStr">
        <is>
          <t>Issue Type</t>
        </is>
      </c>
      <c r="M1" s="4" t="inlineStr">
        <is>
          <t>Error Message</t>
        </is>
      </c>
      <c r="N1" s="4" t="inlineStr">
        <is>
          <t>HTTP Status</t>
        </is>
      </c>
      <c r="O1" s="4" t="inlineStr">
        <is>
          <t>API Endpoint</t>
        </is>
      </c>
      <c r="P1" s="4" t="inlineStr">
        <is>
          <t>Correlation ID</t>
        </is>
      </c>
      <c r="Q1" s="4" t="inlineStr">
        <is>
          <t>errorCode / dioType</t>
        </is>
      </c>
      <c r="R1" s="4" t="inlineStr">
        <is>
          <t>Mobile Evidence</t>
        </is>
      </c>
      <c r="S1" s="4" t="inlineStr">
        <is>
          <t>Backend Evidence</t>
        </is>
      </c>
      <c r="T1" s="4" t="inlineStr">
        <is>
          <t>Root Cause</t>
        </is>
      </c>
      <c r="U1" s="4" t="inlineStr">
        <is>
          <t>Bug ID</t>
        </is>
      </c>
      <c r="V1" s="4" t="inlineStr">
        <is>
          <t>Assigned Team</t>
        </is>
      </c>
      <c r="W1" s="4" t="inlineStr">
        <is>
          <t>Confidence</t>
        </is>
      </c>
      <c r="X1" s="4" t="inlineStr">
        <is>
          <t>Notes</t>
        </is>
      </c>
      <c r="Y1" s="4" t="inlineStr">
        <is>
          <t>Triage Check</t>
        </is>
      </c>
    </row>
    <row r="2">
      <c r="A2" s="5" t="inlineStr">
        <is>
          <t>AUTO-2026-10-08</t>
        </is>
      </c>
      <c r="B2" s="5" t="inlineStr">
        <is>
          <t>TC-AUTH-002</t>
        </is>
      </c>
      <c r="C2" s="5" t="inlineStr">
        <is>
          <t>2026-10-08</t>
        </is>
      </c>
      <c r="D2" s="5" t="inlineStr">
        <is>
          <t>Claude (flutter test)</t>
        </is>
      </c>
      <c r="E2" s="5" t="inlineStr">
        <is>
          <t>Local (unit/widget)</t>
        </is>
      </c>
      <c r="F2" s="5" t="inlineStr">
        <is>
          <t>1.0.0+1 @ 644056f</t>
        </is>
      </c>
      <c r="G2" s="5" t="inlineStr">
        <is>
          <t>macOS host — flutter test</t>
        </is>
      </c>
      <c r="H2" s="5" t="inlineStr">
        <is>
          <t>n/a</t>
        </is>
      </c>
      <c r="I2" s="5" t="inlineStr">
        <is>
          <t>Pass</t>
        </is>
      </c>
      <c r="J2" s="5" t="inlineStr">
        <is>
          <t>No</t>
        </is>
      </c>
      <c r="K2" s="5" t="n"/>
      <c r="L2" s="5" t="n"/>
      <c r="M2" s="5" t="n"/>
      <c r="N2" s="5" t="n"/>
      <c r="O2" s="5" t="n"/>
      <c r="P2" s="5" t="n"/>
      <c r="Q2" s="5" t="n"/>
      <c r="R2" s="5" t="inlineStr">
        <is>
          <t>login_no_otp_test.dart: 2 passed; auth_me_profile_test.dart: 5 passed</t>
        </is>
      </c>
      <c r="S2" s="5" t="n"/>
      <c r="T2" s="5" t="n"/>
      <c r="U2" s="5" t="n"/>
      <c r="V2" s="5" t="n"/>
      <c r="W2" s="5" t="n"/>
      <c r="X2" s="5" t="inlineStr">
        <is>
          <t>Automated part only — E2E device test with a UAT account.</t>
        </is>
      </c>
      <c r="Y2" s="5">
        <f>IF(I2="","",IF(AND(I2="Fail",K2=""),"Classify Issue Source",IF(AND(I2="Fail",W2=""),"Set Confidence",IF(AND(K2="Unknown",W2&lt;&gt;"Low"),"Unknown must be Low confidence",IF(AND(OR(K2="Backend",K2="SAP"),N2=""),"Add HTTP status + endpoint",IF(AND(OR(K2="Backend",K2="SAP",K2="Network"),P2=""),"Add Correlation ID",IF(AND(I2="Fail",T2=""),"Write Root Cause / evidence gap",IF(AND(I2="Fail",V2=""),"Assign team","OK"))))))))</f>
        <v/>
      </c>
    </row>
    <row r="3">
      <c r="A3" s="5" t="inlineStr">
        <is>
          <t>AUTO-2026-10-08</t>
        </is>
      </c>
      <c r="B3" s="5" t="inlineStr">
        <is>
          <t>TC-AUTH-003</t>
        </is>
      </c>
      <c r="C3" s="5" t="inlineStr">
        <is>
          <t>2026-10-08</t>
        </is>
      </c>
      <c r="D3" s="5" t="inlineStr">
        <is>
          <t>Claude (flutter test)</t>
        </is>
      </c>
      <c r="E3" s="5" t="inlineStr">
        <is>
          <t>Local (unit/widget)</t>
        </is>
      </c>
      <c r="F3" s="5" t="inlineStr">
        <is>
          <t>1.0.0+1 @ 644056f</t>
        </is>
      </c>
      <c r="G3" s="5" t="inlineStr">
        <is>
          <t>macOS host — flutter test</t>
        </is>
      </c>
      <c r="H3" s="5" t="inlineStr">
        <is>
          <t>n/a</t>
        </is>
      </c>
      <c r="I3" s="5" t="inlineStr">
        <is>
          <t>Pass</t>
        </is>
      </c>
      <c r="J3" s="5" t="inlineStr">
        <is>
          <t>No</t>
        </is>
      </c>
      <c r="K3" s="5" t="n"/>
      <c r="L3" s="5" t="n"/>
      <c r="M3" s="5" t="n"/>
      <c r="N3" s="5" t="n"/>
      <c r="O3" s="5" t="n"/>
      <c r="P3" s="5" t="n"/>
      <c r="Q3" s="5" t="n"/>
      <c r="R3" s="5" t="inlineStr">
        <is>
          <t>login_screen_layout_test.dart: 15 passed; login_keyboard_test.dart: 3 passed; login_keyboard_insets_test.dart: 2 passed</t>
        </is>
      </c>
      <c r="S3" s="5" t="n"/>
      <c r="T3" s="5" t="n"/>
      <c r="U3" s="5" t="n"/>
      <c r="V3" s="5" t="n"/>
      <c r="W3" s="5" t="n"/>
      <c r="X3" s="5" t="inlineStr">
        <is>
          <t>Automated coverage; still run once on a device against UAT.</t>
        </is>
      </c>
      <c r="Y3" s="5">
        <f>IF(I3="","",IF(AND(I3="Fail",K3=""),"Classify Issue Source",IF(AND(I3="Fail",W3=""),"Set Confidence",IF(AND(K3="Unknown",W3&lt;&gt;"Low"),"Unknown must be Low confidence",IF(AND(OR(K3="Backend",K3="SAP"),N3=""),"Add HTTP status + endpoint",IF(AND(OR(K3="Backend",K3="SAP",K3="Network"),P3=""),"Add Correlation ID",IF(AND(I3="Fail",T3=""),"Write Root Cause / evidence gap",IF(AND(I3="Fail",V3=""),"Assign team","OK"))))))))</f>
        <v/>
      </c>
    </row>
    <row r="4">
      <c r="A4" s="5" t="inlineStr">
        <is>
          <t>AUTO-2026-10-08</t>
        </is>
      </c>
      <c r="B4" s="5" t="inlineStr">
        <is>
          <t>TC-AUTH-004</t>
        </is>
      </c>
      <c r="C4" s="5" t="inlineStr">
        <is>
          <t>2026-10-08</t>
        </is>
      </c>
      <c r="D4" s="5" t="inlineStr">
        <is>
          <t>Claude (flutter test)</t>
        </is>
      </c>
      <c r="E4" s="5" t="inlineStr">
        <is>
          <t>Local (unit/widget)</t>
        </is>
      </c>
      <c r="F4" s="5" t="inlineStr">
        <is>
          <t>1.0.0+1 @ 644056f</t>
        </is>
      </c>
      <c r="G4" s="5" t="inlineStr">
        <is>
          <t>macOS host — flutter test</t>
        </is>
      </c>
      <c r="H4" s="5" t="inlineStr">
        <is>
          <t>n/a</t>
        </is>
      </c>
      <c r="I4" s="5" t="inlineStr">
        <is>
          <t>Pass</t>
        </is>
      </c>
      <c r="J4" s="5" t="inlineStr">
        <is>
          <t>No</t>
        </is>
      </c>
      <c r="K4" s="5" t="n"/>
      <c r="L4" s="5" t="n"/>
      <c r="M4" s="5" t="n"/>
      <c r="N4" s="5" t="n"/>
      <c r="O4" s="5" t="n"/>
      <c r="P4" s="5" t="n"/>
      <c r="Q4" s="5" t="n"/>
      <c r="R4" s="5" t="inlineStr">
        <is>
          <t>auth_failure_mapping_test.dart: 1 passed</t>
        </is>
      </c>
      <c r="S4" s="5" t="n"/>
      <c r="T4" s="5" t="n"/>
      <c r="U4" s="5" t="n"/>
      <c r="V4" s="5" t="n"/>
      <c r="W4" s="5" t="n"/>
      <c r="X4" s="5" t="inlineStr">
        <is>
          <t>Automated part only — Widget test for the status pill.</t>
        </is>
      </c>
      <c r="Y4" s="5">
        <f>IF(I4="","",IF(AND(I4="Fail",K4=""),"Classify Issue Source",IF(AND(I4="Fail",W4=""),"Set Confidence",IF(AND(K4="Unknown",W4&lt;&gt;"Low"),"Unknown must be Low confidence",IF(AND(OR(K4="Backend",K4="SAP"),N4=""),"Add HTTP status + endpoint",IF(AND(OR(K4="Backend",K4="SAP",K4="Network"),P4=""),"Add Correlation ID",IF(AND(I4="Fail",T4=""),"Write Root Cause / evidence gap",IF(AND(I4="Fail",V4=""),"Assign team","OK"))))))))</f>
        <v/>
      </c>
    </row>
    <row r="5">
      <c r="A5" s="5" t="inlineStr">
        <is>
          <t>AUTO-2026-10-08</t>
        </is>
      </c>
      <c r="B5" s="5" t="inlineStr">
        <is>
          <t>TC-AUTH-008</t>
        </is>
      </c>
      <c r="C5" s="5" t="inlineStr">
        <is>
          <t>2026-10-08</t>
        </is>
      </c>
      <c r="D5" s="5" t="inlineStr">
        <is>
          <t>Claude (flutter test)</t>
        </is>
      </c>
      <c r="E5" s="5" t="inlineStr">
        <is>
          <t>Local (unit/widget)</t>
        </is>
      </c>
      <c r="F5" s="5" t="inlineStr">
        <is>
          <t>1.0.0+1 @ 644056f</t>
        </is>
      </c>
      <c r="G5" s="5" t="inlineStr">
        <is>
          <t>macOS host — flutter test</t>
        </is>
      </c>
      <c r="H5" s="5" t="inlineStr">
        <is>
          <t>n/a</t>
        </is>
      </c>
      <c r="I5" s="5" t="inlineStr">
        <is>
          <t>Pass</t>
        </is>
      </c>
      <c r="J5" s="5" t="inlineStr">
        <is>
          <t>No</t>
        </is>
      </c>
      <c r="K5" s="5" t="n"/>
      <c r="L5" s="5" t="n"/>
      <c r="M5" s="5" t="n"/>
      <c r="N5" s="5" t="n"/>
      <c r="O5" s="5" t="n"/>
      <c r="P5" s="5" t="n"/>
      <c r="Q5" s="5" t="n"/>
      <c r="R5" s="5" t="inlineStr">
        <is>
          <t>temporary_password_test.dart: 15 passed</t>
        </is>
      </c>
      <c r="S5" s="5" t="n"/>
      <c r="T5" s="5" t="n"/>
      <c r="U5" s="5" t="n"/>
      <c r="V5" s="5" t="n"/>
      <c r="W5" s="5" t="n"/>
      <c r="X5" s="5" t="inlineStr">
        <is>
          <t>Automated part only — Widget test for the server-failure message on submit.</t>
        </is>
      </c>
      <c r="Y5" s="5">
        <f>IF(I5="","",IF(AND(I5="Fail",K5=""),"Classify Issue Source",IF(AND(I5="Fail",W5=""),"Set Confidence",IF(AND(K5="Unknown",W5&lt;&gt;"Low"),"Unknown must be Low confidence",IF(AND(OR(K5="Backend",K5="SAP"),N5=""),"Add HTTP status + endpoint",IF(AND(OR(K5="Backend",K5="SAP",K5="Network"),P5=""),"Add Correlation ID",IF(AND(I5="Fail",T5=""),"Write Root Cause / evidence gap",IF(AND(I5="Fail",V5=""),"Assign team","OK"))))))))</f>
        <v/>
      </c>
    </row>
    <row r="6">
      <c r="A6" s="5" t="inlineStr">
        <is>
          <t>AUTO-2026-10-08</t>
        </is>
      </c>
      <c r="B6" s="5" t="inlineStr">
        <is>
          <t>TC-AUTH-009</t>
        </is>
      </c>
      <c r="C6" s="5" t="inlineStr">
        <is>
          <t>2026-10-08</t>
        </is>
      </c>
      <c r="D6" s="5" t="inlineStr">
        <is>
          <t>Claude (flutter test)</t>
        </is>
      </c>
      <c r="E6" s="5" t="inlineStr">
        <is>
          <t>Local (unit/widget)</t>
        </is>
      </c>
      <c r="F6" s="5" t="inlineStr">
        <is>
          <t>1.0.0+1 @ 644056f</t>
        </is>
      </c>
      <c r="G6" s="5" t="inlineStr">
        <is>
          <t>macOS host — flutter test</t>
        </is>
      </c>
      <c r="H6" s="5" t="inlineStr">
        <is>
          <t>n/a</t>
        </is>
      </c>
      <c r="I6" s="5" t="inlineStr">
        <is>
          <t>Pass</t>
        </is>
      </c>
      <c r="J6" s="5" t="inlineStr">
        <is>
          <t>No</t>
        </is>
      </c>
      <c r="K6" s="5" t="n"/>
      <c r="L6" s="5" t="n"/>
      <c r="M6" s="5" t="n"/>
      <c r="N6" s="5" t="n"/>
      <c r="O6" s="5" t="n"/>
      <c r="P6" s="5" t="n"/>
      <c r="Q6" s="5" t="n"/>
      <c r="R6" s="5" t="inlineStr">
        <is>
          <t>temporary_password_test.dart: 15 passed</t>
        </is>
      </c>
      <c r="S6" s="5" t="n"/>
      <c r="T6" s="5" t="n"/>
      <c r="U6" s="5" t="n"/>
      <c r="V6" s="5" t="n"/>
      <c r="W6" s="5" t="n"/>
      <c r="X6" s="5" t="inlineStr">
        <is>
          <t>Automated part only — Device E2E against UAT (needs an account reset per run).</t>
        </is>
      </c>
      <c r="Y6" s="5">
        <f>IF(I6="","",IF(AND(I6="Fail",K6=""),"Classify Issue Source",IF(AND(I6="Fail",W6=""),"Set Confidence",IF(AND(K6="Unknown",W6&lt;&gt;"Low"),"Unknown must be Low confidence",IF(AND(OR(K6="Backend",K6="SAP"),N6=""),"Add HTTP status + endpoint",IF(AND(OR(K6="Backend",K6="SAP",K6="Network"),P6=""),"Add Correlation ID",IF(AND(I6="Fail",T6=""),"Write Root Cause / evidence gap",IF(AND(I6="Fail",V6=""),"Assign team","OK"))))))))</f>
        <v/>
      </c>
    </row>
    <row r="7">
      <c r="A7" s="5" t="inlineStr">
        <is>
          <t>AUTO-2026-10-08</t>
        </is>
      </c>
      <c r="B7" s="5" t="inlineStr">
        <is>
          <t>TC-AUTH-010</t>
        </is>
      </c>
      <c r="C7" s="5" t="inlineStr">
        <is>
          <t>2026-10-08</t>
        </is>
      </c>
      <c r="D7" s="5" t="inlineStr">
        <is>
          <t>Claude (flutter test)</t>
        </is>
      </c>
      <c r="E7" s="5" t="inlineStr">
        <is>
          <t>Local (unit/widget)</t>
        </is>
      </c>
      <c r="F7" s="5" t="inlineStr">
        <is>
          <t>1.0.0+1 @ 644056f</t>
        </is>
      </c>
      <c r="G7" s="5" t="inlineStr">
        <is>
          <t>macOS host — flutter test</t>
        </is>
      </c>
      <c r="H7" s="5" t="inlineStr">
        <is>
          <t>n/a</t>
        </is>
      </c>
      <c r="I7" s="5" t="inlineStr">
        <is>
          <t>Pass</t>
        </is>
      </c>
      <c r="J7" s="5" t="inlineStr">
        <is>
          <t>No</t>
        </is>
      </c>
      <c r="K7" s="5" t="n"/>
      <c r="L7" s="5" t="n"/>
      <c r="M7" s="5" t="n"/>
      <c r="N7" s="5" t="n"/>
      <c r="O7" s="5" t="n"/>
      <c r="P7" s="5" t="n"/>
      <c r="Q7" s="5" t="n"/>
      <c r="R7" s="5" t="inlineStr">
        <is>
          <t>temporary_password_test.dart: 15 passed</t>
        </is>
      </c>
      <c r="S7" s="5" t="n"/>
      <c r="T7" s="5" t="n"/>
      <c r="U7" s="5" t="n"/>
      <c r="V7" s="5" t="n"/>
      <c r="W7" s="5" t="n"/>
      <c r="X7" s="5" t="inlineStr">
        <is>
          <t>Automated part only — Splash routing test.</t>
        </is>
      </c>
      <c r="Y7" s="5">
        <f>IF(I7="","",IF(AND(I7="Fail",K7=""),"Classify Issue Source",IF(AND(I7="Fail",W7=""),"Set Confidence",IF(AND(K7="Unknown",W7&lt;&gt;"Low"),"Unknown must be Low confidence",IF(AND(OR(K7="Backend",K7="SAP"),N7=""),"Add HTTP status + endpoint",IF(AND(OR(K7="Backend",K7="SAP",K7="Network"),P7=""),"Add Correlation ID",IF(AND(I7="Fail",T7=""),"Write Root Cause / evidence gap",IF(AND(I7="Fail",V7=""),"Assign team","OK"))))))))</f>
        <v/>
      </c>
    </row>
    <row r="8">
      <c r="A8" s="5" t="inlineStr">
        <is>
          <t>AUTO-2026-10-08</t>
        </is>
      </c>
      <c r="B8" s="5" t="inlineStr">
        <is>
          <t>TC-AUTH-011</t>
        </is>
      </c>
      <c r="C8" s="5" t="inlineStr">
        <is>
          <t>2026-10-08</t>
        </is>
      </c>
      <c r="D8" s="5" t="inlineStr">
        <is>
          <t>Claude (flutter test)</t>
        </is>
      </c>
      <c r="E8" s="5" t="inlineStr">
        <is>
          <t>Local (unit/widget)</t>
        </is>
      </c>
      <c r="F8" s="5" t="inlineStr">
        <is>
          <t>1.0.0+1 @ 644056f</t>
        </is>
      </c>
      <c r="G8" s="5" t="inlineStr">
        <is>
          <t>macOS host — flutter test</t>
        </is>
      </c>
      <c r="H8" s="5" t="inlineStr">
        <is>
          <t>n/a</t>
        </is>
      </c>
      <c r="I8" s="5" t="inlineStr">
        <is>
          <t>Pass</t>
        </is>
      </c>
      <c r="J8" s="5" t="inlineStr">
        <is>
          <t>No</t>
        </is>
      </c>
      <c r="K8" s="5" t="n"/>
      <c r="L8" s="5" t="n"/>
      <c r="M8" s="5" t="n"/>
      <c r="N8" s="5" t="n"/>
      <c r="O8" s="5" t="n"/>
      <c r="P8" s="5" t="n"/>
      <c r="Q8" s="5" t="n"/>
      <c r="R8" s="5" t="inlineStr">
        <is>
          <t>forgot_password_flow_test.dart: 1 passed</t>
        </is>
      </c>
      <c r="S8" s="5" t="n"/>
      <c r="T8" s="5" t="n"/>
      <c r="U8" s="5" t="n"/>
      <c r="V8" s="5" t="n"/>
      <c r="W8" s="5" t="n"/>
      <c r="X8" s="5" t="inlineStr">
        <is>
          <t>Automated coverage; still run once on a device against UAT.</t>
        </is>
      </c>
      <c r="Y8" s="5">
        <f>IF(I8="","",IF(AND(I8="Fail",K8=""),"Classify Issue Source",IF(AND(I8="Fail",W8=""),"Set Confidence",IF(AND(K8="Unknown",W8&lt;&gt;"Low"),"Unknown must be Low confidence",IF(AND(OR(K8="Backend",K8="SAP"),N8=""),"Add HTTP status + endpoint",IF(AND(OR(K8="Backend",K8="SAP",K8="Network"),P8=""),"Add Correlation ID",IF(AND(I8="Fail",T8=""),"Write Root Cause / evidence gap",IF(AND(I8="Fail",V8=""),"Assign team","OK"))))))))</f>
        <v/>
      </c>
    </row>
    <row r="9">
      <c r="A9" s="5" t="inlineStr">
        <is>
          <t>AUTO-2026-10-08</t>
        </is>
      </c>
      <c r="B9" s="5" t="inlineStr">
        <is>
          <t>TC-AUTH-012</t>
        </is>
      </c>
      <c r="C9" s="5" t="inlineStr">
        <is>
          <t>2026-10-08</t>
        </is>
      </c>
      <c r="D9" s="5" t="inlineStr">
        <is>
          <t>Claude (flutter test)</t>
        </is>
      </c>
      <c r="E9" s="5" t="inlineStr">
        <is>
          <t>Local (unit/widget)</t>
        </is>
      </c>
      <c r="F9" s="5" t="inlineStr">
        <is>
          <t>1.0.0+1 @ 644056f</t>
        </is>
      </c>
      <c r="G9" s="5" t="inlineStr">
        <is>
          <t>macOS host — flutter test</t>
        </is>
      </c>
      <c r="H9" s="5" t="inlineStr">
        <is>
          <t>n/a</t>
        </is>
      </c>
      <c r="I9" s="5" t="inlineStr">
        <is>
          <t>Pass</t>
        </is>
      </c>
      <c r="J9" s="5" t="inlineStr">
        <is>
          <t>No</t>
        </is>
      </c>
      <c r="K9" s="5" t="n"/>
      <c r="L9" s="5" t="n"/>
      <c r="M9" s="5" t="n"/>
      <c r="N9" s="5" t="n"/>
      <c r="O9" s="5" t="n"/>
      <c r="P9" s="5" t="n"/>
      <c r="Q9" s="5" t="n"/>
      <c r="R9" s="5" t="inlineStr">
        <is>
          <t>password_reset_by_phone_test.dart: 8 passed</t>
        </is>
      </c>
      <c r="S9" s="5" t="n"/>
      <c r="T9" s="5" t="n"/>
      <c r="U9" s="5" t="n"/>
      <c r="V9" s="5" t="n"/>
      <c r="W9" s="5" t="n"/>
      <c r="X9" s="5" t="inlineStr">
        <is>
          <t>Automated part only — OTP screen widget test.</t>
        </is>
      </c>
      <c r="Y9" s="5">
        <f>IF(I9="","",IF(AND(I9="Fail",K9=""),"Classify Issue Source",IF(AND(I9="Fail",W9=""),"Set Confidence",IF(AND(K9="Unknown",W9&lt;&gt;"Low"),"Unknown must be Low confidence",IF(AND(OR(K9="Backend",K9="SAP"),N9=""),"Add HTTP status + endpoint",IF(AND(OR(K9="Backend",K9="SAP",K9="Network"),P9=""),"Add Correlation ID",IF(AND(I9="Fail",T9=""),"Write Root Cause / evidence gap",IF(AND(I9="Fail",V9=""),"Assign team","OK"))))))))</f>
        <v/>
      </c>
    </row>
    <row r="10">
      <c r="A10" s="5" t="inlineStr">
        <is>
          <t>AUTO-2026-10-08</t>
        </is>
      </c>
      <c r="B10" s="5" t="inlineStr">
        <is>
          <t>TC-AUTH-014</t>
        </is>
      </c>
      <c r="C10" s="5" t="inlineStr">
        <is>
          <t>2026-10-08</t>
        </is>
      </c>
      <c r="D10" s="5" t="inlineStr">
        <is>
          <t>Claude (flutter test)</t>
        </is>
      </c>
      <c r="E10" s="5" t="inlineStr">
        <is>
          <t>Local (unit/widget)</t>
        </is>
      </c>
      <c r="F10" s="5" t="inlineStr">
        <is>
          <t>1.0.0+1 @ 644056f</t>
        </is>
      </c>
      <c r="G10" s="5" t="inlineStr">
        <is>
          <t>macOS host — flutter test</t>
        </is>
      </c>
      <c r="H10" s="5" t="inlineStr">
        <is>
          <t>n/a</t>
        </is>
      </c>
      <c r="I10" s="5" t="inlineStr">
        <is>
          <t>Pass</t>
        </is>
      </c>
      <c r="J10" s="5" t="inlineStr">
        <is>
          <t>No</t>
        </is>
      </c>
      <c r="K10" s="5" t="n"/>
      <c r="L10" s="5" t="n"/>
      <c r="M10" s="5" t="n"/>
      <c r="N10" s="5" t="n"/>
      <c r="O10" s="5" t="n"/>
      <c r="P10" s="5" t="n"/>
      <c r="Q10" s="5" t="n"/>
      <c r="R10" s="5" t="inlineStr">
        <is>
          <t>create_new_password_policy_test.dart: 3 passed</t>
        </is>
      </c>
      <c r="S10" s="5" t="n"/>
      <c r="T10" s="5" t="n"/>
      <c r="U10" s="5" t="n"/>
      <c r="V10" s="5" t="n"/>
      <c r="W10" s="5" t="n"/>
      <c r="X10" s="5" t="inlineStr">
        <is>
          <t>Automated coverage; still run once on a device against UAT.</t>
        </is>
      </c>
      <c r="Y10" s="5">
        <f>IF(I10="","",IF(AND(I10="Fail",K10=""),"Classify Issue Source",IF(AND(I10="Fail",W10=""),"Set Confidence",IF(AND(K10="Unknown",W10&lt;&gt;"Low"),"Unknown must be Low confidence",IF(AND(OR(K10="Backend",K10="SAP"),N10=""),"Add HTTP status + endpoint",IF(AND(OR(K10="Backend",K10="SAP",K10="Network"),P10=""),"Add Correlation ID",IF(AND(I10="Fail",T10=""),"Write Root Cause / evidence gap",IF(AND(I10="Fail",V10=""),"Assign team","OK"))))))))</f>
        <v/>
      </c>
    </row>
    <row r="11">
      <c r="A11" s="5" t="inlineStr">
        <is>
          <t>AUTO-2026-10-08</t>
        </is>
      </c>
      <c r="B11" s="5" t="inlineStr">
        <is>
          <t>TC-AUTH-016</t>
        </is>
      </c>
      <c r="C11" s="5" t="inlineStr">
        <is>
          <t>2026-10-08</t>
        </is>
      </c>
      <c r="D11" s="5" t="inlineStr">
        <is>
          <t>Claude (flutter test)</t>
        </is>
      </c>
      <c r="E11" s="5" t="inlineStr">
        <is>
          <t>Local (unit/widget)</t>
        </is>
      </c>
      <c r="F11" s="5" t="inlineStr">
        <is>
          <t>1.0.0+1 @ 644056f</t>
        </is>
      </c>
      <c r="G11" s="5" t="inlineStr">
        <is>
          <t>macOS host — flutter test</t>
        </is>
      </c>
      <c r="H11" s="5" t="inlineStr">
        <is>
          <t>n/a</t>
        </is>
      </c>
      <c r="I11" s="5" t="inlineStr">
        <is>
          <t>Pass</t>
        </is>
      </c>
      <c r="J11" s="5" t="inlineStr">
        <is>
          <t>No</t>
        </is>
      </c>
      <c r="K11" s="5" t="n"/>
      <c r="L11" s="5" t="n"/>
      <c r="M11" s="5" t="n"/>
      <c r="N11" s="5" t="n"/>
      <c r="O11" s="5" t="n"/>
      <c r="P11" s="5" t="n"/>
      <c r="Q11" s="5" t="n"/>
      <c r="R11" s="5" t="inlineStr">
        <is>
          <t>remember_phone_test.dart: 8 passed</t>
        </is>
      </c>
      <c r="S11" s="5" t="n"/>
      <c r="T11" s="5" t="n"/>
      <c r="U11" s="5" t="n"/>
      <c r="V11" s="5" t="n"/>
      <c r="W11" s="5" t="n"/>
      <c r="X11" s="5" t="inlineStr">
        <is>
          <t>Automated coverage; still run once on a device against UAT.</t>
        </is>
      </c>
      <c r="Y11" s="5">
        <f>IF(I11="","",IF(AND(I11="Fail",K11=""),"Classify Issue Source",IF(AND(I11="Fail",W11=""),"Set Confidence",IF(AND(K11="Unknown",W11&lt;&gt;"Low"),"Unknown must be Low confidence",IF(AND(OR(K11="Backend",K11="SAP"),N11=""),"Add HTTP status + endpoint",IF(AND(OR(K11="Backend",K11="SAP",K11="Network"),P11=""),"Add Correlation ID",IF(AND(I11="Fail",T11=""),"Write Root Cause / evidence gap",IF(AND(I11="Fail",V11=""),"Assign team","OK"))))))))</f>
        <v/>
      </c>
    </row>
    <row r="12">
      <c r="A12" s="5" t="inlineStr">
        <is>
          <t>AUTO-2026-10-08</t>
        </is>
      </c>
      <c r="B12" s="5" t="inlineStr">
        <is>
          <t>TC-SES-002</t>
        </is>
      </c>
      <c r="C12" s="5" t="inlineStr">
        <is>
          <t>2026-10-08</t>
        </is>
      </c>
      <c r="D12" s="5" t="inlineStr">
        <is>
          <t>Claude (flutter test)</t>
        </is>
      </c>
      <c r="E12" s="5" t="inlineStr">
        <is>
          <t>Local (unit/widget)</t>
        </is>
      </c>
      <c r="F12" s="5" t="inlineStr">
        <is>
          <t>1.0.0+1 @ 644056f</t>
        </is>
      </c>
      <c r="G12" s="5" t="inlineStr">
        <is>
          <t>macOS host — flutter test</t>
        </is>
      </c>
      <c r="H12" s="5" t="inlineStr">
        <is>
          <t>n/a</t>
        </is>
      </c>
      <c r="I12" s="5" t="inlineStr">
        <is>
          <t>Pass</t>
        </is>
      </c>
      <c r="J12" s="5" t="inlineStr">
        <is>
          <t>No</t>
        </is>
      </c>
      <c r="K12" s="5" t="n"/>
      <c r="L12" s="5" t="n"/>
      <c r="M12" s="5" t="n"/>
      <c r="N12" s="5" t="n"/>
      <c r="O12" s="5" t="n"/>
      <c r="P12" s="5" t="n"/>
      <c r="Q12" s="5" t="n"/>
      <c r="R12" s="5" t="inlineStr">
        <is>
          <t>auth_interceptor_test.dart: 17 passed</t>
        </is>
      </c>
      <c r="S12" s="5" t="n"/>
      <c r="T12" s="5" t="n"/>
      <c r="U12" s="5" t="n"/>
      <c r="V12" s="5" t="n"/>
      <c r="W12" s="5" t="n"/>
      <c r="X12" s="5" t="inlineStr">
        <is>
          <t>Automated coverage; still run once on a device against UAT.</t>
        </is>
      </c>
      <c r="Y12" s="5">
        <f>IF(I12="","",IF(AND(I12="Fail",K12=""),"Classify Issue Source",IF(AND(I12="Fail",W12=""),"Set Confidence",IF(AND(K12="Unknown",W12&lt;&gt;"Low"),"Unknown must be Low confidence",IF(AND(OR(K12="Backend",K12="SAP"),N12=""),"Add HTTP status + endpoint",IF(AND(OR(K12="Backend",K12="SAP",K12="Network"),P12=""),"Add Correlation ID",IF(AND(I12="Fail",T12=""),"Write Root Cause / evidence gap",IF(AND(I12="Fail",V12=""),"Assign team","OK"))))))))</f>
        <v/>
      </c>
    </row>
    <row r="13">
      <c r="A13" s="5" t="inlineStr">
        <is>
          <t>AUTO-2026-10-08</t>
        </is>
      </c>
      <c r="B13" s="5" t="inlineStr">
        <is>
          <t>TC-SES-003</t>
        </is>
      </c>
      <c r="C13" s="5" t="inlineStr">
        <is>
          <t>2026-10-08</t>
        </is>
      </c>
      <c r="D13" s="5" t="inlineStr">
        <is>
          <t>Claude (flutter test)</t>
        </is>
      </c>
      <c r="E13" s="5" t="inlineStr">
        <is>
          <t>Local (unit/widget)</t>
        </is>
      </c>
      <c r="F13" s="5" t="inlineStr">
        <is>
          <t>1.0.0+1 @ 644056f</t>
        </is>
      </c>
      <c r="G13" s="5" t="inlineStr">
        <is>
          <t>macOS host — flutter test</t>
        </is>
      </c>
      <c r="H13" s="5" t="inlineStr">
        <is>
          <t>n/a</t>
        </is>
      </c>
      <c r="I13" s="5" t="inlineStr">
        <is>
          <t>Pass</t>
        </is>
      </c>
      <c r="J13" s="5" t="inlineStr">
        <is>
          <t>No</t>
        </is>
      </c>
      <c r="K13" s="5" t="n"/>
      <c r="L13" s="5" t="n"/>
      <c r="M13" s="5" t="n"/>
      <c r="N13" s="5" t="n"/>
      <c r="O13" s="5" t="n"/>
      <c r="P13" s="5" t="n"/>
      <c r="Q13" s="5" t="n"/>
      <c r="R13" s="5" t="inlineStr">
        <is>
          <t>auth_interceptor_test.dart: 17 passed</t>
        </is>
      </c>
      <c r="S13" s="5" t="n"/>
      <c r="T13" s="5" t="n"/>
      <c r="U13" s="5" t="n"/>
      <c r="V13" s="5" t="n"/>
      <c r="W13" s="5" t="n"/>
      <c r="X13" s="5" t="inlineStr">
        <is>
          <t>Automated coverage; still run once on a device against UAT.</t>
        </is>
      </c>
      <c r="Y13" s="5">
        <f>IF(I13="","",IF(AND(I13="Fail",K13=""),"Classify Issue Source",IF(AND(I13="Fail",W13=""),"Set Confidence",IF(AND(K13="Unknown",W13&lt;&gt;"Low"),"Unknown must be Low confidence",IF(AND(OR(K13="Backend",K13="SAP"),N13=""),"Add HTTP status + endpoint",IF(AND(OR(K13="Backend",K13="SAP",K13="Network"),P13=""),"Add Correlation ID",IF(AND(I13="Fail",T13=""),"Write Root Cause / evidence gap",IF(AND(I13="Fail",V13=""),"Assign team","OK"))))))))</f>
        <v/>
      </c>
    </row>
    <row r="14">
      <c r="A14" s="5" t="inlineStr">
        <is>
          <t>AUTO-2026-10-08</t>
        </is>
      </c>
      <c r="B14" s="5" t="inlineStr">
        <is>
          <t>TC-SES-004</t>
        </is>
      </c>
      <c r="C14" s="5" t="inlineStr">
        <is>
          <t>2026-10-08</t>
        </is>
      </c>
      <c r="D14" s="5" t="inlineStr">
        <is>
          <t>Claude (flutter test)</t>
        </is>
      </c>
      <c r="E14" s="5" t="inlineStr">
        <is>
          <t>Local (unit/widget)</t>
        </is>
      </c>
      <c r="F14" s="5" t="inlineStr">
        <is>
          <t>1.0.0+1 @ 644056f</t>
        </is>
      </c>
      <c r="G14" s="5" t="inlineStr">
        <is>
          <t>macOS host — flutter test</t>
        </is>
      </c>
      <c r="H14" s="5" t="inlineStr">
        <is>
          <t>n/a</t>
        </is>
      </c>
      <c r="I14" s="5" t="inlineStr">
        <is>
          <t>Pass</t>
        </is>
      </c>
      <c r="J14" s="5" t="inlineStr">
        <is>
          <t>No</t>
        </is>
      </c>
      <c r="K14" s="5" t="n"/>
      <c r="L14" s="5" t="n"/>
      <c r="M14" s="5" t="n"/>
      <c r="N14" s="5" t="n"/>
      <c r="O14" s="5" t="n"/>
      <c r="P14" s="5" t="n"/>
      <c r="Q14" s="5" t="n"/>
      <c r="R14" s="5" t="inlineStr">
        <is>
          <t>auth_interceptor_test.dart: 17 passed</t>
        </is>
      </c>
      <c r="S14" s="5" t="n"/>
      <c r="T14" s="5" t="n"/>
      <c r="U14" s="5" t="n"/>
      <c r="V14" s="5" t="n"/>
      <c r="W14" s="5" t="n"/>
      <c r="X14" s="5" t="inlineStr">
        <is>
          <t>Automated coverage; still run once on a device against UAT.</t>
        </is>
      </c>
      <c r="Y14" s="5">
        <f>IF(I14="","",IF(AND(I14="Fail",K14=""),"Classify Issue Source",IF(AND(I14="Fail",W14=""),"Set Confidence",IF(AND(K14="Unknown",W14&lt;&gt;"Low"),"Unknown must be Low confidence",IF(AND(OR(K14="Backend",K14="SAP"),N14=""),"Add HTTP status + endpoint",IF(AND(OR(K14="Backend",K14="SAP",K14="Network"),P14=""),"Add Correlation ID",IF(AND(I14="Fail",T14=""),"Write Root Cause / evidence gap",IF(AND(I14="Fail",V14=""),"Assign team","OK"))))))))</f>
        <v/>
      </c>
    </row>
    <row r="15">
      <c r="A15" s="5" t="inlineStr">
        <is>
          <t>AUTO-2026-10-08</t>
        </is>
      </c>
      <c r="B15" s="5" t="inlineStr">
        <is>
          <t>TC-SES-005</t>
        </is>
      </c>
      <c r="C15" s="5" t="inlineStr">
        <is>
          <t>2026-10-08</t>
        </is>
      </c>
      <c r="D15" s="5" t="inlineStr">
        <is>
          <t>Claude (flutter test)</t>
        </is>
      </c>
      <c r="E15" s="5" t="inlineStr">
        <is>
          <t>Local (unit/widget)</t>
        </is>
      </c>
      <c r="F15" s="5" t="inlineStr">
        <is>
          <t>1.0.0+1 @ 644056f</t>
        </is>
      </c>
      <c r="G15" s="5" t="inlineStr">
        <is>
          <t>macOS host — flutter test</t>
        </is>
      </c>
      <c r="H15" s="5" t="inlineStr">
        <is>
          <t>n/a</t>
        </is>
      </c>
      <c r="I15" s="5" t="inlineStr">
        <is>
          <t>Pass</t>
        </is>
      </c>
      <c r="J15" s="5" t="inlineStr">
        <is>
          <t>No</t>
        </is>
      </c>
      <c r="K15" s="5" t="n"/>
      <c r="L15" s="5" t="n"/>
      <c r="M15" s="5" t="n"/>
      <c r="N15" s="5" t="n"/>
      <c r="O15" s="5" t="n"/>
      <c r="P15" s="5" t="n"/>
      <c r="Q15" s="5" t="n"/>
      <c r="R15" s="5" t="inlineStr">
        <is>
          <t>auth_logout_test.dart: 8 passed; unsent_work_dialog_test.dart: 4 passed; unsent_work_order_test.dart: 4 passed</t>
        </is>
      </c>
      <c r="S15" s="5" t="n"/>
      <c r="T15" s="5" t="n"/>
      <c r="U15" s="5" t="n"/>
      <c r="V15" s="5" t="n"/>
      <c r="W15" s="5" t="n"/>
      <c r="X15" s="5" t="inlineStr">
        <is>
          <t>Automated coverage; still run once on a device against UAT.</t>
        </is>
      </c>
      <c r="Y15" s="5">
        <f>IF(I15="","",IF(AND(I15="Fail",K15=""),"Classify Issue Source",IF(AND(I15="Fail",W15=""),"Set Confidence",IF(AND(K15="Unknown",W15&lt;&gt;"Low"),"Unknown must be Low confidence",IF(AND(OR(K15="Backend",K15="SAP"),N15=""),"Add HTTP status + endpoint",IF(AND(OR(K15="Backend",K15="SAP",K15="Network"),P15=""),"Add Correlation ID",IF(AND(I15="Fail",T15=""),"Write Root Cause / evidence gap",IF(AND(I15="Fail",V15=""),"Assign team","OK"))))))))</f>
        <v/>
      </c>
    </row>
    <row r="16">
      <c r="A16" s="5" t="inlineStr">
        <is>
          <t>AUTO-2026-10-08</t>
        </is>
      </c>
      <c r="B16" s="5" t="inlineStr">
        <is>
          <t>TC-SES-006</t>
        </is>
      </c>
      <c r="C16" s="5" t="inlineStr">
        <is>
          <t>2026-10-08</t>
        </is>
      </c>
      <c r="D16" s="5" t="inlineStr">
        <is>
          <t>Claude (flutter test)</t>
        </is>
      </c>
      <c r="E16" s="5" t="inlineStr">
        <is>
          <t>Local (unit/widget)</t>
        </is>
      </c>
      <c r="F16" s="5" t="inlineStr">
        <is>
          <t>1.0.0+1 @ 644056f</t>
        </is>
      </c>
      <c r="G16" s="5" t="inlineStr">
        <is>
          <t>macOS host — flutter test</t>
        </is>
      </c>
      <c r="H16" s="5" t="inlineStr">
        <is>
          <t>n/a</t>
        </is>
      </c>
      <c r="I16" s="5" t="inlineStr">
        <is>
          <t>Pass</t>
        </is>
      </c>
      <c r="J16" s="5" t="inlineStr">
        <is>
          <t>No</t>
        </is>
      </c>
      <c r="K16" s="5" t="n"/>
      <c r="L16" s="5" t="n"/>
      <c r="M16" s="5" t="n"/>
      <c r="N16" s="5" t="n"/>
      <c r="O16" s="5" t="n"/>
      <c r="P16" s="5" t="n"/>
      <c r="Q16" s="5" t="n"/>
      <c r="R16" s="5" t="inlineStr">
        <is>
          <t>local_data_wipe_test.dart: 9 passed</t>
        </is>
      </c>
      <c r="S16" s="5" t="n"/>
      <c r="T16" s="5" t="n"/>
      <c r="U16" s="5" t="n"/>
      <c r="V16" s="5" t="n"/>
      <c r="W16" s="5" t="n"/>
      <c r="X16" s="5" t="inlineStr">
        <is>
          <t>Automated coverage; still run once on a device against UAT.</t>
        </is>
      </c>
      <c r="Y16" s="5">
        <f>IF(I16="","",IF(AND(I16="Fail",K16=""),"Classify Issue Source",IF(AND(I16="Fail",W16=""),"Set Confidence",IF(AND(K16="Unknown",W16&lt;&gt;"Low"),"Unknown must be Low confidence",IF(AND(OR(K16="Backend",K16="SAP"),N16=""),"Add HTTP status + endpoint",IF(AND(OR(K16="Backend",K16="SAP",K16="Network"),P16=""),"Add Correlation ID",IF(AND(I16="Fail",T16=""),"Write Root Cause / evidence gap",IF(AND(I16="Fail",V16=""),"Assign team","OK"))))))))</f>
        <v/>
      </c>
    </row>
    <row r="17">
      <c r="A17" s="5" t="inlineStr">
        <is>
          <t>AUTO-2026-10-08</t>
        </is>
      </c>
      <c r="B17" s="5" t="inlineStr">
        <is>
          <t>TC-SES-007</t>
        </is>
      </c>
      <c r="C17" s="5" t="inlineStr">
        <is>
          <t>2026-10-08</t>
        </is>
      </c>
      <c r="D17" s="5" t="inlineStr">
        <is>
          <t>Claude (flutter test)</t>
        </is>
      </c>
      <c r="E17" s="5" t="inlineStr">
        <is>
          <t>Local (unit/widget)</t>
        </is>
      </c>
      <c r="F17" s="5" t="inlineStr">
        <is>
          <t>1.0.0+1 @ 644056f</t>
        </is>
      </c>
      <c r="G17" s="5" t="inlineStr">
        <is>
          <t>macOS host — flutter test</t>
        </is>
      </c>
      <c r="H17" s="5" t="inlineStr">
        <is>
          <t>n/a</t>
        </is>
      </c>
      <c r="I17" s="5" t="inlineStr">
        <is>
          <t>Pass</t>
        </is>
      </c>
      <c r="J17" s="5" t="inlineStr">
        <is>
          <t>No</t>
        </is>
      </c>
      <c r="K17" s="5" t="n"/>
      <c r="L17" s="5" t="n"/>
      <c r="M17" s="5" t="n"/>
      <c r="N17" s="5" t="n"/>
      <c r="O17" s="5" t="n"/>
      <c r="P17" s="5" t="n"/>
      <c r="Q17" s="5" t="n"/>
      <c r="R17" s="5" t="inlineStr">
        <is>
          <t>auth_repository_logout_test.dart: 5 passed</t>
        </is>
      </c>
      <c r="S17" s="5" t="n"/>
      <c r="T17" s="5" t="n"/>
      <c r="U17" s="5" t="n"/>
      <c r="V17" s="5" t="n"/>
      <c r="W17" s="5" t="n"/>
      <c r="X17" s="5" t="inlineStr">
        <is>
          <t>Automated coverage; still run once on a device against UAT.</t>
        </is>
      </c>
      <c r="Y17" s="5">
        <f>IF(I17="","",IF(AND(I17="Fail",K17=""),"Classify Issue Source",IF(AND(I17="Fail",W17=""),"Set Confidence",IF(AND(K17="Unknown",W17&lt;&gt;"Low"),"Unknown must be Low confidence",IF(AND(OR(K17="Backend",K17="SAP"),N17=""),"Add HTTP status + endpoint",IF(AND(OR(K17="Backend",K17="SAP",K17="Network"),P17=""),"Add Correlation ID",IF(AND(I17="Fail",T17=""),"Write Root Cause / evidence gap",IF(AND(I17="Fail",V17=""),"Assign team","OK"))))))))</f>
        <v/>
      </c>
    </row>
    <row r="18">
      <c r="A18" s="5" t="inlineStr">
        <is>
          <t>AUTO-2026-10-08</t>
        </is>
      </c>
      <c r="B18" s="5" t="inlineStr">
        <is>
          <t>TC-SES-008</t>
        </is>
      </c>
      <c r="C18" s="5" t="inlineStr">
        <is>
          <t>2026-10-08</t>
        </is>
      </c>
      <c r="D18" s="5" t="inlineStr">
        <is>
          <t>Claude (flutter test)</t>
        </is>
      </c>
      <c r="E18" s="5" t="inlineStr">
        <is>
          <t>Local (unit/widget)</t>
        </is>
      </c>
      <c r="F18" s="5" t="inlineStr">
        <is>
          <t>1.0.0+1 @ 644056f</t>
        </is>
      </c>
      <c r="G18" s="5" t="inlineStr">
        <is>
          <t>macOS host — flutter test</t>
        </is>
      </c>
      <c r="H18" s="5" t="inlineStr">
        <is>
          <t>n/a</t>
        </is>
      </c>
      <c r="I18" s="5" t="inlineStr">
        <is>
          <t>Pass</t>
        </is>
      </c>
      <c r="J18" s="5" t="inlineStr">
        <is>
          <t>No</t>
        </is>
      </c>
      <c r="K18" s="5" t="n"/>
      <c r="L18" s="5" t="n"/>
      <c r="M18" s="5" t="n"/>
      <c r="N18" s="5" t="n"/>
      <c r="O18" s="5" t="n"/>
      <c r="P18" s="5" t="n"/>
      <c r="Q18" s="5" t="n"/>
      <c r="R18" s="5" t="inlineStr">
        <is>
          <t>auth_interceptor_test.dart: 17 passed</t>
        </is>
      </c>
      <c r="S18" s="5" t="n"/>
      <c r="T18" s="5" t="n"/>
      <c r="U18" s="5" t="n"/>
      <c r="V18" s="5" t="n"/>
      <c r="W18" s="5" t="n"/>
      <c r="X18" s="5" t="inlineStr">
        <is>
          <t>Automated coverage; still run once on a device against UAT.</t>
        </is>
      </c>
      <c r="Y18" s="5">
        <f>IF(I18="","",IF(AND(I18="Fail",K18=""),"Classify Issue Source",IF(AND(I18="Fail",W18=""),"Set Confidence",IF(AND(K18="Unknown",W18&lt;&gt;"Low"),"Unknown must be Low confidence",IF(AND(OR(K18="Backend",K18="SAP"),N18=""),"Add HTTP status + endpoint",IF(AND(OR(K18="Backend",K18="SAP",K18="Network"),P18=""),"Add Correlation ID",IF(AND(I18="Fail",T18=""),"Write Root Cause / evidence gap",IF(AND(I18="Fail",V18=""),"Assign team","OK"))))))))</f>
        <v/>
      </c>
    </row>
    <row r="19">
      <c r="A19" s="5" t="inlineStr">
        <is>
          <t>AUTO-2026-10-08</t>
        </is>
      </c>
      <c r="B19" s="5" t="inlineStr">
        <is>
          <t>TC-SES-010</t>
        </is>
      </c>
      <c r="C19" s="5" t="inlineStr">
        <is>
          <t>2026-10-08</t>
        </is>
      </c>
      <c r="D19" s="5" t="inlineStr">
        <is>
          <t>Claude (flutter test)</t>
        </is>
      </c>
      <c r="E19" s="5" t="inlineStr">
        <is>
          <t>Local (unit/widget)</t>
        </is>
      </c>
      <c r="F19" s="5" t="inlineStr">
        <is>
          <t>1.0.0+1 @ 644056f</t>
        </is>
      </c>
      <c r="G19" s="5" t="inlineStr">
        <is>
          <t>macOS host — flutter test</t>
        </is>
      </c>
      <c r="H19" s="5" t="inlineStr">
        <is>
          <t>n/a</t>
        </is>
      </c>
      <c r="I19" s="5" t="inlineStr">
        <is>
          <t>Pass</t>
        </is>
      </c>
      <c r="J19" s="5" t="inlineStr">
        <is>
          <t>No</t>
        </is>
      </c>
      <c r="K19" s="5" t="n"/>
      <c r="L19" s="5" t="n"/>
      <c r="M19" s="5" t="n"/>
      <c r="N19" s="5" t="n"/>
      <c r="O19" s="5" t="n"/>
      <c r="P19" s="5" t="n"/>
      <c r="Q19" s="5" t="n"/>
      <c r="R19" s="5" t="inlineStr">
        <is>
          <t>session_reset_service_test.dart: 3 passed; session_manager_test.dart: 9 passed</t>
        </is>
      </c>
      <c r="S19" s="5" t="n"/>
      <c r="T19" s="5" t="n"/>
      <c r="U19" s="5" t="n"/>
      <c r="V19" s="5" t="n"/>
      <c r="W19" s="5" t="n"/>
      <c r="X19" s="5" t="inlineStr">
        <is>
          <t>Automated coverage; still run once on a device against UAT.</t>
        </is>
      </c>
      <c r="Y19" s="5">
        <f>IF(I19="","",IF(AND(I19="Fail",K19=""),"Classify Issue Source",IF(AND(I19="Fail",W19=""),"Set Confidence",IF(AND(K19="Unknown",W19&lt;&gt;"Low"),"Unknown must be Low confidence",IF(AND(OR(K19="Backend",K19="SAP"),N19=""),"Add HTTP status + endpoint",IF(AND(OR(K19="Backend",K19="SAP",K19="Network"),P19=""),"Add Correlation ID",IF(AND(I19="Fail",T19=""),"Write Root Cause / evidence gap",IF(AND(I19="Fail",V19=""),"Assign team","OK"))))))))</f>
        <v/>
      </c>
    </row>
    <row r="20">
      <c r="A20" s="5" t="inlineStr">
        <is>
          <t>AUTO-2026-10-08</t>
        </is>
      </c>
      <c r="B20" s="5" t="inlineStr">
        <is>
          <t>TC-PRO-001</t>
        </is>
      </c>
      <c r="C20" s="5" t="inlineStr">
        <is>
          <t>2026-10-08</t>
        </is>
      </c>
      <c r="D20" s="5" t="inlineStr">
        <is>
          <t>Claude (flutter test)</t>
        </is>
      </c>
      <c r="E20" s="5" t="inlineStr">
        <is>
          <t>Local (unit/widget)</t>
        </is>
      </c>
      <c r="F20" s="5" t="inlineStr">
        <is>
          <t>1.0.0+1 @ 644056f</t>
        </is>
      </c>
      <c r="G20" s="5" t="inlineStr">
        <is>
          <t>macOS host — flutter test</t>
        </is>
      </c>
      <c r="H20" s="5" t="inlineStr">
        <is>
          <t>n/a</t>
        </is>
      </c>
      <c r="I20" s="5" t="inlineStr">
        <is>
          <t>Pass</t>
        </is>
      </c>
      <c r="J20" s="5" t="inlineStr">
        <is>
          <t>No</t>
        </is>
      </c>
      <c r="K20" s="5" t="n"/>
      <c r="L20" s="5" t="n"/>
      <c r="M20" s="5" t="n"/>
      <c r="N20" s="5" t="n"/>
      <c r="O20" s="5" t="n"/>
      <c r="P20" s="5" t="n"/>
      <c r="Q20" s="5" t="n"/>
      <c r="R20" s="5" t="inlineStr">
        <is>
          <t>auth_backed_profile_test.dart: 15 passed</t>
        </is>
      </c>
      <c r="S20" s="5" t="n"/>
      <c r="T20" s="5" t="n"/>
      <c r="U20" s="5" t="n"/>
      <c r="V20" s="5" t="n"/>
      <c r="W20" s="5" t="n"/>
      <c r="X20" s="5" t="inlineStr">
        <is>
          <t>Automated coverage; still run once on a device against UAT.</t>
        </is>
      </c>
      <c r="Y20" s="5">
        <f>IF(I20="","",IF(AND(I20="Fail",K20=""),"Classify Issue Source",IF(AND(I20="Fail",W20=""),"Set Confidence",IF(AND(K20="Unknown",W20&lt;&gt;"Low"),"Unknown must be Low confidence",IF(AND(OR(K20="Backend",K20="SAP"),N20=""),"Add HTTP status + endpoint",IF(AND(OR(K20="Backend",K20="SAP",K20="Network"),P20=""),"Add Correlation ID",IF(AND(I20="Fail",T20=""),"Write Root Cause / evidence gap",IF(AND(I20="Fail",V20=""),"Assign team","OK"))))))))</f>
        <v/>
      </c>
    </row>
    <row r="21">
      <c r="A21" s="5" t="inlineStr">
        <is>
          <t>AUTO-2026-10-08</t>
        </is>
      </c>
      <c r="B21" s="5" t="inlineStr">
        <is>
          <t>TC-PRO-003</t>
        </is>
      </c>
      <c r="C21" s="5" t="inlineStr">
        <is>
          <t>2026-10-08</t>
        </is>
      </c>
      <c r="D21" s="5" t="inlineStr">
        <is>
          <t>Claude (flutter test)</t>
        </is>
      </c>
      <c r="E21" s="5" t="inlineStr">
        <is>
          <t>Local (unit/widget)</t>
        </is>
      </c>
      <c r="F21" s="5" t="inlineStr">
        <is>
          <t>1.0.0+1 @ 644056f</t>
        </is>
      </c>
      <c r="G21" s="5" t="inlineStr">
        <is>
          <t>macOS host — flutter test</t>
        </is>
      </c>
      <c r="H21" s="5" t="inlineStr">
        <is>
          <t>n/a</t>
        </is>
      </c>
      <c r="I21" s="5" t="inlineStr">
        <is>
          <t>Pass</t>
        </is>
      </c>
      <c r="J21" s="5" t="inlineStr">
        <is>
          <t>No</t>
        </is>
      </c>
      <c r="K21" s="5" t="n"/>
      <c r="L21" s="5" t="n"/>
      <c r="M21" s="5" t="n"/>
      <c r="N21" s="5" t="n"/>
      <c r="O21" s="5" t="n"/>
      <c r="P21" s="5" t="n"/>
      <c r="Q21" s="5" t="n"/>
      <c r="R21" s="5" t="inlineStr">
        <is>
          <t>profile_update_test.dart: 15 passed</t>
        </is>
      </c>
      <c r="S21" s="5" t="n"/>
      <c r="T21" s="5" t="n"/>
      <c r="U21" s="5" t="n"/>
      <c r="V21" s="5" t="n"/>
      <c r="W21" s="5" t="n"/>
      <c r="X21" s="5" t="inlineStr">
        <is>
          <t>Automated coverage; still run once on a device against UAT.</t>
        </is>
      </c>
      <c r="Y21" s="5">
        <f>IF(I21="","",IF(AND(I21="Fail",K21=""),"Classify Issue Source",IF(AND(I21="Fail",W21=""),"Set Confidence",IF(AND(K21="Unknown",W21&lt;&gt;"Low"),"Unknown must be Low confidence",IF(AND(OR(K21="Backend",K21="SAP"),N21=""),"Add HTTP status + endpoint",IF(AND(OR(K21="Backend",K21="SAP",K21="Network"),P21=""),"Add Correlation ID",IF(AND(I21="Fail",T21=""),"Write Root Cause / evidence gap",IF(AND(I21="Fail",V21=""),"Assign team","OK"))))))))</f>
        <v/>
      </c>
    </row>
    <row r="22">
      <c r="A22" s="5" t="inlineStr">
        <is>
          <t>AUTO-2026-10-08</t>
        </is>
      </c>
      <c r="B22" s="5" t="inlineStr">
        <is>
          <t>TC-PRO-004</t>
        </is>
      </c>
      <c r="C22" s="5" t="inlineStr">
        <is>
          <t>2026-10-08</t>
        </is>
      </c>
      <c r="D22" s="5" t="inlineStr">
        <is>
          <t>Claude (flutter test)</t>
        </is>
      </c>
      <c r="E22" s="5" t="inlineStr">
        <is>
          <t>Local (unit/widget)</t>
        </is>
      </c>
      <c r="F22" s="5" t="inlineStr">
        <is>
          <t>1.0.0+1 @ 644056f</t>
        </is>
      </c>
      <c r="G22" s="5" t="inlineStr">
        <is>
          <t>macOS host — flutter test</t>
        </is>
      </c>
      <c r="H22" s="5" t="inlineStr">
        <is>
          <t>n/a</t>
        </is>
      </c>
      <c r="I22" s="5" t="inlineStr">
        <is>
          <t>Pass</t>
        </is>
      </c>
      <c r="J22" s="5" t="inlineStr">
        <is>
          <t>No</t>
        </is>
      </c>
      <c r="K22" s="5" t="n"/>
      <c r="L22" s="5" t="n"/>
      <c r="M22" s="5" t="n"/>
      <c r="N22" s="5" t="n"/>
      <c r="O22" s="5" t="n"/>
      <c r="P22" s="5" t="n"/>
      <c r="Q22" s="5" t="n"/>
      <c r="R22" s="5" t="inlineStr">
        <is>
          <t>profile_edit_ui_test.dart: 31 passed</t>
        </is>
      </c>
      <c r="S22" s="5" t="n"/>
      <c r="T22" s="5" t="n"/>
      <c r="U22" s="5" t="n"/>
      <c r="V22" s="5" t="n"/>
      <c r="W22" s="5" t="n"/>
      <c r="X22" s="5" t="inlineStr">
        <is>
          <t>Automated coverage; still run once on a device against UAT.</t>
        </is>
      </c>
      <c r="Y22" s="5">
        <f>IF(I22="","",IF(AND(I22="Fail",K22=""),"Classify Issue Source",IF(AND(I22="Fail",W22=""),"Set Confidence",IF(AND(K22="Unknown",W22&lt;&gt;"Low"),"Unknown must be Low confidence",IF(AND(OR(K22="Backend",K22="SAP"),N22=""),"Add HTTP status + endpoint",IF(AND(OR(K22="Backend",K22="SAP",K22="Network"),P22=""),"Add Correlation ID",IF(AND(I22="Fail",T22=""),"Write Root Cause / evidence gap",IF(AND(I22="Fail",V22=""),"Assign team","OK"))))))))</f>
        <v/>
      </c>
    </row>
    <row r="23">
      <c r="A23" s="5" t="inlineStr">
        <is>
          <t>AUTO-2026-10-08</t>
        </is>
      </c>
      <c r="B23" s="5" t="inlineStr">
        <is>
          <t>TC-PRO-006</t>
        </is>
      </c>
      <c r="C23" s="5" t="inlineStr">
        <is>
          <t>2026-10-08</t>
        </is>
      </c>
      <c r="D23" s="5" t="inlineStr">
        <is>
          <t>Claude (flutter test)</t>
        </is>
      </c>
      <c r="E23" s="5" t="inlineStr">
        <is>
          <t>Local (unit/widget)</t>
        </is>
      </c>
      <c r="F23" s="5" t="inlineStr">
        <is>
          <t>1.0.0+1 @ 644056f</t>
        </is>
      </c>
      <c r="G23" s="5" t="inlineStr">
        <is>
          <t>macOS host — flutter test</t>
        </is>
      </c>
      <c r="H23" s="5" t="inlineStr">
        <is>
          <t>n/a</t>
        </is>
      </c>
      <c r="I23" s="5" t="inlineStr">
        <is>
          <t>Pass</t>
        </is>
      </c>
      <c r="J23" s="5" t="inlineStr">
        <is>
          <t>No</t>
        </is>
      </c>
      <c r="K23" s="5" t="n"/>
      <c r="L23" s="5" t="n"/>
      <c r="M23" s="5" t="n"/>
      <c r="N23" s="5" t="n"/>
      <c r="O23" s="5" t="n"/>
      <c r="P23" s="5" t="n"/>
      <c r="Q23" s="5" t="n"/>
      <c r="R23" s="5" t="inlineStr">
        <is>
          <t>profile_details_fields_test.dart: 11 passed</t>
        </is>
      </c>
      <c r="S23" s="5" t="n"/>
      <c r="T23" s="5" t="n"/>
      <c r="U23" s="5" t="n"/>
      <c r="V23" s="5" t="n"/>
      <c r="W23" s="5" t="n"/>
      <c r="X23" s="5" t="inlineStr">
        <is>
          <t>Automated coverage; still run once on a device against UAT.</t>
        </is>
      </c>
      <c r="Y23" s="5">
        <f>IF(I23="","",IF(AND(I23="Fail",K23=""),"Classify Issue Source",IF(AND(I23="Fail",W23=""),"Set Confidence",IF(AND(K23="Unknown",W23&lt;&gt;"Low"),"Unknown must be Low confidence",IF(AND(OR(K23="Backend",K23="SAP"),N23=""),"Add HTTP status + endpoint",IF(AND(OR(K23="Backend",K23="SAP",K23="Network"),P23=""),"Add Correlation ID",IF(AND(I23="Fail",T23=""),"Write Root Cause / evidence gap",IF(AND(I23="Fail",V23=""),"Assign team","OK"))))))))</f>
        <v/>
      </c>
    </row>
    <row r="24">
      <c r="A24" s="5" t="inlineStr">
        <is>
          <t>UAT-R1</t>
        </is>
      </c>
      <c r="B24" s="5" t="inlineStr">
        <is>
          <t>TC-AUTH-001</t>
        </is>
      </c>
      <c r="C24" s="5" t="n"/>
      <c r="D24" s="5" t="n"/>
      <c r="E24" s="5" t="n"/>
      <c r="F24" s="5" t="n"/>
      <c r="G24" s="5" t="n"/>
      <c r="H24" s="5" t="n"/>
      <c r="I24" s="5" t="inlineStr">
        <is>
          <t>Not Run</t>
        </is>
      </c>
      <c r="J24" s="5" t="n"/>
      <c r="K24" s="5" t="n"/>
      <c r="L24" s="5" t="n"/>
      <c r="M24" s="5" t="n"/>
      <c r="N24" s="5" t="n"/>
      <c r="O24" s="5" t="n"/>
      <c r="P24" s="5" t="n"/>
      <c r="Q24" s="5" t="n"/>
      <c r="R24" s="5" t="n"/>
      <c r="S24" s="5" t="n"/>
      <c r="T24" s="5" t="n"/>
      <c r="U24" s="5" t="n"/>
      <c r="V24" s="5" t="n"/>
      <c r="W24" s="5" t="n"/>
      <c r="X24" s="5" t="n"/>
      <c r="Y24" s="5">
        <f>IF(I24="","",IF(AND(I24="Fail",K24=""),"Classify Issue Source",IF(AND(I24="Fail",W24=""),"Set Confidence",IF(AND(K24="Unknown",W24&lt;&gt;"Low"),"Unknown must be Low confidence",IF(AND(OR(K24="Backend",K24="SAP"),N24=""),"Add HTTP status + endpoint",IF(AND(OR(K24="Backend",K24="SAP",K24="Network"),P24=""),"Add Correlation ID",IF(AND(I24="Fail",T24=""),"Write Root Cause / evidence gap",IF(AND(I24="Fail",V24=""),"Assign team","OK"))))))))</f>
        <v/>
      </c>
    </row>
    <row r="25">
      <c r="A25" s="5" t="inlineStr">
        <is>
          <t>UAT-R1</t>
        </is>
      </c>
      <c r="B25" s="5" t="inlineStr">
        <is>
          <t>TC-AUTH-002</t>
        </is>
      </c>
      <c r="C25" s="5" t="n"/>
      <c r="D25" s="5" t="n"/>
      <c r="E25" s="5" t="n"/>
      <c r="F25" s="5" t="n"/>
      <c r="G25" s="5" t="n"/>
      <c r="H25" s="5" t="n"/>
      <c r="I25" s="5" t="inlineStr">
        <is>
          <t>Not Run</t>
        </is>
      </c>
      <c r="J25" s="5" t="n"/>
      <c r="K25" s="5" t="n"/>
      <c r="L25" s="5" t="n"/>
      <c r="M25" s="5" t="n"/>
      <c r="N25" s="5" t="n"/>
      <c r="O25" s="5" t="n"/>
      <c r="P25" s="5" t="n"/>
      <c r="Q25" s="5" t="n"/>
      <c r="R25" s="5" t="n"/>
      <c r="S25" s="5" t="n"/>
      <c r="T25" s="5" t="n"/>
      <c r="U25" s="5" t="n"/>
      <c r="V25" s="5" t="n"/>
      <c r="W25" s="5" t="n"/>
      <c r="X25" s="5" t="n"/>
      <c r="Y25" s="5">
        <f>IF(I25="","",IF(AND(I25="Fail",K25=""),"Classify Issue Source",IF(AND(I25="Fail",W25=""),"Set Confidence",IF(AND(K25="Unknown",W25&lt;&gt;"Low"),"Unknown must be Low confidence",IF(AND(OR(K25="Backend",K25="SAP"),N25=""),"Add HTTP status + endpoint",IF(AND(OR(K25="Backend",K25="SAP",K25="Network"),P25=""),"Add Correlation ID",IF(AND(I25="Fail",T25=""),"Write Root Cause / evidence gap",IF(AND(I25="Fail",V25=""),"Assign team","OK"))))))))</f>
        <v/>
      </c>
    </row>
    <row r="26">
      <c r="A26" s="5" t="inlineStr">
        <is>
          <t>UAT-R1</t>
        </is>
      </c>
      <c r="B26" s="5" t="inlineStr">
        <is>
          <t>TC-AUTH-003</t>
        </is>
      </c>
      <c r="C26" s="5" t="n"/>
      <c r="D26" s="5" t="n"/>
      <c r="E26" s="5" t="n"/>
      <c r="F26" s="5" t="n"/>
      <c r="G26" s="5" t="n"/>
      <c r="H26" s="5" t="n"/>
      <c r="I26" s="5" t="inlineStr">
        <is>
          <t>Not Run</t>
        </is>
      </c>
      <c r="J26" s="5" t="n"/>
      <c r="K26" s="5" t="n"/>
      <c r="L26" s="5" t="n"/>
      <c r="M26" s="5" t="n"/>
      <c r="N26" s="5" t="n"/>
      <c r="O26" s="5" t="n"/>
      <c r="P26" s="5" t="n"/>
      <c r="Q26" s="5" t="n"/>
      <c r="R26" s="5" t="n"/>
      <c r="S26" s="5" t="n"/>
      <c r="T26" s="5" t="n"/>
      <c r="U26" s="5" t="n"/>
      <c r="V26" s="5" t="n"/>
      <c r="W26" s="5" t="n"/>
      <c r="X26" s="5" t="n"/>
      <c r="Y26" s="5">
        <f>IF(I26="","",IF(AND(I26="Fail",K26=""),"Classify Issue Source",IF(AND(I26="Fail",W26=""),"Set Confidence",IF(AND(K26="Unknown",W26&lt;&gt;"Low"),"Unknown must be Low confidence",IF(AND(OR(K26="Backend",K26="SAP"),N26=""),"Add HTTP status + endpoint",IF(AND(OR(K26="Backend",K26="SAP",K26="Network"),P26=""),"Add Correlation ID",IF(AND(I26="Fail",T26=""),"Write Root Cause / evidence gap",IF(AND(I26="Fail",V26=""),"Assign team","OK"))))))))</f>
        <v/>
      </c>
    </row>
    <row r="27">
      <c r="A27" s="5" t="inlineStr">
        <is>
          <t>UAT-R1</t>
        </is>
      </c>
      <c r="B27" s="5" t="inlineStr">
        <is>
          <t>TC-AUTH-004</t>
        </is>
      </c>
      <c r="C27" s="5" t="n"/>
      <c r="D27" s="5" t="n"/>
      <c r="E27" s="5" t="n"/>
      <c r="F27" s="5" t="n"/>
      <c r="G27" s="5" t="n"/>
      <c r="H27" s="5" t="n"/>
      <c r="I27" s="5" t="inlineStr">
        <is>
          <t>Not Run</t>
        </is>
      </c>
      <c r="J27" s="5" t="n"/>
      <c r="K27" s="5" t="n"/>
      <c r="L27" s="5" t="n"/>
      <c r="M27" s="5" t="n"/>
      <c r="N27" s="5" t="n"/>
      <c r="O27" s="5" t="n"/>
      <c r="P27" s="5" t="n"/>
      <c r="Q27" s="5" t="n"/>
      <c r="R27" s="5" t="n"/>
      <c r="S27" s="5" t="n"/>
      <c r="T27" s="5" t="n"/>
      <c r="U27" s="5" t="n"/>
      <c r="V27" s="5" t="n"/>
      <c r="W27" s="5" t="n"/>
      <c r="X27" s="5" t="n"/>
      <c r="Y27" s="5">
        <f>IF(I27="","",IF(AND(I27="Fail",K27=""),"Classify Issue Source",IF(AND(I27="Fail",W27=""),"Set Confidence",IF(AND(K27="Unknown",W27&lt;&gt;"Low"),"Unknown must be Low confidence",IF(AND(OR(K27="Backend",K27="SAP"),N27=""),"Add HTTP status + endpoint",IF(AND(OR(K27="Backend",K27="SAP",K27="Network"),P27=""),"Add Correlation ID",IF(AND(I27="Fail",T27=""),"Write Root Cause / evidence gap",IF(AND(I27="Fail",V27=""),"Assign team","OK"))))))))</f>
        <v/>
      </c>
    </row>
    <row r="28">
      <c r="A28" s="5" t="inlineStr">
        <is>
          <t>UAT-R1</t>
        </is>
      </c>
      <c r="B28" s="5" t="inlineStr">
        <is>
          <t>TC-AUTH-005</t>
        </is>
      </c>
      <c r="C28" s="5" t="n"/>
      <c r="D28" s="5" t="n"/>
      <c r="E28" s="5" t="n"/>
      <c r="F28" s="5" t="n"/>
      <c r="G28" s="5" t="n"/>
      <c r="H28" s="5" t="n"/>
      <c r="I28" s="5" t="inlineStr">
        <is>
          <t>Not Run</t>
        </is>
      </c>
      <c r="J28" s="5" t="n"/>
      <c r="K28" s="5" t="n"/>
      <c r="L28" s="5" t="n"/>
      <c r="M28" s="5" t="n"/>
      <c r="N28" s="5" t="n"/>
      <c r="O28" s="5" t="n"/>
      <c r="P28" s="5" t="n"/>
      <c r="Q28" s="5" t="n"/>
      <c r="R28" s="5" t="n"/>
      <c r="S28" s="5" t="n"/>
      <c r="T28" s="5" t="n"/>
      <c r="U28" s="5" t="n"/>
      <c r="V28" s="5" t="n"/>
      <c r="W28" s="5" t="n"/>
      <c r="X28" s="5" t="n"/>
      <c r="Y28" s="5">
        <f>IF(I28="","",IF(AND(I28="Fail",K28=""),"Classify Issue Source",IF(AND(I28="Fail",W28=""),"Set Confidence",IF(AND(K28="Unknown",W28&lt;&gt;"Low"),"Unknown must be Low confidence",IF(AND(OR(K28="Backend",K28="SAP"),N28=""),"Add HTTP status + endpoint",IF(AND(OR(K28="Backend",K28="SAP",K28="Network"),P28=""),"Add Correlation ID",IF(AND(I28="Fail",T28=""),"Write Root Cause / evidence gap",IF(AND(I28="Fail",V28=""),"Assign team","OK"))))))))</f>
        <v/>
      </c>
    </row>
    <row r="29">
      <c r="A29" s="5" t="inlineStr">
        <is>
          <t>UAT-R1</t>
        </is>
      </c>
      <c r="B29" s="5" t="inlineStr">
        <is>
          <t>TC-AUTH-006</t>
        </is>
      </c>
      <c r="C29" s="5" t="n"/>
      <c r="D29" s="5" t="n"/>
      <c r="E29" s="5" t="n"/>
      <c r="F29" s="5" t="n"/>
      <c r="G29" s="5" t="n"/>
      <c r="H29" s="5" t="n"/>
      <c r="I29" s="5" t="inlineStr">
        <is>
          <t>Not Run</t>
        </is>
      </c>
      <c r="J29" s="5" t="n"/>
      <c r="K29" s="5" t="n"/>
      <c r="L29" s="5" t="n"/>
      <c r="M29" s="5" t="n"/>
      <c r="N29" s="5" t="n"/>
      <c r="O29" s="5" t="n"/>
      <c r="P29" s="5" t="n"/>
      <c r="Q29" s="5" t="n"/>
      <c r="R29" s="5" t="n"/>
      <c r="S29" s="5" t="n"/>
      <c r="T29" s="5" t="n"/>
      <c r="U29" s="5" t="n"/>
      <c r="V29" s="5" t="n"/>
      <c r="W29" s="5" t="n"/>
      <c r="X29" s="5" t="n"/>
      <c r="Y29" s="5">
        <f>IF(I29="","",IF(AND(I29="Fail",K29=""),"Classify Issue Source",IF(AND(I29="Fail",W29=""),"Set Confidence",IF(AND(K29="Unknown",W29&lt;&gt;"Low"),"Unknown must be Low confidence",IF(AND(OR(K29="Backend",K29="SAP"),N29=""),"Add HTTP status + endpoint",IF(AND(OR(K29="Backend",K29="SAP",K29="Network"),P29=""),"Add Correlation ID",IF(AND(I29="Fail",T29=""),"Write Root Cause / evidence gap",IF(AND(I29="Fail",V29=""),"Assign team","OK"))))))))</f>
        <v/>
      </c>
    </row>
    <row r="30">
      <c r="A30" s="5" t="inlineStr">
        <is>
          <t>UAT-R1</t>
        </is>
      </c>
      <c r="B30" s="5" t="inlineStr">
        <is>
          <t>TC-AUTH-007</t>
        </is>
      </c>
      <c r="C30" s="5" t="n"/>
      <c r="D30" s="5" t="n"/>
      <c r="E30" s="5" t="n"/>
      <c r="F30" s="5" t="n"/>
      <c r="G30" s="5" t="n"/>
      <c r="H30" s="5" t="n"/>
      <c r="I30" s="5" t="inlineStr">
        <is>
          <t>Not Run</t>
        </is>
      </c>
      <c r="J30" s="5" t="n"/>
      <c r="K30" s="5" t="n"/>
      <c r="L30" s="5" t="n"/>
      <c r="M30" s="5" t="n"/>
      <c r="N30" s="5" t="n"/>
      <c r="O30" s="5" t="n"/>
      <c r="P30" s="5" t="n"/>
      <c r="Q30" s="5" t="n"/>
      <c r="R30" s="5" t="n"/>
      <c r="S30" s="5" t="n"/>
      <c r="T30" s="5" t="n"/>
      <c r="U30" s="5" t="n"/>
      <c r="V30" s="5" t="n"/>
      <c r="W30" s="5" t="n"/>
      <c r="X30" s="5" t="n"/>
      <c r="Y30" s="5">
        <f>IF(I30="","",IF(AND(I30="Fail",K30=""),"Classify Issue Source",IF(AND(I30="Fail",W30=""),"Set Confidence",IF(AND(K30="Unknown",W30&lt;&gt;"Low"),"Unknown must be Low confidence",IF(AND(OR(K30="Backend",K30="SAP"),N30=""),"Add HTTP status + endpoint",IF(AND(OR(K30="Backend",K30="SAP",K30="Network"),P30=""),"Add Correlation ID",IF(AND(I30="Fail",T30=""),"Write Root Cause / evidence gap",IF(AND(I30="Fail",V30=""),"Assign team","OK"))))))))</f>
        <v/>
      </c>
    </row>
    <row r="31">
      <c r="A31" s="5" t="inlineStr">
        <is>
          <t>UAT-R1</t>
        </is>
      </c>
      <c r="B31" s="5" t="inlineStr">
        <is>
          <t>TC-AUTH-008</t>
        </is>
      </c>
      <c r="C31" s="5" t="n"/>
      <c r="D31" s="5" t="n"/>
      <c r="E31" s="5" t="n"/>
      <c r="F31" s="5" t="n"/>
      <c r="G31" s="5" t="n"/>
      <c r="H31" s="5" t="n"/>
      <c r="I31" s="5" t="inlineStr">
        <is>
          <t>Not Run</t>
        </is>
      </c>
      <c r="J31" s="5" t="n"/>
      <c r="K31" s="5" t="n"/>
      <c r="L31" s="5" t="n"/>
      <c r="M31" s="5" t="n"/>
      <c r="N31" s="5" t="n"/>
      <c r="O31" s="5" t="n"/>
      <c r="P31" s="5" t="n"/>
      <c r="Q31" s="5" t="n"/>
      <c r="R31" s="5" t="n"/>
      <c r="S31" s="5" t="n"/>
      <c r="T31" s="5" t="n"/>
      <c r="U31" s="5" t="n"/>
      <c r="V31" s="5" t="n"/>
      <c r="W31" s="5" t="n"/>
      <c r="X31" s="5" t="n"/>
      <c r="Y31" s="5">
        <f>IF(I31="","",IF(AND(I31="Fail",K31=""),"Classify Issue Source",IF(AND(I31="Fail",W31=""),"Set Confidence",IF(AND(K31="Unknown",W31&lt;&gt;"Low"),"Unknown must be Low confidence",IF(AND(OR(K31="Backend",K31="SAP"),N31=""),"Add HTTP status + endpoint",IF(AND(OR(K31="Backend",K31="SAP",K31="Network"),P31=""),"Add Correlation ID",IF(AND(I31="Fail",T31=""),"Write Root Cause / evidence gap",IF(AND(I31="Fail",V31=""),"Assign team","OK"))))))))</f>
        <v/>
      </c>
    </row>
    <row r="32">
      <c r="A32" s="5" t="inlineStr">
        <is>
          <t>UAT-R1</t>
        </is>
      </c>
      <c r="B32" s="5" t="inlineStr">
        <is>
          <t>TC-AUTH-009</t>
        </is>
      </c>
      <c r="C32" s="5" t="n"/>
      <c r="D32" s="5" t="n"/>
      <c r="E32" s="5" t="n"/>
      <c r="F32" s="5" t="n"/>
      <c r="G32" s="5" t="n"/>
      <c r="H32" s="5" t="n"/>
      <c r="I32" s="5" t="inlineStr">
        <is>
          <t>Not Run</t>
        </is>
      </c>
      <c r="J32" s="5" t="n"/>
      <c r="K32" s="5" t="n"/>
      <c r="L32" s="5" t="n"/>
      <c r="M32" s="5" t="n"/>
      <c r="N32" s="5" t="n"/>
      <c r="O32" s="5" t="n"/>
      <c r="P32" s="5" t="n"/>
      <c r="Q32" s="5" t="n"/>
      <c r="R32" s="5" t="n"/>
      <c r="S32" s="5" t="n"/>
      <c r="T32" s="5" t="n"/>
      <c r="U32" s="5" t="n"/>
      <c r="V32" s="5" t="n"/>
      <c r="W32" s="5" t="n"/>
      <c r="X32" s="5" t="n"/>
      <c r="Y32" s="5">
        <f>IF(I32="","",IF(AND(I32="Fail",K32=""),"Classify Issue Source",IF(AND(I32="Fail",W32=""),"Set Confidence",IF(AND(K32="Unknown",W32&lt;&gt;"Low"),"Unknown must be Low confidence",IF(AND(OR(K32="Backend",K32="SAP"),N32=""),"Add HTTP status + endpoint",IF(AND(OR(K32="Backend",K32="SAP",K32="Network"),P32=""),"Add Correlation ID",IF(AND(I32="Fail",T32=""),"Write Root Cause / evidence gap",IF(AND(I32="Fail",V32=""),"Assign team","OK"))))))))</f>
        <v/>
      </c>
    </row>
    <row r="33">
      <c r="A33" s="5" t="inlineStr">
        <is>
          <t>UAT-R1</t>
        </is>
      </c>
      <c r="B33" s="5" t="inlineStr">
        <is>
          <t>TC-AUTH-010</t>
        </is>
      </c>
      <c r="C33" s="5" t="n"/>
      <c r="D33" s="5" t="n"/>
      <c r="E33" s="5" t="n"/>
      <c r="F33" s="5" t="n"/>
      <c r="G33" s="5" t="n"/>
      <c r="H33" s="5" t="n"/>
      <c r="I33" s="5" t="inlineStr">
        <is>
          <t>Not Run</t>
        </is>
      </c>
      <c r="J33" s="5" t="n"/>
      <c r="K33" s="5" t="n"/>
      <c r="L33" s="5" t="n"/>
      <c r="M33" s="5" t="n"/>
      <c r="N33" s="5" t="n"/>
      <c r="O33" s="5" t="n"/>
      <c r="P33" s="5" t="n"/>
      <c r="Q33" s="5" t="n"/>
      <c r="R33" s="5" t="n"/>
      <c r="S33" s="5" t="n"/>
      <c r="T33" s="5" t="n"/>
      <c r="U33" s="5" t="n"/>
      <c r="V33" s="5" t="n"/>
      <c r="W33" s="5" t="n"/>
      <c r="X33" s="5" t="n"/>
      <c r="Y33" s="5">
        <f>IF(I33="","",IF(AND(I33="Fail",K33=""),"Classify Issue Source",IF(AND(I33="Fail",W33=""),"Set Confidence",IF(AND(K33="Unknown",W33&lt;&gt;"Low"),"Unknown must be Low confidence",IF(AND(OR(K33="Backend",K33="SAP"),N33=""),"Add HTTP status + endpoint",IF(AND(OR(K33="Backend",K33="SAP",K33="Network"),P33=""),"Add Correlation ID",IF(AND(I33="Fail",T33=""),"Write Root Cause / evidence gap",IF(AND(I33="Fail",V33=""),"Assign team","OK"))))))))</f>
        <v/>
      </c>
    </row>
    <row r="34">
      <c r="A34" s="5" t="inlineStr">
        <is>
          <t>UAT-R1</t>
        </is>
      </c>
      <c r="B34" s="5" t="inlineStr">
        <is>
          <t>TC-AUTH-011</t>
        </is>
      </c>
      <c r="C34" s="5" t="n"/>
      <c r="D34" s="5" t="n"/>
      <c r="E34" s="5" t="n"/>
      <c r="F34" s="5" t="n"/>
      <c r="G34" s="5" t="n"/>
      <c r="H34" s="5" t="n"/>
      <c r="I34" s="5" t="inlineStr">
        <is>
          <t>Not Run</t>
        </is>
      </c>
      <c r="J34" s="5" t="n"/>
      <c r="K34" s="5" t="n"/>
      <c r="L34" s="5" t="n"/>
      <c r="M34" s="5" t="n"/>
      <c r="N34" s="5" t="n"/>
      <c r="O34" s="5" t="n"/>
      <c r="P34" s="5" t="n"/>
      <c r="Q34" s="5" t="n"/>
      <c r="R34" s="5" t="n"/>
      <c r="S34" s="5" t="n"/>
      <c r="T34" s="5" t="n"/>
      <c r="U34" s="5" t="n"/>
      <c r="V34" s="5" t="n"/>
      <c r="W34" s="5" t="n"/>
      <c r="X34" s="5" t="n"/>
      <c r="Y34" s="5">
        <f>IF(I34="","",IF(AND(I34="Fail",K34=""),"Classify Issue Source",IF(AND(I34="Fail",W34=""),"Set Confidence",IF(AND(K34="Unknown",W34&lt;&gt;"Low"),"Unknown must be Low confidence",IF(AND(OR(K34="Backend",K34="SAP"),N34=""),"Add HTTP status + endpoint",IF(AND(OR(K34="Backend",K34="SAP",K34="Network"),P34=""),"Add Correlation ID",IF(AND(I34="Fail",T34=""),"Write Root Cause / evidence gap",IF(AND(I34="Fail",V34=""),"Assign team","OK"))))))))</f>
        <v/>
      </c>
    </row>
    <row r="35">
      <c r="A35" s="5" t="inlineStr">
        <is>
          <t>UAT-R1</t>
        </is>
      </c>
      <c r="B35" s="5" t="inlineStr">
        <is>
          <t>TC-AUTH-012</t>
        </is>
      </c>
      <c r="C35" s="5" t="n"/>
      <c r="D35" s="5" t="n"/>
      <c r="E35" s="5" t="n"/>
      <c r="F35" s="5" t="n"/>
      <c r="G35" s="5" t="n"/>
      <c r="H35" s="5" t="n"/>
      <c r="I35" s="5" t="inlineStr">
        <is>
          <t>Not Run</t>
        </is>
      </c>
      <c r="J35" s="5" t="n"/>
      <c r="K35" s="5" t="n"/>
      <c r="L35" s="5" t="n"/>
      <c r="M35" s="5" t="n"/>
      <c r="N35" s="5" t="n"/>
      <c r="O35" s="5" t="n"/>
      <c r="P35" s="5" t="n"/>
      <c r="Q35" s="5" t="n"/>
      <c r="R35" s="5" t="n"/>
      <c r="S35" s="5" t="n"/>
      <c r="T35" s="5" t="n"/>
      <c r="U35" s="5" t="n"/>
      <c r="V35" s="5" t="n"/>
      <c r="W35" s="5" t="n"/>
      <c r="X35" s="5" t="n"/>
      <c r="Y35" s="5">
        <f>IF(I35="","",IF(AND(I35="Fail",K35=""),"Classify Issue Source",IF(AND(I35="Fail",W35=""),"Set Confidence",IF(AND(K35="Unknown",W35&lt;&gt;"Low"),"Unknown must be Low confidence",IF(AND(OR(K35="Backend",K35="SAP"),N35=""),"Add HTTP status + endpoint",IF(AND(OR(K35="Backend",K35="SAP",K35="Network"),P35=""),"Add Correlation ID",IF(AND(I35="Fail",T35=""),"Write Root Cause / evidence gap",IF(AND(I35="Fail",V35=""),"Assign team","OK"))))))))</f>
        <v/>
      </c>
    </row>
    <row r="36">
      <c r="A36" s="5" t="inlineStr">
        <is>
          <t>UAT-R1</t>
        </is>
      </c>
      <c r="B36" s="5" t="inlineStr">
        <is>
          <t>TC-AUTH-013</t>
        </is>
      </c>
      <c r="C36" s="5" t="n"/>
      <c r="D36" s="5" t="n"/>
      <c r="E36" s="5" t="n"/>
      <c r="F36" s="5" t="n"/>
      <c r="G36" s="5" t="n"/>
      <c r="H36" s="5" t="n"/>
      <c r="I36" s="5" t="inlineStr">
        <is>
          <t>Not Run</t>
        </is>
      </c>
      <c r="J36" s="5" t="n"/>
      <c r="K36" s="5" t="n"/>
      <c r="L36" s="5" t="n"/>
      <c r="M36" s="5" t="n"/>
      <c r="N36" s="5" t="n"/>
      <c r="O36" s="5" t="n"/>
      <c r="P36" s="5" t="n"/>
      <c r="Q36" s="5" t="n"/>
      <c r="R36" s="5" t="n"/>
      <c r="S36" s="5" t="n"/>
      <c r="T36" s="5" t="n"/>
      <c r="U36" s="5" t="n"/>
      <c r="V36" s="5" t="n"/>
      <c r="W36" s="5" t="n"/>
      <c r="X36" s="5" t="n"/>
      <c r="Y36" s="5">
        <f>IF(I36="","",IF(AND(I36="Fail",K36=""),"Classify Issue Source",IF(AND(I36="Fail",W36=""),"Set Confidence",IF(AND(K36="Unknown",W36&lt;&gt;"Low"),"Unknown must be Low confidence",IF(AND(OR(K36="Backend",K36="SAP"),N36=""),"Add HTTP status + endpoint",IF(AND(OR(K36="Backend",K36="SAP",K36="Network"),P36=""),"Add Correlation ID",IF(AND(I36="Fail",T36=""),"Write Root Cause / evidence gap",IF(AND(I36="Fail",V36=""),"Assign team","OK"))))))))</f>
        <v/>
      </c>
    </row>
    <row r="37">
      <c r="A37" s="5" t="inlineStr">
        <is>
          <t>UAT-R1</t>
        </is>
      </c>
      <c r="B37" s="5" t="inlineStr">
        <is>
          <t>TC-AUTH-014</t>
        </is>
      </c>
      <c r="C37" s="5" t="n"/>
      <c r="D37" s="5" t="n"/>
      <c r="E37" s="5" t="n"/>
      <c r="F37" s="5" t="n"/>
      <c r="G37" s="5" t="n"/>
      <c r="H37" s="5" t="n"/>
      <c r="I37" s="5" t="inlineStr">
        <is>
          <t>Not Run</t>
        </is>
      </c>
      <c r="J37" s="5" t="n"/>
      <c r="K37" s="5" t="n"/>
      <c r="L37" s="5" t="n"/>
      <c r="M37" s="5" t="n"/>
      <c r="N37" s="5" t="n"/>
      <c r="O37" s="5" t="n"/>
      <c r="P37" s="5" t="n"/>
      <c r="Q37" s="5" t="n"/>
      <c r="R37" s="5" t="n"/>
      <c r="S37" s="5" t="n"/>
      <c r="T37" s="5" t="n"/>
      <c r="U37" s="5" t="n"/>
      <c r="V37" s="5" t="n"/>
      <c r="W37" s="5" t="n"/>
      <c r="X37" s="5" t="n"/>
      <c r="Y37" s="5">
        <f>IF(I37="","",IF(AND(I37="Fail",K37=""),"Classify Issue Source",IF(AND(I37="Fail",W37=""),"Set Confidence",IF(AND(K37="Unknown",W37&lt;&gt;"Low"),"Unknown must be Low confidence",IF(AND(OR(K37="Backend",K37="SAP"),N37=""),"Add HTTP status + endpoint",IF(AND(OR(K37="Backend",K37="SAP",K37="Network"),P37=""),"Add Correlation ID",IF(AND(I37="Fail",T37=""),"Write Root Cause / evidence gap",IF(AND(I37="Fail",V37=""),"Assign team","OK"))))))))</f>
        <v/>
      </c>
    </row>
    <row r="38">
      <c r="A38" s="5" t="inlineStr">
        <is>
          <t>UAT-R1</t>
        </is>
      </c>
      <c r="B38" s="5" t="inlineStr">
        <is>
          <t>TC-AUTH-015</t>
        </is>
      </c>
      <c r="C38" s="5" t="n"/>
      <c r="D38" s="5" t="n"/>
      <c r="E38" s="5" t="n"/>
      <c r="F38" s="5" t="n"/>
      <c r="G38" s="5" t="n"/>
      <c r="H38" s="5" t="n"/>
      <c r="I38" s="5" t="inlineStr">
        <is>
          <t>Not Run</t>
        </is>
      </c>
      <c r="J38" s="5" t="n"/>
      <c r="K38" s="5" t="n"/>
      <c r="L38" s="5" t="n"/>
      <c r="M38" s="5" t="n"/>
      <c r="N38" s="5" t="n"/>
      <c r="O38" s="5" t="n"/>
      <c r="P38" s="5" t="n"/>
      <c r="Q38" s="5" t="n"/>
      <c r="R38" s="5" t="n"/>
      <c r="S38" s="5" t="n"/>
      <c r="T38" s="5" t="n"/>
      <c r="U38" s="5" t="n"/>
      <c r="V38" s="5" t="n"/>
      <c r="W38" s="5" t="n"/>
      <c r="X38" s="5" t="n"/>
      <c r="Y38" s="5">
        <f>IF(I38="","",IF(AND(I38="Fail",K38=""),"Classify Issue Source",IF(AND(I38="Fail",W38=""),"Set Confidence",IF(AND(K38="Unknown",W38&lt;&gt;"Low"),"Unknown must be Low confidence",IF(AND(OR(K38="Backend",K38="SAP"),N38=""),"Add HTTP status + endpoint",IF(AND(OR(K38="Backend",K38="SAP",K38="Network"),P38=""),"Add Correlation ID",IF(AND(I38="Fail",T38=""),"Write Root Cause / evidence gap",IF(AND(I38="Fail",V38=""),"Assign team","OK"))))))))</f>
        <v/>
      </c>
    </row>
    <row r="39">
      <c r="A39" s="5" t="inlineStr">
        <is>
          <t>UAT-R1</t>
        </is>
      </c>
      <c r="B39" s="5" t="inlineStr">
        <is>
          <t>TC-AUTH-016</t>
        </is>
      </c>
      <c r="C39" s="5" t="n"/>
      <c r="D39" s="5" t="n"/>
      <c r="E39" s="5" t="n"/>
      <c r="F39" s="5" t="n"/>
      <c r="G39" s="5" t="n"/>
      <c r="H39" s="5" t="n"/>
      <c r="I39" s="5" t="inlineStr">
        <is>
          <t>Not Run</t>
        </is>
      </c>
      <c r="J39" s="5" t="n"/>
      <c r="K39" s="5" t="n"/>
      <c r="L39" s="5" t="n"/>
      <c r="M39" s="5" t="n"/>
      <c r="N39" s="5" t="n"/>
      <c r="O39" s="5" t="n"/>
      <c r="P39" s="5" t="n"/>
      <c r="Q39" s="5" t="n"/>
      <c r="R39" s="5" t="n"/>
      <c r="S39" s="5" t="n"/>
      <c r="T39" s="5" t="n"/>
      <c r="U39" s="5" t="n"/>
      <c r="V39" s="5" t="n"/>
      <c r="W39" s="5" t="n"/>
      <c r="X39" s="5" t="n"/>
      <c r="Y39" s="5">
        <f>IF(I39="","",IF(AND(I39="Fail",K39=""),"Classify Issue Source",IF(AND(I39="Fail",W39=""),"Set Confidence",IF(AND(K39="Unknown",W39&lt;&gt;"Low"),"Unknown must be Low confidence",IF(AND(OR(K39="Backend",K39="SAP"),N39=""),"Add HTTP status + endpoint",IF(AND(OR(K39="Backend",K39="SAP",K39="Network"),P39=""),"Add Correlation ID",IF(AND(I39="Fail",T39=""),"Write Root Cause / evidence gap",IF(AND(I39="Fail",V39=""),"Assign team","OK"))))))))</f>
        <v/>
      </c>
    </row>
    <row r="40">
      <c r="A40" s="5" t="inlineStr">
        <is>
          <t>UAT-R1</t>
        </is>
      </c>
      <c r="B40" s="5" t="inlineStr">
        <is>
          <t>TC-AUTH-017</t>
        </is>
      </c>
      <c r="C40" s="5" t="n"/>
      <c r="D40" s="5" t="n"/>
      <c r="E40" s="5" t="n"/>
      <c r="F40" s="5" t="n"/>
      <c r="G40" s="5" t="n"/>
      <c r="H40" s="5" t="n"/>
      <c r="I40" s="5" t="inlineStr">
        <is>
          <t>Not Run</t>
        </is>
      </c>
      <c r="J40" s="5" t="n"/>
      <c r="K40" s="5" t="n"/>
      <c r="L40" s="5" t="n"/>
      <c r="M40" s="5" t="n"/>
      <c r="N40" s="5" t="n"/>
      <c r="O40" s="5" t="n"/>
      <c r="P40" s="5" t="n"/>
      <c r="Q40" s="5" t="n"/>
      <c r="R40" s="5" t="n"/>
      <c r="S40" s="5" t="n"/>
      <c r="T40" s="5" t="n"/>
      <c r="U40" s="5" t="n"/>
      <c r="V40" s="5" t="n"/>
      <c r="W40" s="5" t="n"/>
      <c r="X40" s="5" t="n"/>
      <c r="Y40" s="5">
        <f>IF(I40="","",IF(AND(I40="Fail",K40=""),"Classify Issue Source",IF(AND(I40="Fail",W40=""),"Set Confidence",IF(AND(K40="Unknown",W40&lt;&gt;"Low"),"Unknown must be Low confidence",IF(AND(OR(K40="Backend",K40="SAP"),N40=""),"Add HTTP status + endpoint",IF(AND(OR(K40="Backend",K40="SAP",K40="Network"),P40=""),"Add Correlation ID",IF(AND(I40="Fail",T40=""),"Write Root Cause / evidence gap",IF(AND(I40="Fail",V40=""),"Assign team","OK"))))))))</f>
        <v/>
      </c>
    </row>
    <row r="41">
      <c r="A41" s="5" t="inlineStr">
        <is>
          <t>UAT-R1</t>
        </is>
      </c>
      <c r="B41" s="5" t="inlineStr">
        <is>
          <t>TC-AUTH-018</t>
        </is>
      </c>
      <c r="C41" s="5" t="n"/>
      <c r="D41" s="5" t="n"/>
      <c r="E41" s="5" t="n"/>
      <c r="F41" s="5" t="n"/>
      <c r="G41" s="5" t="n"/>
      <c r="H41" s="5" t="n"/>
      <c r="I41" s="5" t="inlineStr">
        <is>
          <t>Not Run</t>
        </is>
      </c>
      <c r="J41" s="5" t="n"/>
      <c r="K41" s="5" t="n"/>
      <c r="L41" s="5" t="n"/>
      <c r="M41" s="5" t="n"/>
      <c r="N41" s="5" t="n"/>
      <c r="O41" s="5" t="n"/>
      <c r="P41" s="5" t="n"/>
      <c r="Q41" s="5" t="n"/>
      <c r="R41" s="5" t="n"/>
      <c r="S41" s="5" t="n"/>
      <c r="T41" s="5" t="n"/>
      <c r="U41" s="5" t="n"/>
      <c r="V41" s="5" t="n"/>
      <c r="W41" s="5" t="n"/>
      <c r="X41" s="5" t="n"/>
      <c r="Y41" s="5">
        <f>IF(I41="","",IF(AND(I41="Fail",K41=""),"Classify Issue Source",IF(AND(I41="Fail",W41=""),"Set Confidence",IF(AND(K41="Unknown",W41&lt;&gt;"Low"),"Unknown must be Low confidence",IF(AND(OR(K41="Backend",K41="SAP"),N41=""),"Add HTTP status + endpoint",IF(AND(OR(K41="Backend",K41="SAP",K41="Network"),P41=""),"Add Correlation ID",IF(AND(I41="Fail",T41=""),"Write Root Cause / evidence gap",IF(AND(I41="Fail",V41=""),"Assign team","OK"))))))))</f>
        <v/>
      </c>
    </row>
    <row r="42">
      <c r="A42" s="5" t="inlineStr">
        <is>
          <t>UAT-R1</t>
        </is>
      </c>
      <c r="B42" s="5" t="inlineStr">
        <is>
          <t>TC-AUTH-019</t>
        </is>
      </c>
      <c r="C42" s="5" t="n"/>
      <c r="D42" s="5" t="n"/>
      <c r="E42" s="5" t="n"/>
      <c r="F42" s="5" t="n"/>
      <c r="G42" s="5" t="n"/>
      <c r="H42" s="5" t="n"/>
      <c r="I42" s="5" t="inlineStr">
        <is>
          <t>Not Run</t>
        </is>
      </c>
      <c r="J42" s="5" t="n"/>
      <c r="K42" s="5" t="n"/>
      <c r="L42" s="5" t="n"/>
      <c r="M42" s="5" t="n"/>
      <c r="N42" s="5" t="n"/>
      <c r="O42" s="5" t="n"/>
      <c r="P42" s="5" t="n"/>
      <c r="Q42" s="5" t="n"/>
      <c r="R42" s="5" t="n"/>
      <c r="S42" s="5" t="n"/>
      <c r="T42" s="5" t="n"/>
      <c r="U42" s="5" t="n"/>
      <c r="V42" s="5" t="n"/>
      <c r="W42" s="5" t="n"/>
      <c r="X42" s="5" t="n"/>
      <c r="Y42" s="5">
        <f>IF(I42="","",IF(AND(I42="Fail",K42=""),"Classify Issue Source",IF(AND(I42="Fail",W42=""),"Set Confidence",IF(AND(K42="Unknown",W42&lt;&gt;"Low"),"Unknown must be Low confidence",IF(AND(OR(K42="Backend",K42="SAP"),N42=""),"Add HTTP status + endpoint",IF(AND(OR(K42="Backend",K42="SAP",K42="Network"),P42=""),"Add Correlation ID",IF(AND(I42="Fail",T42=""),"Write Root Cause / evidence gap",IF(AND(I42="Fail",V42=""),"Assign team","OK"))))))))</f>
        <v/>
      </c>
    </row>
    <row r="43">
      <c r="A43" s="5" t="inlineStr">
        <is>
          <t>UAT-R1</t>
        </is>
      </c>
      <c r="B43" s="5" t="inlineStr">
        <is>
          <t>TC-AUTH-020</t>
        </is>
      </c>
      <c r="C43" s="5" t="n"/>
      <c r="D43" s="5" t="n"/>
      <c r="E43" s="5" t="n"/>
      <c r="F43" s="5" t="n"/>
      <c r="G43" s="5" t="n"/>
      <c r="H43" s="5" t="n"/>
      <c r="I43" s="5" t="inlineStr">
        <is>
          <t>Not Run</t>
        </is>
      </c>
      <c r="J43" s="5" t="n"/>
      <c r="K43" s="5" t="n"/>
      <c r="L43" s="5" t="n"/>
      <c r="M43" s="5" t="n"/>
      <c r="N43" s="5" t="n"/>
      <c r="O43" s="5" t="n"/>
      <c r="P43" s="5" t="n"/>
      <c r="Q43" s="5" t="n"/>
      <c r="R43" s="5" t="n"/>
      <c r="S43" s="5" t="n"/>
      <c r="T43" s="5" t="n"/>
      <c r="U43" s="5" t="n"/>
      <c r="V43" s="5" t="n"/>
      <c r="W43" s="5" t="n"/>
      <c r="X43" s="5" t="n"/>
      <c r="Y43" s="5">
        <f>IF(I43="","",IF(AND(I43="Fail",K43=""),"Classify Issue Source",IF(AND(I43="Fail",W43=""),"Set Confidence",IF(AND(K43="Unknown",W43&lt;&gt;"Low"),"Unknown must be Low confidence",IF(AND(OR(K43="Backend",K43="SAP"),N43=""),"Add HTTP status + endpoint",IF(AND(OR(K43="Backend",K43="SAP",K43="Network"),P43=""),"Add Correlation ID",IF(AND(I43="Fail",T43=""),"Write Root Cause / evidence gap",IF(AND(I43="Fail",V43=""),"Assign team","OK"))))))))</f>
        <v/>
      </c>
    </row>
    <row r="44">
      <c r="A44" s="5" t="inlineStr">
        <is>
          <t>UAT-R1</t>
        </is>
      </c>
      <c r="B44" s="5" t="inlineStr">
        <is>
          <t>TC-SES-001</t>
        </is>
      </c>
      <c r="C44" s="5" t="n"/>
      <c r="D44" s="5" t="n"/>
      <c r="E44" s="5" t="n"/>
      <c r="F44" s="5" t="n"/>
      <c r="G44" s="5" t="n"/>
      <c r="H44" s="5" t="n"/>
      <c r="I44" s="5" t="inlineStr">
        <is>
          <t>Not Run</t>
        </is>
      </c>
      <c r="J44" s="5" t="n"/>
      <c r="K44" s="5" t="n"/>
      <c r="L44" s="5" t="n"/>
      <c r="M44" s="5" t="n"/>
      <c r="N44" s="5" t="n"/>
      <c r="O44" s="5" t="n"/>
      <c r="P44" s="5" t="n"/>
      <c r="Q44" s="5" t="n"/>
      <c r="R44" s="5" t="n"/>
      <c r="S44" s="5" t="n"/>
      <c r="T44" s="5" t="n"/>
      <c r="U44" s="5" t="n"/>
      <c r="V44" s="5" t="n"/>
      <c r="W44" s="5" t="n"/>
      <c r="X44" s="5" t="n"/>
      <c r="Y44" s="5">
        <f>IF(I44="","",IF(AND(I44="Fail",K44=""),"Classify Issue Source",IF(AND(I44="Fail",W44=""),"Set Confidence",IF(AND(K44="Unknown",W44&lt;&gt;"Low"),"Unknown must be Low confidence",IF(AND(OR(K44="Backend",K44="SAP"),N44=""),"Add HTTP status + endpoint",IF(AND(OR(K44="Backend",K44="SAP",K44="Network"),P44=""),"Add Correlation ID",IF(AND(I44="Fail",T44=""),"Write Root Cause / evidence gap",IF(AND(I44="Fail",V44=""),"Assign team","OK"))))))))</f>
        <v/>
      </c>
    </row>
    <row r="45">
      <c r="A45" s="5" t="inlineStr">
        <is>
          <t>UAT-R1</t>
        </is>
      </c>
      <c r="B45" s="5" t="inlineStr">
        <is>
          <t>TC-SES-002</t>
        </is>
      </c>
      <c r="C45" s="5" t="n"/>
      <c r="D45" s="5" t="n"/>
      <c r="E45" s="5" t="n"/>
      <c r="F45" s="5" t="n"/>
      <c r="G45" s="5" t="n"/>
      <c r="H45" s="5" t="n"/>
      <c r="I45" s="5" t="inlineStr">
        <is>
          <t>Not Run</t>
        </is>
      </c>
      <c r="J45" s="5" t="n"/>
      <c r="K45" s="5" t="n"/>
      <c r="L45" s="5" t="n"/>
      <c r="M45" s="5" t="n"/>
      <c r="N45" s="5" t="n"/>
      <c r="O45" s="5" t="n"/>
      <c r="P45" s="5" t="n"/>
      <c r="Q45" s="5" t="n"/>
      <c r="R45" s="5" t="n"/>
      <c r="S45" s="5" t="n"/>
      <c r="T45" s="5" t="n"/>
      <c r="U45" s="5" t="n"/>
      <c r="V45" s="5" t="n"/>
      <c r="W45" s="5" t="n"/>
      <c r="X45" s="5" t="n"/>
      <c r="Y45" s="5">
        <f>IF(I45="","",IF(AND(I45="Fail",K45=""),"Classify Issue Source",IF(AND(I45="Fail",W45=""),"Set Confidence",IF(AND(K45="Unknown",W45&lt;&gt;"Low"),"Unknown must be Low confidence",IF(AND(OR(K45="Backend",K45="SAP"),N45=""),"Add HTTP status + endpoint",IF(AND(OR(K45="Backend",K45="SAP",K45="Network"),P45=""),"Add Correlation ID",IF(AND(I45="Fail",T45=""),"Write Root Cause / evidence gap",IF(AND(I45="Fail",V45=""),"Assign team","OK"))))))))</f>
        <v/>
      </c>
    </row>
    <row r="46">
      <c r="A46" s="5" t="inlineStr">
        <is>
          <t>UAT-R1</t>
        </is>
      </c>
      <c r="B46" s="5" t="inlineStr">
        <is>
          <t>TC-SES-003</t>
        </is>
      </c>
      <c r="C46" s="5" t="n"/>
      <c r="D46" s="5" t="n"/>
      <c r="E46" s="5" t="n"/>
      <c r="F46" s="5" t="n"/>
      <c r="G46" s="5" t="n"/>
      <c r="H46" s="5" t="n"/>
      <c r="I46" s="5" t="inlineStr">
        <is>
          <t>Not Run</t>
        </is>
      </c>
      <c r="J46" s="5" t="n"/>
      <c r="K46" s="5" t="n"/>
      <c r="L46" s="5" t="n"/>
      <c r="M46" s="5" t="n"/>
      <c r="N46" s="5" t="n"/>
      <c r="O46" s="5" t="n"/>
      <c r="P46" s="5" t="n"/>
      <c r="Q46" s="5" t="n"/>
      <c r="R46" s="5" t="n"/>
      <c r="S46" s="5" t="n"/>
      <c r="T46" s="5" t="n"/>
      <c r="U46" s="5" t="n"/>
      <c r="V46" s="5" t="n"/>
      <c r="W46" s="5" t="n"/>
      <c r="X46" s="5" t="n"/>
      <c r="Y46" s="5">
        <f>IF(I46="","",IF(AND(I46="Fail",K46=""),"Classify Issue Source",IF(AND(I46="Fail",W46=""),"Set Confidence",IF(AND(K46="Unknown",W46&lt;&gt;"Low"),"Unknown must be Low confidence",IF(AND(OR(K46="Backend",K46="SAP"),N46=""),"Add HTTP status + endpoint",IF(AND(OR(K46="Backend",K46="SAP",K46="Network"),P46=""),"Add Correlation ID",IF(AND(I46="Fail",T46=""),"Write Root Cause / evidence gap",IF(AND(I46="Fail",V46=""),"Assign team","OK"))))))))</f>
        <v/>
      </c>
    </row>
    <row r="47">
      <c r="A47" s="5" t="inlineStr">
        <is>
          <t>UAT-R1</t>
        </is>
      </c>
      <c r="B47" s="5" t="inlineStr">
        <is>
          <t>TC-SES-004</t>
        </is>
      </c>
      <c r="C47" s="5" t="n"/>
      <c r="D47" s="5" t="n"/>
      <c r="E47" s="5" t="n"/>
      <c r="F47" s="5" t="n"/>
      <c r="G47" s="5" t="n"/>
      <c r="H47" s="5" t="n"/>
      <c r="I47" s="5" t="inlineStr">
        <is>
          <t>Not Run</t>
        </is>
      </c>
      <c r="J47" s="5" t="n"/>
      <c r="K47" s="5" t="n"/>
      <c r="L47" s="5" t="n"/>
      <c r="M47" s="5" t="n"/>
      <c r="N47" s="5" t="n"/>
      <c r="O47" s="5" t="n"/>
      <c r="P47" s="5" t="n"/>
      <c r="Q47" s="5" t="n"/>
      <c r="R47" s="5" t="n"/>
      <c r="S47" s="5" t="n"/>
      <c r="T47" s="5" t="n"/>
      <c r="U47" s="5" t="n"/>
      <c r="V47" s="5" t="n"/>
      <c r="W47" s="5" t="n"/>
      <c r="X47" s="5" t="n"/>
      <c r="Y47" s="5">
        <f>IF(I47="","",IF(AND(I47="Fail",K47=""),"Classify Issue Source",IF(AND(I47="Fail",W47=""),"Set Confidence",IF(AND(K47="Unknown",W47&lt;&gt;"Low"),"Unknown must be Low confidence",IF(AND(OR(K47="Backend",K47="SAP"),N47=""),"Add HTTP status + endpoint",IF(AND(OR(K47="Backend",K47="SAP",K47="Network"),P47=""),"Add Correlation ID",IF(AND(I47="Fail",T47=""),"Write Root Cause / evidence gap",IF(AND(I47="Fail",V47=""),"Assign team","OK"))))))))</f>
        <v/>
      </c>
    </row>
    <row r="48">
      <c r="A48" s="5" t="inlineStr">
        <is>
          <t>UAT-R1</t>
        </is>
      </c>
      <c r="B48" s="5" t="inlineStr">
        <is>
          <t>TC-SES-005</t>
        </is>
      </c>
      <c r="C48" s="5" t="n"/>
      <c r="D48" s="5" t="n"/>
      <c r="E48" s="5" t="n"/>
      <c r="F48" s="5" t="n"/>
      <c r="G48" s="5" t="n"/>
      <c r="H48" s="5" t="n"/>
      <c r="I48" s="5" t="inlineStr">
        <is>
          <t>Not Run</t>
        </is>
      </c>
      <c r="J48" s="5" t="n"/>
      <c r="K48" s="5" t="n"/>
      <c r="L48" s="5" t="n"/>
      <c r="M48" s="5" t="n"/>
      <c r="N48" s="5" t="n"/>
      <c r="O48" s="5" t="n"/>
      <c r="P48" s="5" t="n"/>
      <c r="Q48" s="5" t="n"/>
      <c r="R48" s="5" t="n"/>
      <c r="S48" s="5" t="n"/>
      <c r="T48" s="5" t="n"/>
      <c r="U48" s="5" t="n"/>
      <c r="V48" s="5" t="n"/>
      <c r="W48" s="5" t="n"/>
      <c r="X48" s="5" t="n"/>
      <c r="Y48" s="5">
        <f>IF(I48="","",IF(AND(I48="Fail",K48=""),"Classify Issue Source",IF(AND(I48="Fail",W48=""),"Set Confidence",IF(AND(K48="Unknown",W48&lt;&gt;"Low"),"Unknown must be Low confidence",IF(AND(OR(K48="Backend",K48="SAP"),N48=""),"Add HTTP status + endpoint",IF(AND(OR(K48="Backend",K48="SAP",K48="Network"),P48=""),"Add Correlation ID",IF(AND(I48="Fail",T48=""),"Write Root Cause / evidence gap",IF(AND(I48="Fail",V48=""),"Assign team","OK"))))))))</f>
        <v/>
      </c>
    </row>
    <row r="49">
      <c r="A49" s="5" t="inlineStr">
        <is>
          <t>UAT-R1</t>
        </is>
      </c>
      <c r="B49" s="5" t="inlineStr">
        <is>
          <t>TC-SES-006</t>
        </is>
      </c>
      <c r="C49" s="5" t="n"/>
      <c r="D49" s="5" t="n"/>
      <c r="E49" s="5" t="n"/>
      <c r="F49" s="5" t="n"/>
      <c r="G49" s="5" t="n"/>
      <c r="H49" s="5" t="n"/>
      <c r="I49" s="5" t="inlineStr">
        <is>
          <t>Not Run</t>
        </is>
      </c>
      <c r="J49" s="5" t="n"/>
      <c r="K49" s="5" t="n"/>
      <c r="L49" s="5" t="n"/>
      <c r="M49" s="5" t="n"/>
      <c r="N49" s="5" t="n"/>
      <c r="O49" s="5" t="n"/>
      <c r="P49" s="5" t="n"/>
      <c r="Q49" s="5" t="n"/>
      <c r="R49" s="5" t="n"/>
      <c r="S49" s="5" t="n"/>
      <c r="T49" s="5" t="n"/>
      <c r="U49" s="5" t="n"/>
      <c r="V49" s="5" t="n"/>
      <c r="W49" s="5" t="n"/>
      <c r="X49" s="5" t="n"/>
      <c r="Y49" s="5">
        <f>IF(I49="","",IF(AND(I49="Fail",K49=""),"Classify Issue Source",IF(AND(I49="Fail",W49=""),"Set Confidence",IF(AND(K49="Unknown",W49&lt;&gt;"Low"),"Unknown must be Low confidence",IF(AND(OR(K49="Backend",K49="SAP"),N49=""),"Add HTTP status + endpoint",IF(AND(OR(K49="Backend",K49="SAP",K49="Network"),P49=""),"Add Correlation ID",IF(AND(I49="Fail",T49=""),"Write Root Cause / evidence gap",IF(AND(I49="Fail",V49=""),"Assign team","OK"))))))))</f>
        <v/>
      </c>
    </row>
    <row r="50">
      <c r="A50" s="5" t="inlineStr">
        <is>
          <t>UAT-R1</t>
        </is>
      </c>
      <c r="B50" s="5" t="inlineStr">
        <is>
          <t>TC-SES-007</t>
        </is>
      </c>
      <c r="C50" s="5" t="n"/>
      <c r="D50" s="5" t="n"/>
      <c r="E50" s="5" t="n"/>
      <c r="F50" s="5" t="n"/>
      <c r="G50" s="5" t="n"/>
      <c r="H50" s="5" t="n"/>
      <c r="I50" s="5" t="inlineStr">
        <is>
          <t>Not Run</t>
        </is>
      </c>
      <c r="J50" s="5" t="n"/>
      <c r="K50" s="5" t="n"/>
      <c r="L50" s="5" t="n"/>
      <c r="M50" s="5" t="n"/>
      <c r="N50" s="5" t="n"/>
      <c r="O50" s="5" t="n"/>
      <c r="P50" s="5" t="n"/>
      <c r="Q50" s="5" t="n"/>
      <c r="R50" s="5" t="n"/>
      <c r="S50" s="5" t="n"/>
      <c r="T50" s="5" t="n"/>
      <c r="U50" s="5" t="n"/>
      <c r="V50" s="5" t="n"/>
      <c r="W50" s="5" t="n"/>
      <c r="X50" s="5" t="n"/>
      <c r="Y50" s="5">
        <f>IF(I50="","",IF(AND(I50="Fail",K50=""),"Classify Issue Source",IF(AND(I50="Fail",W50=""),"Set Confidence",IF(AND(K50="Unknown",W50&lt;&gt;"Low"),"Unknown must be Low confidence",IF(AND(OR(K50="Backend",K50="SAP"),N50=""),"Add HTTP status + endpoint",IF(AND(OR(K50="Backend",K50="SAP",K50="Network"),P50=""),"Add Correlation ID",IF(AND(I50="Fail",T50=""),"Write Root Cause / evidence gap",IF(AND(I50="Fail",V50=""),"Assign team","OK"))))))))</f>
        <v/>
      </c>
    </row>
    <row r="51">
      <c r="A51" s="5" t="inlineStr">
        <is>
          <t>UAT-R1</t>
        </is>
      </c>
      <c r="B51" s="5" t="inlineStr">
        <is>
          <t>TC-SES-008</t>
        </is>
      </c>
      <c r="C51" s="5" t="n"/>
      <c r="D51" s="5" t="n"/>
      <c r="E51" s="5" t="n"/>
      <c r="F51" s="5" t="n"/>
      <c r="G51" s="5" t="n"/>
      <c r="H51" s="5" t="n"/>
      <c r="I51" s="5" t="inlineStr">
        <is>
          <t>Not Run</t>
        </is>
      </c>
      <c r="J51" s="5" t="n"/>
      <c r="K51" s="5" t="n"/>
      <c r="L51" s="5" t="n"/>
      <c r="M51" s="5" t="n"/>
      <c r="N51" s="5" t="n"/>
      <c r="O51" s="5" t="n"/>
      <c r="P51" s="5" t="n"/>
      <c r="Q51" s="5" t="n"/>
      <c r="R51" s="5" t="n"/>
      <c r="S51" s="5" t="n"/>
      <c r="T51" s="5" t="n"/>
      <c r="U51" s="5" t="n"/>
      <c r="V51" s="5" t="n"/>
      <c r="W51" s="5" t="n"/>
      <c r="X51" s="5" t="n"/>
      <c r="Y51" s="5">
        <f>IF(I51="","",IF(AND(I51="Fail",K51=""),"Classify Issue Source",IF(AND(I51="Fail",W51=""),"Set Confidence",IF(AND(K51="Unknown",W51&lt;&gt;"Low"),"Unknown must be Low confidence",IF(AND(OR(K51="Backend",K51="SAP"),N51=""),"Add HTTP status + endpoint",IF(AND(OR(K51="Backend",K51="SAP",K51="Network"),P51=""),"Add Correlation ID",IF(AND(I51="Fail",T51=""),"Write Root Cause / evidence gap",IF(AND(I51="Fail",V51=""),"Assign team","OK"))))))))</f>
        <v/>
      </c>
    </row>
    <row r="52">
      <c r="A52" s="5" t="inlineStr">
        <is>
          <t>UAT-R1</t>
        </is>
      </c>
      <c r="B52" s="5" t="inlineStr">
        <is>
          <t>TC-SES-009</t>
        </is>
      </c>
      <c r="C52" s="5" t="n"/>
      <c r="D52" s="5" t="n"/>
      <c r="E52" s="5" t="n"/>
      <c r="F52" s="5" t="n"/>
      <c r="G52" s="5" t="n"/>
      <c r="H52" s="5" t="n"/>
      <c r="I52" s="5" t="inlineStr">
        <is>
          <t>Not Run</t>
        </is>
      </c>
      <c r="J52" s="5" t="n"/>
      <c r="K52" s="5" t="n"/>
      <c r="L52" s="5" t="n"/>
      <c r="M52" s="5" t="n"/>
      <c r="N52" s="5" t="n"/>
      <c r="O52" s="5" t="n"/>
      <c r="P52" s="5" t="n"/>
      <c r="Q52" s="5" t="n"/>
      <c r="R52" s="5" t="n"/>
      <c r="S52" s="5" t="n"/>
      <c r="T52" s="5" t="n"/>
      <c r="U52" s="5" t="n"/>
      <c r="V52" s="5" t="n"/>
      <c r="W52" s="5" t="n"/>
      <c r="X52" s="5" t="n"/>
      <c r="Y52" s="5">
        <f>IF(I52="","",IF(AND(I52="Fail",K52=""),"Classify Issue Source",IF(AND(I52="Fail",W52=""),"Set Confidence",IF(AND(K52="Unknown",W52&lt;&gt;"Low"),"Unknown must be Low confidence",IF(AND(OR(K52="Backend",K52="SAP"),N52=""),"Add HTTP status + endpoint",IF(AND(OR(K52="Backend",K52="SAP",K52="Network"),P52=""),"Add Correlation ID",IF(AND(I52="Fail",T52=""),"Write Root Cause / evidence gap",IF(AND(I52="Fail",V52=""),"Assign team","OK"))))))))</f>
        <v/>
      </c>
    </row>
    <row r="53">
      <c r="A53" s="5" t="inlineStr">
        <is>
          <t>UAT-R1</t>
        </is>
      </c>
      <c r="B53" s="5" t="inlineStr">
        <is>
          <t>TC-SES-010</t>
        </is>
      </c>
      <c r="C53" s="5" t="n"/>
      <c r="D53" s="5" t="n"/>
      <c r="E53" s="5" t="n"/>
      <c r="F53" s="5" t="n"/>
      <c r="G53" s="5" t="n"/>
      <c r="H53" s="5" t="n"/>
      <c r="I53" s="5" t="inlineStr">
        <is>
          <t>Not Run</t>
        </is>
      </c>
      <c r="J53" s="5" t="n"/>
      <c r="K53" s="5" t="n"/>
      <c r="L53" s="5" t="n"/>
      <c r="M53" s="5" t="n"/>
      <c r="N53" s="5" t="n"/>
      <c r="O53" s="5" t="n"/>
      <c r="P53" s="5" t="n"/>
      <c r="Q53" s="5" t="n"/>
      <c r="R53" s="5" t="n"/>
      <c r="S53" s="5" t="n"/>
      <c r="T53" s="5" t="n"/>
      <c r="U53" s="5" t="n"/>
      <c r="V53" s="5" t="n"/>
      <c r="W53" s="5" t="n"/>
      <c r="X53" s="5" t="n"/>
      <c r="Y53" s="5">
        <f>IF(I53="","",IF(AND(I53="Fail",K53=""),"Classify Issue Source",IF(AND(I53="Fail",W53=""),"Set Confidence",IF(AND(K53="Unknown",W53&lt;&gt;"Low"),"Unknown must be Low confidence",IF(AND(OR(K53="Backend",K53="SAP"),N53=""),"Add HTTP status + endpoint",IF(AND(OR(K53="Backend",K53="SAP",K53="Network"),P53=""),"Add Correlation ID",IF(AND(I53="Fail",T53=""),"Write Root Cause / evidence gap",IF(AND(I53="Fail",V53=""),"Assign team","OK"))))))))</f>
        <v/>
      </c>
    </row>
    <row r="54">
      <c r="A54" s="5" t="inlineStr">
        <is>
          <t>UAT-R1</t>
        </is>
      </c>
      <c r="B54" s="5" t="inlineStr">
        <is>
          <t>TC-PRO-001</t>
        </is>
      </c>
      <c r="C54" s="5" t="n"/>
      <c r="D54" s="5" t="n"/>
      <c r="E54" s="5" t="n"/>
      <c r="F54" s="5" t="n"/>
      <c r="G54" s="5" t="n"/>
      <c r="H54" s="5" t="n"/>
      <c r="I54" s="5" t="inlineStr">
        <is>
          <t>Not Run</t>
        </is>
      </c>
      <c r="J54" s="5" t="n"/>
      <c r="K54" s="5" t="n"/>
      <c r="L54" s="5" t="n"/>
      <c r="M54" s="5" t="n"/>
      <c r="N54" s="5" t="n"/>
      <c r="O54" s="5" t="n"/>
      <c r="P54" s="5" t="n"/>
      <c r="Q54" s="5" t="n"/>
      <c r="R54" s="5" t="n"/>
      <c r="S54" s="5" t="n"/>
      <c r="T54" s="5" t="n"/>
      <c r="U54" s="5" t="n"/>
      <c r="V54" s="5" t="n"/>
      <c r="W54" s="5" t="n"/>
      <c r="X54" s="5" t="n"/>
      <c r="Y54" s="5">
        <f>IF(I54="","",IF(AND(I54="Fail",K54=""),"Classify Issue Source",IF(AND(I54="Fail",W54=""),"Set Confidence",IF(AND(K54="Unknown",W54&lt;&gt;"Low"),"Unknown must be Low confidence",IF(AND(OR(K54="Backend",K54="SAP"),N54=""),"Add HTTP status + endpoint",IF(AND(OR(K54="Backend",K54="SAP",K54="Network"),P54=""),"Add Correlation ID",IF(AND(I54="Fail",T54=""),"Write Root Cause / evidence gap",IF(AND(I54="Fail",V54=""),"Assign team","OK"))))))))</f>
        <v/>
      </c>
    </row>
    <row r="55">
      <c r="A55" s="5" t="inlineStr">
        <is>
          <t>UAT-R1</t>
        </is>
      </c>
      <c r="B55" s="5" t="inlineStr">
        <is>
          <t>TC-PRO-002</t>
        </is>
      </c>
      <c r="C55" s="5" t="n"/>
      <c r="D55" s="5" t="n"/>
      <c r="E55" s="5" t="n"/>
      <c r="F55" s="5" t="n"/>
      <c r="G55" s="5" t="n"/>
      <c r="H55" s="5" t="n"/>
      <c r="I55" s="5" t="inlineStr">
        <is>
          <t>Not Run</t>
        </is>
      </c>
      <c r="J55" s="5" t="n"/>
      <c r="K55" s="5" t="n"/>
      <c r="L55" s="5" t="n"/>
      <c r="M55" s="5" t="n"/>
      <c r="N55" s="5" t="n"/>
      <c r="O55" s="5" t="n"/>
      <c r="P55" s="5" t="n"/>
      <c r="Q55" s="5" t="n"/>
      <c r="R55" s="5" t="n"/>
      <c r="S55" s="5" t="n"/>
      <c r="T55" s="5" t="n"/>
      <c r="U55" s="5" t="n"/>
      <c r="V55" s="5" t="n"/>
      <c r="W55" s="5" t="n"/>
      <c r="X55" s="5" t="n"/>
      <c r="Y55" s="5">
        <f>IF(I55="","",IF(AND(I55="Fail",K55=""),"Classify Issue Source",IF(AND(I55="Fail",W55=""),"Set Confidence",IF(AND(K55="Unknown",W55&lt;&gt;"Low"),"Unknown must be Low confidence",IF(AND(OR(K55="Backend",K55="SAP"),N55=""),"Add HTTP status + endpoint",IF(AND(OR(K55="Backend",K55="SAP",K55="Network"),P55=""),"Add Correlation ID",IF(AND(I55="Fail",T55=""),"Write Root Cause / evidence gap",IF(AND(I55="Fail",V55=""),"Assign team","OK"))))))))</f>
        <v/>
      </c>
    </row>
    <row r="56">
      <c r="A56" s="5" t="inlineStr">
        <is>
          <t>UAT-R1</t>
        </is>
      </c>
      <c r="B56" s="5" t="inlineStr">
        <is>
          <t>TC-PRO-003</t>
        </is>
      </c>
      <c r="C56" s="5" t="n"/>
      <c r="D56" s="5" t="n"/>
      <c r="E56" s="5" t="n"/>
      <c r="F56" s="5" t="n"/>
      <c r="G56" s="5" t="n"/>
      <c r="H56" s="5" t="n"/>
      <c r="I56" s="5" t="inlineStr">
        <is>
          <t>Not Run</t>
        </is>
      </c>
      <c r="J56" s="5" t="n"/>
      <c r="K56" s="5" t="n"/>
      <c r="L56" s="5" t="n"/>
      <c r="M56" s="5" t="n"/>
      <c r="N56" s="5" t="n"/>
      <c r="O56" s="5" t="n"/>
      <c r="P56" s="5" t="n"/>
      <c r="Q56" s="5" t="n"/>
      <c r="R56" s="5" t="n"/>
      <c r="S56" s="5" t="n"/>
      <c r="T56" s="5" t="n"/>
      <c r="U56" s="5" t="n"/>
      <c r="V56" s="5" t="n"/>
      <c r="W56" s="5" t="n"/>
      <c r="X56" s="5" t="n"/>
      <c r="Y56" s="5">
        <f>IF(I56="","",IF(AND(I56="Fail",K56=""),"Classify Issue Source",IF(AND(I56="Fail",W56=""),"Set Confidence",IF(AND(K56="Unknown",W56&lt;&gt;"Low"),"Unknown must be Low confidence",IF(AND(OR(K56="Backend",K56="SAP"),N56=""),"Add HTTP status + endpoint",IF(AND(OR(K56="Backend",K56="SAP",K56="Network"),P56=""),"Add Correlation ID",IF(AND(I56="Fail",T56=""),"Write Root Cause / evidence gap",IF(AND(I56="Fail",V56=""),"Assign team","OK"))))))))</f>
        <v/>
      </c>
    </row>
    <row r="57">
      <c r="A57" s="5" t="inlineStr">
        <is>
          <t>UAT-R1</t>
        </is>
      </c>
      <c r="B57" s="5" t="inlineStr">
        <is>
          <t>TC-PRO-004</t>
        </is>
      </c>
      <c r="C57" s="5" t="n"/>
      <c r="D57" s="5" t="n"/>
      <c r="E57" s="5" t="n"/>
      <c r="F57" s="5" t="n"/>
      <c r="G57" s="5" t="n"/>
      <c r="H57" s="5" t="n"/>
      <c r="I57" s="5" t="inlineStr">
        <is>
          <t>Not Run</t>
        </is>
      </c>
      <c r="J57" s="5" t="n"/>
      <c r="K57" s="5" t="n"/>
      <c r="L57" s="5" t="n"/>
      <c r="M57" s="5" t="n"/>
      <c r="N57" s="5" t="n"/>
      <c r="O57" s="5" t="n"/>
      <c r="P57" s="5" t="n"/>
      <c r="Q57" s="5" t="n"/>
      <c r="R57" s="5" t="n"/>
      <c r="S57" s="5" t="n"/>
      <c r="T57" s="5" t="n"/>
      <c r="U57" s="5" t="n"/>
      <c r="V57" s="5" t="n"/>
      <c r="W57" s="5" t="n"/>
      <c r="X57" s="5" t="n"/>
      <c r="Y57" s="5">
        <f>IF(I57="","",IF(AND(I57="Fail",K57=""),"Classify Issue Source",IF(AND(I57="Fail",W57=""),"Set Confidence",IF(AND(K57="Unknown",W57&lt;&gt;"Low"),"Unknown must be Low confidence",IF(AND(OR(K57="Backend",K57="SAP"),N57=""),"Add HTTP status + endpoint",IF(AND(OR(K57="Backend",K57="SAP",K57="Network"),P57=""),"Add Correlation ID",IF(AND(I57="Fail",T57=""),"Write Root Cause / evidence gap",IF(AND(I57="Fail",V57=""),"Assign team","OK"))))))))</f>
        <v/>
      </c>
    </row>
    <row r="58">
      <c r="A58" s="5" t="inlineStr">
        <is>
          <t>UAT-R1</t>
        </is>
      </c>
      <c r="B58" s="5" t="inlineStr">
        <is>
          <t>TC-PRO-005</t>
        </is>
      </c>
      <c r="C58" s="5" t="n"/>
      <c r="D58" s="5" t="n"/>
      <c r="E58" s="5" t="n"/>
      <c r="F58" s="5" t="n"/>
      <c r="G58" s="5" t="n"/>
      <c r="H58" s="5" t="n"/>
      <c r="I58" s="5" t="inlineStr">
        <is>
          <t>Not Run</t>
        </is>
      </c>
      <c r="J58" s="5" t="n"/>
      <c r="K58" s="5" t="n"/>
      <c r="L58" s="5" t="n"/>
      <c r="M58" s="5" t="n"/>
      <c r="N58" s="5" t="n"/>
      <c r="O58" s="5" t="n"/>
      <c r="P58" s="5" t="n"/>
      <c r="Q58" s="5" t="n"/>
      <c r="R58" s="5" t="n"/>
      <c r="S58" s="5" t="n"/>
      <c r="T58" s="5" t="n"/>
      <c r="U58" s="5" t="n"/>
      <c r="V58" s="5" t="n"/>
      <c r="W58" s="5" t="n"/>
      <c r="X58" s="5" t="n"/>
      <c r="Y58" s="5">
        <f>IF(I58="","",IF(AND(I58="Fail",K58=""),"Classify Issue Source",IF(AND(I58="Fail",W58=""),"Set Confidence",IF(AND(K58="Unknown",W58&lt;&gt;"Low"),"Unknown must be Low confidence",IF(AND(OR(K58="Backend",K58="SAP"),N58=""),"Add HTTP status + endpoint",IF(AND(OR(K58="Backend",K58="SAP",K58="Network"),P58=""),"Add Correlation ID",IF(AND(I58="Fail",T58=""),"Write Root Cause / evidence gap",IF(AND(I58="Fail",V58=""),"Assign team","OK"))))))))</f>
        <v/>
      </c>
    </row>
    <row r="59">
      <c r="A59" s="5" t="inlineStr">
        <is>
          <t>UAT-R1</t>
        </is>
      </c>
      <c r="B59" s="5" t="inlineStr">
        <is>
          <t>TC-PRO-006</t>
        </is>
      </c>
      <c r="C59" s="5" t="n"/>
      <c r="D59" s="5" t="n"/>
      <c r="E59" s="5" t="n"/>
      <c r="F59" s="5" t="n"/>
      <c r="G59" s="5" t="n"/>
      <c r="H59" s="5" t="n"/>
      <c r="I59" s="5" t="inlineStr">
        <is>
          <t>Not Run</t>
        </is>
      </c>
      <c r="J59" s="5" t="n"/>
      <c r="K59" s="5" t="n"/>
      <c r="L59" s="5" t="n"/>
      <c r="M59" s="5" t="n"/>
      <c r="N59" s="5" t="n"/>
      <c r="O59" s="5" t="n"/>
      <c r="P59" s="5" t="n"/>
      <c r="Q59" s="5" t="n"/>
      <c r="R59" s="5" t="n"/>
      <c r="S59" s="5" t="n"/>
      <c r="T59" s="5" t="n"/>
      <c r="U59" s="5" t="n"/>
      <c r="V59" s="5" t="n"/>
      <c r="W59" s="5" t="n"/>
      <c r="X59" s="5" t="n"/>
      <c r="Y59" s="5">
        <f>IF(I59="","",IF(AND(I59="Fail",K59=""),"Classify Issue Source",IF(AND(I59="Fail",W59=""),"Set Confidence",IF(AND(K59="Unknown",W59&lt;&gt;"Low"),"Unknown must be Low confidence",IF(AND(OR(K59="Backend",K59="SAP"),N59=""),"Add HTTP status + endpoint",IF(AND(OR(K59="Backend",K59="SAP",K59="Network"),P59=""),"Add Correlation ID",IF(AND(I59="Fail",T59=""),"Write Root Cause / evidence gap",IF(AND(I59="Fail",V59=""),"Assign team","OK"))))))))</f>
        <v/>
      </c>
    </row>
    <row r="60">
      <c r="A60" s="5" t="inlineStr">
        <is>
          <t>EXEC-20261008-014</t>
        </is>
      </c>
      <c r="B60" s="5" t="inlineStr">
        <is>
          <t>TC-AUTH-002</t>
        </is>
      </c>
      <c r="C60" s="5" t="inlineStr">
        <is>
          <t>2026-10-08</t>
        </is>
      </c>
      <c r="D60" s="5" t="inlineStr">
        <is>
          <t>automation (API, device, flutter test)</t>
        </is>
      </c>
      <c r="E60" s="5" t="inlineStr">
        <is>
          <t>Staging</t>
        </is>
      </c>
      <c r="F60" s="5" t="inlineStr">
        <is>
          <t>1.0.0+1 @ uat @ a2de10d (modified)</t>
        </is>
      </c>
      <c r="G60" s="5" t="inlineStr">
        <is>
          <t>iPhone 17 Pro Max</t>
        </is>
      </c>
      <c r="H60" s="5" t="inlineStr">
        <is>
          <t>iOS 26.5 (simulator)</t>
        </is>
      </c>
      <c r="I60" s="5" t="inlineStr">
        <is>
          <t>Pass</t>
        </is>
      </c>
      <c r="J60" s="5" t="inlineStr">
        <is>
          <t>No</t>
        </is>
      </c>
      <c r="K60" s="5" t="inlineStr"/>
      <c r="L60" s="5" t="inlineStr"/>
      <c r="M60" s="5" t="inlineStr"/>
      <c r="N60" s="5" t="inlineStr"/>
      <c r="O60" s="5" t="inlineStr"/>
      <c r="P60" s="5" t="inlineStr"/>
      <c r="Q60" s="5" t="inlineStr"/>
      <c r="R60" s="5" t="inlineStr">
        <is>
          <t>login_no_otp_test.dart: 2 passed; auth_me_profile_test.dart: 5 passed; login_device_test.dart: 1 passed; Screenshots: screenshots/integration_test_auth_login_device_test_dart/after-sign-in.png, screenshots/integration_test_auth_login_device_test_dart/login-screen.png</t>
        </is>
      </c>
      <c r="S60" s="5" t="inlineStr">
        <is>
          <t>test_auth.py::test_login_returns_a_usable_token_pair: 1 passed; test_auth.py::test_current_user_matches_the_contract: 1 passed</t>
        </is>
      </c>
      <c r="T60" s="5" t="inlineStr"/>
      <c r="U60" s="5" t="inlineStr"/>
      <c r="V60" s="5" t="inlineStr"/>
      <c r="W60" s="5" t="inlineStr"/>
      <c r="X60" s="5" t="inlineStr">
        <is>
          <t>Automated part only — a manual UAT run is still required. Evidence to Capture: 4 of 4 captured. Evidence: reports/EXEC-20261008-014/cases/TC-AUTH-002/evidence.html</t>
        </is>
      </c>
      <c r="Y60" s="5">
        <f>IF(I60="","",IF(AND(I60="Fail",K60=""),"Classify Issue Source",IF(AND(I60="Fail",W60=""),"Set Confidence",IF(AND(K60="Unknown",W60&lt;&gt;"Low"),"Unknown must be Low confidence",IF(AND(OR(K60="Backend",K60="SAP"),N60=""),"Add HTTP status + endpoint",IF(AND(OR(K60="Backend",K60="SAP",K60="Network"),P60=""),"Add Correlation ID",IF(AND(I60="Fail",T60=""),"Write Root Cause / evidence gap",IF(AND(I60="Fail",V60=""),"Assign team","OK"))))))))</f>
        <v/>
      </c>
    </row>
    <row r="61">
      <c r="A61" s="5" t="inlineStr">
        <is>
          <t>EXEC-20261008-014</t>
        </is>
      </c>
      <c r="B61" s="5" t="inlineStr">
        <is>
          <t>TC-AUTH-003</t>
        </is>
      </c>
      <c r="C61" s="5" t="inlineStr">
        <is>
          <t>2026-10-08</t>
        </is>
      </c>
      <c r="D61" s="5" t="inlineStr">
        <is>
          <t>automation (flutter test)</t>
        </is>
      </c>
      <c r="E61" s="5" t="inlineStr">
        <is>
          <t>Local (unit/widget)</t>
        </is>
      </c>
      <c r="F61" s="5" t="inlineStr">
        <is>
          <t>1.0.0+1 @ uat @ a2de10d (modified)</t>
        </is>
      </c>
      <c r="G61" s="5" t="inlineStr">
        <is>
          <t>host (no device)</t>
        </is>
      </c>
      <c r="H61" s="5" t="inlineStr">
        <is>
          <t>n/a</t>
        </is>
      </c>
      <c r="I61" s="5" t="inlineStr">
        <is>
          <t>Pass</t>
        </is>
      </c>
      <c r="J61" s="5" t="inlineStr">
        <is>
          <t>No</t>
        </is>
      </c>
      <c r="K61" s="5" t="inlineStr"/>
      <c r="L61" s="5" t="inlineStr"/>
      <c r="M61" s="5" t="inlineStr"/>
      <c r="N61" s="5" t="inlineStr"/>
      <c r="O61" s="5" t="inlineStr"/>
      <c r="P61" s="5" t="inlineStr"/>
      <c r="Q61" s="5" t="inlineStr"/>
      <c r="R61" s="5" t="inlineStr">
        <is>
          <t>login_screen_layout_test.dart: 15 passed; login_keyboard_test.dart: 3 passed; login_keyboard_insets_test.dart: 2 passed</t>
        </is>
      </c>
      <c r="S61" s="5" t="inlineStr"/>
      <c r="T61" s="5" t="inlineStr"/>
      <c r="U61" s="5" t="inlineStr"/>
      <c r="V61" s="5" t="inlineStr"/>
      <c r="W61" s="5" t="inlineStr"/>
      <c r="X61" s="5" t="inlineStr">
        <is>
          <t>Evidence to Capture: 3 of 4 captured; missing: Screenshot (EN + KM where text changes). Evidence: reports/EXEC-20261008-014/cases/TC-AUTH-003/evidence.html</t>
        </is>
      </c>
      <c r="Y61" s="5">
        <f>IF(I61="","",IF(AND(I61="Fail",K61=""),"Classify Issue Source",IF(AND(I61="Fail",W61=""),"Set Confidence",IF(AND(K61="Unknown",W61&lt;&gt;"Low"),"Unknown must be Low confidence",IF(AND(OR(K61="Backend",K61="SAP"),N61=""),"Add HTTP status + endpoint",IF(AND(OR(K61="Backend",K61="SAP",K61="Network"),P61=""),"Add Correlation ID",IF(AND(I61="Fail",T61=""),"Write Root Cause / evidence gap",IF(AND(I61="Fail",V61=""),"Assign team","OK"))))))))</f>
        <v/>
      </c>
    </row>
    <row r="62">
      <c r="A62" s="5" t="inlineStr">
        <is>
          <t>EXEC-20261008-014</t>
        </is>
      </c>
      <c r="B62" s="5" t="inlineStr">
        <is>
          <t>TC-AUTH-004</t>
        </is>
      </c>
      <c r="C62" s="5" t="inlineStr">
        <is>
          <t>2026-10-08</t>
        </is>
      </c>
      <c r="D62" s="5" t="inlineStr">
        <is>
          <t>automation (API, flutter test)</t>
        </is>
      </c>
      <c r="E62" s="5" t="inlineStr">
        <is>
          <t>Staging</t>
        </is>
      </c>
      <c r="F62" s="5" t="inlineStr">
        <is>
          <t>1.0.0+1 @ uat @ a2de10d (modified)</t>
        </is>
      </c>
      <c r="G62" s="5" t="inlineStr">
        <is>
          <t>host (no device)</t>
        </is>
      </c>
      <c r="H62" s="5" t="inlineStr">
        <is>
          <t>n/a</t>
        </is>
      </c>
      <c r="I62" s="5" t="inlineStr">
        <is>
          <t>Pass</t>
        </is>
      </c>
      <c r="J62" s="5" t="inlineStr">
        <is>
          <t>No</t>
        </is>
      </c>
      <c r="K62" s="5" t="inlineStr"/>
      <c r="L62" s="5" t="inlineStr"/>
      <c r="M62" s="5" t="inlineStr"/>
      <c r="N62" s="5" t="inlineStr"/>
      <c r="O62" s="5" t="inlineStr"/>
      <c r="P62" s="5" t="inlineStr"/>
      <c r="Q62" s="5" t="inlineStr"/>
      <c r="R62" s="5" t="inlineStr">
        <is>
          <t>auth_failure_mapping_test.dart: 1 passed</t>
        </is>
      </c>
      <c r="S62" s="5" t="inlineStr">
        <is>
          <t>test_auth.py::test_a_wrong_password_is_refused_without_tokens: 1 skipped</t>
        </is>
      </c>
      <c r="T62" s="5" t="inlineStr"/>
      <c r="U62" s="5" t="inlineStr"/>
      <c r="V62" s="5" t="inlineStr"/>
      <c r="W62" s="5" t="inlineStr"/>
      <c r="X62" s="5" t="inlineStr">
        <is>
          <t>Automated part only — a manual UAT run is still required. Not run: pytest:tests/api/test_auth.py::test_a_wrong_password_is_refused_without_tokens — marked ['lockout']; run with --include lockout Evidence to Capture: 2 of 4 captured; missing: Screenshot; debug log lines api.request/api.response/api.error (method, path, status, errorCode, correlationId, dioType, host). Evidence: reports/EXEC-20261008-014/cases/TC-AUTH-004/evidence.html</t>
        </is>
      </c>
      <c r="Y62" s="5">
        <f>IF(I62="","",IF(AND(I62="Fail",K62=""),"Classify Issue Source",IF(AND(I62="Fail",W62=""),"Set Confidence",IF(AND(K62="Unknown",W62&lt;&gt;"Low"),"Unknown must be Low confidence",IF(AND(OR(K62="Backend",K62="SAP"),N62=""),"Add HTTP status + endpoint",IF(AND(OR(K62="Backend",K62="SAP",K62="Network"),P62=""),"Add Correlation ID",IF(AND(I62="Fail",T62=""),"Write Root Cause / evidence gap",IF(AND(I62="Fail",V62=""),"Assign team","OK"))))))))</f>
        <v/>
      </c>
    </row>
    <row r="63">
      <c r="A63" s="5" t="inlineStr">
        <is>
          <t>EXEC-20261008-014</t>
        </is>
      </c>
      <c r="B63" s="5" t="inlineStr">
        <is>
          <t>TC-AUTH-008</t>
        </is>
      </c>
      <c r="C63" s="5" t="inlineStr">
        <is>
          <t>2026-10-08</t>
        </is>
      </c>
      <c r="D63" s="5" t="inlineStr">
        <is>
          <t>automation (flutter test)</t>
        </is>
      </c>
      <c r="E63" s="5" t="inlineStr">
        <is>
          <t>Local (unit/widget)</t>
        </is>
      </c>
      <c r="F63" s="5" t="inlineStr">
        <is>
          <t>1.0.0+1 @ uat @ a2de10d (modified)</t>
        </is>
      </c>
      <c r="G63" s="5" t="inlineStr">
        <is>
          <t>host (no device)</t>
        </is>
      </c>
      <c r="H63" s="5" t="inlineStr">
        <is>
          <t>n/a</t>
        </is>
      </c>
      <c r="I63" s="5" t="inlineStr">
        <is>
          <t>Pass</t>
        </is>
      </c>
      <c r="J63" s="5" t="inlineStr">
        <is>
          <t>No</t>
        </is>
      </c>
      <c r="K63" s="5" t="inlineStr"/>
      <c r="L63" s="5" t="inlineStr"/>
      <c r="M63" s="5" t="inlineStr"/>
      <c r="N63" s="5" t="inlineStr"/>
      <c r="O63" s="5" t="inlineStr"/>
      <c r="P63" s="5" t="inlineStr"/>
      <c r="Q63" s="5" t="inlineStr"/>
      <c r="R63" s="5" t="inlineStr">
        <is>
          <t>temporary_password_test.dart: 15 passed</t>
        </is>
      </c>
      <c r="S63" s="5" t="inlineStr"/>
      <c r="T63" s="5" t="inlineStr"/>
      <c r="U63" s="5" t="inlineStr"/>
      <c r="V63" s="5" t="inlineStr"/>
      <c r="W63" s="5" t="inlineStr"/>
      <c r="X63" s="5" t="inlineStr">
        <is>
          <t>Automated part only — a manual UAT run is still required. Evidence to Capture: 3 of 4 captured; missing: Screenshot (EN + KM where text changes). Evidence: reports/EXEC-20261008-014/cases/TC-AUTH-008/evidence.html</t>
        </is>
      </c>
      <c r="Y63" s="5">
        <f>IF(I63="","",IF(AND(I63="Fail",K63=""),"Classify Issue Source",IF(AND(I63="Fail",W63=""),"Set Confidence",IF(AND(K63="Unknown",W63&lt;&gt;"Low"),"Unknown must be Low confidence",IF(AND(OR(K63="Backend",K63="SAP"),N63=""),"Add HTTP status + endpoint",IF(AND(OR(K63="Backend",K63="SAP",K63="Network"),P63=""),"Add Correlation ID",IF(AND(I63="Fail",T63=""),"Write Root Cause / evidence gap",IF(AND(I63="Fail",V63=""),"Assign team","OK"))))))))</f>
        <v/>
      </c>
    </row>
    <row r="64">
      <c r="A64" s="5" t="inlineStr">
        <is>
          <t>EXEC-20261008-014</t>
        </is>
      </c>
      <c r="B64" s="5" t="inlineStr">
        <is>
          <t>TC-AUTH-009</t>
        </is>
      </c>
      <c r="C64" s="5" t="inlineStr">
        <is>
          <t>2026-10-08</t>
        </is>
      </c>
      <c r="D64" s="5" t="inlineStr">
        <is>
          <t>automation (flutter test)</t>
        </is>
      </c>
      <c r="E64" s="5" t="inlineStr">
        <is>
          <t>Local (unit/widget)</t>
        </is>
      </c>
      <c r="F64" s="5" t="inlineStr">
        <is>
          <t>1.0.0+1 @ uat @ a2de10d (modified)</t>
        </is>
      </c>
      <c r="G64" s="5" t="inlineStr">
        <is>
          <t>host (no device)</t>
        </is>
      </c>
      <c r="H64" s="5" t="inlineStr">
        <is>
          <t>n/a</t>
        </is>
      </c>
      <c r="I64" s="5" t="inlineStr">
        <is>
          <t>Pass</t>
        </is>
      </c>
      <c r="J64" s="5" t="inlineStr">
        <is>
          <t>No</t>
        </is>
      </c>
      <c r="K64" s="5" t="inlineStr"/>
      <c r="L64" s="5" t="inlineStr"/>
      <c r="M64" s="5" t="inlineStr"/>
      <c r="N64" s="5" t="inlineStr"/>
      <c r="O64" s="5" t="inlineStr"/>
      <c r="P64" s="5" t="inlineStr"/>
      <c r="Q64" s="5" t="inlineStr"/>
      <c r="R64" s="5" t="inlineStr">
        <is>
          <t>temporary_password_test.dart: 15 passed</t>
        </is>
      </c>
      <c r="S64" s="5" t="inlineStr"/>
      <c r="T64" s="5" t="inlineStr"/>
      <c r="U64" s="5" t="inlineStr"/>
      <c r="V64" s="5" t="inlineStr"/>
      <c r="W64" s="5" t="inlineStr"/>
      <c r="X64" s="5" t="inlineStr">
        <is>
          <t>Automated part only — a manual UAT run is still required. Evidence to Capture: 2 of 4 captured; missing: Screenshot; debug log lines api.request/api.response/api.error (method, path, status, errorCode, correlationId, dioType, host). Evidence: reports/EXEC-20261008-014/cases/TC-AUTH-009/evidence.html</t>
        </is>
      </c>
      <c r="Y64" s="5">
        <f>IF(I64="","",IF(AND(I64="Fail",K64=""),"Classify Issue Source",IF(AND(I64="Fail",W64=""),"Set Confidence",IF(AND(K64="Unknown",W64&lt;&gt;"Low"),"Unknown must be Low confidence",IF(AND(OR(K64="Backend",K64="SAP"),N64=""),"Add HTTP status + endpoint",IF(AND(OR(K64="Backend",K64="SAP",K64="Network"),P64=""),"Add Correlation ID",IF(AND(I64="Fail",T64=""),"Write Root Cause / evidence gap",IF(AND(I64="Fail",V64=""),"Assign team","OK"))))))))</f>
        <v/>
      </c>
    </row>
    <row r="65">
      <c r="A65" s="5" t="inlineStr">
        <is>
          <t>EXEC-20261008-014</t>
        </is>
      </c>
      <c r="B65" s="5" t="inlineStr">
        <is>
          <t>TC-AUTH-010</t>
        </is>
      </c>
      <c r="C65" s="5" t="inlineStr">
        <is>
          <t>2026-10-08</t>
        </is>
      </c>
      <c r="D65" s="5" t="inlineStr">
        <is>
          <t>automation (flutter test)</t>
        </is>
      </c>
      <c r="E65" s="5" t="inlineStr">
        <is>
          <t>Local (unit/widget)</t>
        </is>
      </c>
      <c r="F65" s="5" t="inlineStr">
        <is>
          <t>1.0.0+1 @ uat @ a2de10d (modified)</t>
        </is>
      </c>
      <c r="G65" s="5" t="inlineStr">
        <is>
          <t>host (no device)</t>
        </is>
      </c>
      <c r="H65" s="5" t="inlineStr">
        <is>
          <t>n/a</t>
        </is>
      </c>
      <c r="I65" s="5" t="inlineStr">
        <is>
          <t>Pass</t>
        </is>
      </c>
      <c r="J65" s="5" t="inlineStr">
        <is>
          <t>No</t>
        </is>
      </c>
      <c r="K65" s="5" t="inlineStr"/>
      <c r="L65" s="5" t="inlineStr"/>
      <c r="M65" s="5" t="inlineStr"/>
      <c r="N65" s="5" t="inlineStr"/>
      <c r="O65" s="5" t="inlineStr"/>
      <c r="P65" s="5" t="inlineStr"/>
      <c r="Q65" s="5" t="inlineStr"/>
      <c r="R65" s="5" t="inlineStr">
        <is>
          <t>temporary_password_test.dart: 15 passed</t>
        </is>
      </c>
      <c r="S65" s="5" t="inlineStr"/>
      <c r="T65" s="5" t="inlineStr"/>
      <c r="U65" s="5" t="inlineStr"/>
      <c r="V65" s="5" t="inlineStr"/>
      <c r="W65" s="5" t="inlineStr"/>
      <c r="X65" s="5" t="inlineStr">
        <is>
          <t>Automated part only — a manual UAT run is still required. Evidence to Capture: 3 of 4 captured; missing: Screenshot (EN + KM where text changes). Evidence: reports/EXEC-20261008-014/cases/TC-AUTH-010/evidence.html</t>
        </is>
      </c>
      <c r="Y65" s="5">
        <f>IF(I65="","",IF(AND(I65="Fail",K65=""),"Classify Issue Source",IF(AND(I65="Fail",W65=""),"Set Confidence",IF(AND(K65="Unknown",W65&lt;&gt;"Low"),"Unknown must be Low confidence",IF(AND(OR(K65="Backend",K65="SAP"),N65=""),"Add HTTP status + endpoint",IF(AND(OR(K65="Backend",K65="SAP",K65="Network"),P65=""),"Add Correlation ID",IF(AND(I65="Fail",T65=""),"Write Root Cause / evidence gap",IF(AND(I65="Fail",V65=""),"Assign team","OK"))))))))</f>
        <v/>
      </c>
    </row>
    <row r="66">
      <c r="A66" s="5" t="inlineStr">
        <is>
          <t>EXEC-20261008-014</t>
        </is>
      </c>
      <c r="B66" s="5" t="inlineStr">
        <is>
          <t>TC-AUTH-011</t>
        </is>
      </c>
      <c r="C66" s="5" t="inlineStr">
        <is>
          <t>2026-10-08</t>
        </is>
      </c>
      <c r="D66" s="5" t="inlineStr">
        <is>
          <t>automation (flutter test)</t>
        </is>
      </c>
      <c r="E66" s="5" t="inlineStr">
        <is>
          <t>Local (unit/widget)</t>
        </is>
      </c>
      <c r="F66" s="5" t="inlineStr">
        <is>
          <t>1.0.0+1 @ uat @ a2de10d (modified)</t>
        </is>
      </c>
      <c r="G66" s="5" t="inlineStr">
        <is>
          <t>host (no device)</t>
        </is>
      </c>
      <c r="H66" s="5" t="inlineStr">
        <is>
          <t>n/a</t>
        </is>
      </c>
      <c r="I66" s="5" t="inlineStr">
        <is>
          <t>Pass</t>
        </is>
      </c>
      <c r="J66" s="5" t="inlineStr">
        <is>
          <t>No</t>
        </is>
      </c>
      <c r="K66" s="5" t="inlineStr"/>
      <c r="L66" s="5" t="inlineStr"/>
      <c r="M66" s="5" t="inlineStr"/>
      <c r="N66" s="5" t="inlineStr"/>
      <c r="O66" s="5" t="inlineStr"/>
      <c r="P66" s="5" t="inlineStr"/>
      <c r="Q66" s="5" t="inlineStr"/>
      <c r="R66" s="5" t="inlineStr">
        <is>
          <t>forgot_password_flow_test.dart: 1 passed</t>
        </is>
      </c>
      <c r="S66" s="5" t="inlineStr"/>
      <c r="T66" s="5" t="inlineStr"/>
      <c r="U66" s="5" t="inlineStr"/>
      <c r="V66" s="5" t="inlineStr"/>
      <c r="W66" s="5" t="inlineStr"/>
      <c r="X66" s="5" t="inlineStr">
        <is>
          <t>Evidence to Capture: 2 of 4 captured; missing: Screenshot; debug log lines api.request/api.response/api.error (method, path, status, errorCode, correlationId, dioType, host). Evidence: reports/EXEC-20261008-014/cases/TC-AUTH-011/evidence.html</t>
        </is>
      </c>
      <c r="Y66" s="5">
        <f>IF(I66="","",IF(AND(I66="Fail",K66=""),"Classify Issue Source",IF(AND(I66="Fail",W66=""),"Set Confidence",IF(AND(K66="Unknown",W66&lt;&gt;"Low"),"Unknown must be Low confidence",IF(AND(OR(K66="Backend",K66="SAP"),N66=""),"Add HTTP status + endpoint",IF(AND(OR(K66="Backend",K66="SAP",K66="Network"),P66=""),"Add Correlation ID",IF(AND(I66="Fail",T66=""),"Write Root Cause / evidence gap",IF(AND(I66="Fail",V66=""),"Assign team","OK"))))))))</f>
        <v/>
      </c>
    </row>
    <row r="67">
      <c r="A67" s="5" t="inlineStr">
        <is>
          <t>EXEC-20261008-014</t>
        </is>
      </c>
      <c r="B67" s="5" t="inlineStr">
        <is>
          <t>TC-AUTH-012</t>
        </is>
      </c>
      <c r="C67" s="5" t="inlineStr">
        <is>
          <t>2026-10-08</t>
        </is>
      </c>
      <c r="D67" s="5" t="inlineStr">
        <is>
          <t>automation (flutter test)</t>
        </is>
      </c>
      <c r="E67" s="5" t="inlineStr">
        <is>
          <t>Local (unit/widget)</t>
        </is>
      </c>
      <c r="F67" s="5" t="inlineStr">
        <is>
          <t>1.0.0+1 @ uat @ a2de10d (modified)</t>
        </is>
      </c>
      <c r="G67" s="5" t="inlineStr">
        <is>
          <t>host (no device)</t>
        </is>
      </c>
      <c r="H67" s="5" t="inlineStr">
        <is>
          <t>n/a</t>
        </is>
      </c>
      <c r="I67" s="5" t="inlineStr">
        <is>
          <t>Pass</t>
        </is>
      </c>
      <c r="J67" s="5" t="inlineStr">
        <is>
          <t>No</t>
        </is>
      </c>
      <c r="K67" s="5" t="inlineStr"/>
      <c r="L67" s="5" t="inlineStr"/>
      <c r="M67" s="5" t="inlineStr"/>
      <c r="N67" s="5" t="inlineStr"/>
      <c r="O67" s="5" t="inlineStr"/>
      <c r="P67" s="5" t="inlineStr"/>
      <c r="Q67" s="5" t="inlineStr"/>
      <c r="R67" s="5" t="inlineStr">
        <is>
          <t>password_reset_by_phone_test.dart: 8 passed</t>
        </is>
      </c>
      <c r="S67" s="5" t="inlineStr"/>
      <c r="T67" s="5" t="inlineStr"/>
      <c r="U67" s="5" t="inlineStr"/>
      <c r="V67" s="5" t="inlineStr"/>
      <c r="W67" s="5" t="inlineStr"/>
      <c r="X67" s="5" t="inlineStr">
        <is>
          <t>Automated part only — a manual UAT run is still required. Evidence to Capture: 2 of 4 captured; missing: Screenshot; debug log lines api.request/api.response/api.error (method, path, status, errorCode, correlationId, dioType, host). Evidence: reports/EXEC-20261008-014/cases/TC-AUTH-012/evidence.html</t>
        </is>
      </c>
      <c r="Y67" s="5">
        <f>IF(I67="","",IF(AND(I67="Fail",K67=""),"Classify Issue Source",IF(AND(I67="Fail",W67=""),"Set Confidence",IF(AND(K67="Unknown",W67&lt;&gt;"Low"),"Unknown must be Low confidence",IF(AND(OR(K67="Backend",K67="SAP"),N67=""),"Add HTTP status + endpoint",IF(AND(OR(K67="Backend",K67="SAP",K67="Network"),P67=""),"Add Correlation ID",IF(AND(I67="Fail",T67=""),"Write Root Cause / evidence gap",IF(AND(I67="Fail",V67=""),"Assign team","OK"))))))))</f>
        <v/>
      </c>
    </row>
    <row r="68">
      <c r="A68" s="5" t="inlineStr">
        <is>
          <t>EXEC-20261008-014</t>
        </is>
      </c>
      <c r="B68" s="5" t="inlineStr">
        <is>
          <t>TC-AUTH-014</t>
        </is>
      </c>
      <c r="C68" s="5" t="inlineStr">
        <is>
          <t>2026-10-08</t>
        </is>
      </c>
      <c r="D68" s="5" t="inlineStr">
        <is>
          <t>automation (flutter test)</t>
        </is>
      </c>
      <c r="E68" s="5" t="inlineStr">
        <is>
          <t>Local (unit/widget)</t>
        </is>
      </c>
      <c r="F68" s="5" t="inlineStr">
        <is>
          <t>1.0.0+1 @ uat @ a2de10d (modified)</t>
        </is>
      </c>
      <c r="G68" s="5" t="inlineStr">
        <is>
          <t>host (no device)</t>
        </is>
      </c>
      <c r="H68" s="5" t="inlineStr">
        <is>
          <t>n/a</t>
        </is>
      </c>
      <c r="I68" s="5" t="inlineStr">
        <is>
          <t>Pass</t>
        </is>
      </c>
      <c r="J68" s="5" t="inlineStr">
        <is>
          <t>No</t>
        </is>
      </c>
      <c r="K68" s="5" t="inlineStr"/>
      <c r="L68" s="5" t="inlineStr"/>
      <c r="M68" s="5" t="inlineStr"/>
      <c r="N68" s="5" t="inlineStr"/>
      <c r="O68" s="5" t="inlineStr"/>
      <c r="P68" s="5" t="inlineStr"/>
      <c r="Q68" s="5" t="inlineStr"/>
      <c r="R68" s="5" t="inlineStr">
        <is>
          <t>create_new_password_policy_test.dart: 3 passed</t>
        </is>
      </c>
      <c r="S68" s="5" t="inlineStr"/>
      <c r="T68" s="5" t="inlineStr"/>
      <c r="U68" s="5" t="inlineStr"/>
      <c r="V68" s="5" t="inlineStr"/>
      <c r="W68" s="5" t="inlineStr"/>
      <c r="X68" s="5" t="inlineStr">
        <is>
          <t>Evidence to Capture: 3 of 4 captured; missing: Screenshot (EN + KM where text changes). Evidence: reports/EXEC-20261008-014/cases/TC-AUTH-014/evidence.html</t>
        </is>
      </c>
      <c r="Y68" s="5">
        <f>IF(I68="","",IF(AND(I68="Fail",K68=""),"Classify Issue Source",IF(AND(I68="Fail",W68=""),"Set Confidence",IF(AND(K68="Unknown",W68&lt;&gt;"Low"),"Unknown must be Low confidence",IF(AND(OR(K68="Backend",K68="SAP"),N68=""),"Add HTTP status + endpoint",IF(AND(OR(K68="Backend",K68="SAP",K68="Network"),P68=""),"Add Correlation ID",IF(AND(I68="Fail",T68=""),"Write Root Cause / evidence gap",IF(AND(I68="Fail",V68=""),"Assign team","OK"))))))))</f>
        <v/>
      </c>
    </row>
    <row r="69">
      <c r="A69" s="5" t="inlineStr">
        <is>
          <t>EXEC-20261008-014</t>
        </is>
      </c>
      <c r="B69" s="5" t="inlineStr">
        <is>
          <t>TC-AUTH-016</t>
        </is>
      </c>
      <c r="C69" s="5" t="inlineStr">
        <is>
          <t>2026-10-08</t>
        </is>
      </c>
      <c r="D69" s="5" t="inlineStr">
        <is>
          <t>automation (flutter test)</t>
        </is>
      </c>
      <c r="E69" s="5" t="inlineStr">
        <is>
          <t>Local (unit/widget)</t>
        </is>
      </c>
      <c r="F69" s="5" t="inlineStr">
        <is>
          <t>1.0.0+1 @ uat @ a2de10d (modified)</t>
        </is>
      </c>
      <c r="G69" s="5" t="inlineStr">
        <is>
          <t>host (no device)</t>
        </is>
      </c>
      <c r="H69" s="5" t="inlineStr">
        <is>
          <t>n/a</t>
        </is>
      </c>
      <c r="I69" s="5" t="inlineStr">
        <is>
          <t>Pass</t>
        </is>
      </c>
      <c r="J69" s="5" t="inlineStr">
        <is>
          <t>No</t>
        </is>
      </c>
      <c r="K69" s="5" t="inlineStr"/>
      <c r="L69" s="5" t="inlineStr"/>
      <c r="M69" s="5" t="inlineStr"/>
      <c r="N69" s="5" t="inlineStr"/>
      <c r="O69" s="5" t="inlineStr"/>
      <c r="P69" s="5" t="inlineStr"/>
      <c r="Q69" s="5" t="inlineStr"/>
      <c r="R69" s="5" t="inlineStr">
        <is>
          <t>remember_phone_test.dart: 8 passed</t>
        </is>
      </c>
      <c r="S69" s="5" t="inlineStr"/>
      <c r="T69" s="5" t="inlineStr"/>
      <c r="U69" s="5" t="inlineStr"/>
      <c r="V69" s="5" t="inlineStr"/>
      <c r="W69" s="5" t="inlineStr"/>
      <c r="X69" s="5" t="inlineStr">
        <is>
          <t>Evidence to Capture: 3 of 4 captured; missing: Screenshot (EN + KM where text changes). Evidence: reports/EXEC-20261008-014/cases/TC-AUTH-016/evidence.html</t>
        </is>
      </c>
      <c r="Y69" s="5">
        <f>IF(I69="","",IF(AND(I69="Fail",K69=""),"Classify Issue Source",IF(AND(I69="Fail",W69=""),"Set Confidence",IF(AND(K69="Unknown",W69&lt;&gt;"Low"),"Unknown must be Low confidence",IF(AND(OR(K69="Backend",K69="SAP"),N69=""),"Add HTTP status + endpoint",IF(AND(OR(K69="Backend",K69="SAP",K69="Network"),P69=""),"Add Correlation ID",IF(AND(I69="Fail",T69=""),"Write Root Cause / evidence gap",IF(AND(I69="Fail",V69=""),"Assign team","OK"))))))))</f>
        <v/>
      </c>
    </row>
    <row r="70">
      <c r="A70" s="5" t="inlineStr">
        <is>
          <t>EXEC-20261008-014</t>
        </is>
      </c>
      <c r="B70" s="5" t="inlineStr">
        <is>
          <t>TC-AUTH-017</t>
        </is>
      </c>
      <c r="C70" s="5" t="inlineStr">
        <is>
          <t>2026-10-08</t>
        </is>
      </c>
      <c r="D70" s="5" t="inlineStr">
        <is>
          <t>automation (flutter test)</t>
        </is>
      </c>
      <c r="E70" s="5" t="inlineStr">
        <is>
          <t>Local (unit/widget)</t>
        </is>
      </c>
      <c r="F70" s="5" t="inlineStr">
        <is>
          <t>1.0.0+1 @ uat @ a2de10d (modified)</t>
        </is>
      </c>
      <c r="G70" s="5" t="inlineStr">
        <is>
          <t>host (no device)</t>
        </is>
      </c>
      <c r="H70" s="5" t="inlineStr">
        <is>
          <t>n/a</t>
        </is>
      </c>
      <c r="I70" s="5" t="inlineStr">
        <is>
          <t>Pass</t>
        </is>
      </c>
      <c r="J70" s="5" t="inlineStr">
        <is>
          <t>No</t>
        </is>
      </c>
      <c r="K70" s="5" t="inlineStr"/>
      <c r="L70" s="5" t="inlineStr"/>
      <c r="M70" s="5" t="inlineStr"/>
      <c r="N70" s="5" t="inlineStr"/>
      <c r="O70" s="5" t="inlineStr"/>
      <c r="P70" s="5" t="inlineStr"/>
      <c r="Q70" s="5" t="inlineStr"/>
      <c r="R70" s="5" t="inlineStr">
        <is>
          <t>guest_home_screen_test.dart: 23 passed</t>
        </is>
      </c>
      <c r="S70" s="5" t="inlineStr"/>
      <c r="T70" s="5" t="inlineStr"/>
      <c r="U70" s="5" t="inlineStr"/>
      <c r="V70" s="5" t="inlineStr"/>
      <c r="W70" s="5" t="inlineStr"/>
      <c r="X70" s="5" t="inlineStr">
        <is>
          <t>Evidence to Capture: 3 of 4 captured; missing: Screenshot (EN + KM where text changes). Evidence: reports/EXEC-20261008-014/cases/TC-AUTH-017/evidence.html</t>
        </is>
      </c>
      <c r="Y70" s="5">
        <f>IF(I70="","",IF(AND(I70="Fail",K70=""),"Classify Issue Source",IF(AND(I70="Fail",W70=""),"Set Confidence",IF(AND(K70="Unknown",W70&lt;&gt;"Low"),"Unknown must be Low confidence",IF(AND(OR(K70="Backend",K70="SAP"),N70=""),"Add HTTP status + endpoint",IF(AND(OR(K70="Backend",K70="SAP",K70="Network"),P70=""),"Add Correlation ID",IF(AND(I70="Fail",T70=""),"Write Root Cause / evidence gap",IF(AND(I70="Fail",V70=""),"Assign team","OK"))))))))</f>
        <v/>
      </c>
    </row>
    <row r="71">
      <c r="A71" s="5" t="inlineStr">
        <is>
          <t>EXEC-20261008-014</t>
        </is>
      </c>
      <c r="B71" s="5" t="inlineStr">
        <is>
          <t>TC-SES-002</t>
        </is>
      </c>
      <c r="C71" s="5" t="inlineStr">
        <is>
          <t>2026-10-08</t>
        </is>
      </c>
      <c r="D71" s="5" t="inlineStr">
        <is>
          <t>automation (API, flutter test)</t>
        </is>
      </c>
      <c r="E71" s="5" t="inlineStr">
        <is>
          <t>Staging</t>
        </is>
      </c>
      <c r="F71" s="5" t="inlineStr">
        <is>
          <t>1.0.0+1 @ uat @ a2de10d (modified)</t>
        </is>
      </c>
      <c r="G71" s="5" t="inlineStr">
        <is>
          <t>host (no device)</t>
        </is>
      </c>
      <c r="H71" s="5" t="inlineStr">
        <is>
          <t>n/a</t>
        </is>
      </c>
      <c r="I71" s="5" t="inlineStr">
        <is>
          <t>Pass</t>
        </is>
      </c>
      <c r="J71" s="5" t="inlineStr">
        <is>
          <t>No</t>
        </is>
      </c>
      <c r="K71" s="5" t="inlineStr"/>
      <c r="L71" s="5" t="inlineStr"/>
      <c r="M71" s="5" t="inlineStr"/>
      <c r="N71" s="5" t="inlineStr"/>
      <c r="O71" s="5" t="inlineStr"/>
      <c r="P71" s="5" t="inlineStr"/>
      <c r="Q71" s="5" t="inlineStr"/>
      <c r="R71" s="5" t="inlineStr">
        <is>
          <t>auth_interceptor_test.dart: 17 passed</t>
        </is>
      </c>
      <c r="S71" s="5" t="inlineStr">
        <is>
          <t>test_auth.py::test_refresh_rotates_both_tokens_and_the_new_access_token_works: 1 passed; test_auth.py::test_a_rotated_refresh_token_cannot_be_used_again: 1 passed</t>
        </is>
      </c>
      <c r="T71" s="5" t="inlineStr"/>
      <c r="U71" s="5" t="inlineStr"/>
      <c r="V71" s="5" t="inlineStr"/>
      <c r="W71" s="5" t="inlineStr"/>
      <c r="X71" s="5" t="inlineStr">
        <is>
          <t>Evidence to Capture: 3 of 4 captured; missing: Screenshot. Evidence: reports/EXEC-20261008-014/cases/TC-SES-002/evidence.html</t>
        </is>
      </c>
      <c r="Y71" s="5">
        <f>IF(I71="","",IF(AND(I71="Fail",K71=""),"Classify Issue Source",IF(AND(I71="Fail",W71=""),"Set Confidence",IF(AND(K71="Unknown",W71&lt;&gt;"Low"),"Unknown must be Low confidence",IF(AND(OR(K71="Backend",K71="SAP"),N71=""),"Add HTTP status + endpoint",IF(AND(OR(K71="Backend",K71="SAP",K71="Network"),P71=""),"Add Correlation ID",IF(AND(I71="Fail",T71=""),"Write Root Cause / evidence gap",IF(AND(I71="Fail",V71=""),"Assign team","OK"))))))))</f>
        <v/>
      </c>
    </row>
    <row r="72">
      <c r="A72" s="5" t="inlineStr">
        <is>
          <t>EXEC-20261008-014</t>
        </is>
      </c>
      <c r="B72" s="5" t="inlineStr">
        <is>
          <t>TC-SES-003</t>
        </is>
      </c>
      <c r="C72" s="5" t="inlineStr">
        <is>
          <t>2026-10-08</t>
        </is>
      </c>
      <c r="D72" s="5" t="inlineStr">
        <is>
          <t>automation (flutter test)</t>
        </is>
      </c>
      <c r="E72" s="5" t="inlineStr">
        <is>
          <t>Local (unit/widget)</t>
        </is>
      </c>
      <c r="F72" s="5" t="inlineStr">
        <is>
          <t>1.0.0+1 @ uat @ a2de10d (modified)</t>
        </is>
      </c>
      <c r="G72" s="5" t="inlineStr">
        <is>
          <t>host (no device)</t>
        </is>
      </c>
      <c r="H72" s="5" t="inlineStr">
        <is>
          <t>n/a</t>
        </is>
      </c>
      <c r="I72" s="5" t="inlineStr">
        <is>
          <t>Pass</t>
        </is>
      </c>
      <c r="J72" s="5" t="inlineStr">
        <is>
          <t>No</t>
        </is>
      </c>
      <c r="K72" s="5" t="inlineStr"/>
      <c r="L72" s="5" t="inlineStr"/>
      <c r="M72" s="5" t="inlineStr"/>
      <c r="N72" s="5" t="inlineStr"/>
      <c r="O72" s="5" t="inlineStr"/>
      <c r="P72" s="5" t="inlineStr"/>
      <c r="Q72" s="5" t="inlineStr"/>
      <c r="R72" s="5" t="inlineStr">
        <is>
          <t>auth_interceptor_test.dart: 17 passed</t>
        </is>
      </c>
      <c r="S72" s="5" t="inlineStr"/>
      <c r="T72" s="5" t="inlineStr"/>
      <c r="U72" s="5" t="inlineStr"/>
      <c r="V72" s="5" t="inlineStr"/>
      <c r="W72" s="5" t="inlineStr"/>
      <c r="X72" s="5" t="inlineStr">
        <is>
          <t>Evidence to Capture: 2 of 4 captured; missing: Screenshot; debug log lines api.request/api.response/api.error (method, path, status, errorCode, correlationId, dioType, host). Evidence: reports/EXEC-20261008-014/cases/TC-SES-003/evidence.html</t>
        </is>
      </c>
      <c r="Y72" s="5">
        <f>IF(I72="","",IF(AND(I72="Fail",K72=""),"Classify Issue Source",IF(AND(I72="Fail",W72=""),"Set Confidence",IF(AND(K72="Unknown",W72&lt;&gt;"Low"),"Unknown must be Low confidence",IF(AND(OR(K72="Backend",K72="SAP"),N72=""),"Add HTTP status + endpoint",IF(AND(OR(K72="Backend",K72="SAP",K72="Network"),P72=""),"Add Correlation ID",IF(AND(I72="Fail",T72=""),"Write Root Cause / evidence gap",IF(AND(I72="Fail",V72=""),"Assign team","OK"))))))))</f>
        <v/>
      </c>
    </row>
    <row r="73">
      <c r="A73" s="5" t="inlineStr">
        <is>
          <t>EXEC-20261008-014</t>
        </is>
      </c>
      <c r="B73" s="5" t="inlineStr">
        <is>
          <t>TC-SES-004</t>
        </is>
      </c>
      <c r="C73" s="5" t="inlineStr">
        <is>
          <t>2026-10-08</t>
        </is>
      </c>
      <c r="D73" s="5" t="inlineStr">
        <is>
          <t>automation (API, flutter test)</t>
        </is>
      </c>
      <c r="E73" s="5" t="inlineStr">
        <is>
          <t>Staging</t>
        </is>
      </c>
      <c r="F73" s="5" t="inlineStr">
        <is>
          <t>1.0.0+1 @ uat @ a2de10d (modified)</t>
        </is>
      </c>
      <c r="G73" s="5" t="inlineStr">
        <is>
          <t>host (no device)</t>
        </is>
      </c>
      <c r="H73" s="5" t="inlineStr">
        <is>
          <t>n/a</t>
        </is>
      </c>
      <c r="I73" s="5" t="inlineStr">
        <is>
          <t>Pass</t>
        </is>
      </c>
      <c r="J73" s="5" t="inlineStr">
        <is>
          <t>No</t>
        </is>
      </c>
      <c r="K73" s="5" t="inlineStr"/>
      <c r="L73" s="5" t="inlineStr"/>
      <c r="M73" s="5" t="inlineStr"/>
      <c r="N73" s="5" t="inlineStr"/>
      <c r="O73" s="5" t="inlineStr"/>
      <c r="P73" s="5" t="inlineStr"/>
      <c r="Q73" s="5" t="inlineStr"/>
      <c r="R73" s="5" t="inlineStr">
        <is>
          <t>auth_interceptor_test.dart: 17 passed</t>
        </is>
      </c>
      <c r="S73" s="5" t="inlineStr">
        <is>
          <t>test_auth.py::test_refresh_with_an_unknown_token_is_refused: 1 passed; test_auth.py::test_a_protected_route_without_a_token_is_401: 1 passed</t>
        </is>
      </c>
      <c r="T73" s="5" t="inlineStr"/>
      <c r="U73" s="5" t="inlineStr"/>
      <c r="V73" s="5" t="inlineStr"/>
      <c r="W73" s="5" t="inlineStr"/>
      <c r="X73" s="5" t="inlineStr">
        <is>
          <t>Evidence to Capture: 3 of 4 captured; missing: Screenshot. Evidence: reports/EXEC-20261008-014/cases/TC-SES-004/evidence.html</t>
        </is>
      </c>
      <c r="Y73" s="5">
        <f>IF(I73="","",IF(AND(I73="Fail",K73=""),"Classify Issue Source",IF(AND(I73="Fail",W73=""),"Set Confidence",IF(AND(K73="Unknown",W73&lt;&gt;"Low"),"Unknown must be Low confidence",IF(AND(OR(K73="Backend",K73="SAP"),N73=""),"Add HTTP status + endpoint",IF(AND(OR(K73="Backend",K73="SAP",K73="Network"),P73=""),"Add Correlation ID",IF(AND(I73="Fail",T73=""),"Write Root Cause / evidence gap",IF(AND(I73="Fail",V73=""),"Assign team","OK"))))))))</f>
        <v/>
      </c>
    </row>
    <row r="74">
      <c r="A74" s="5" t="inlineStr">
        <is>
          <t>EXEC-20261008-014</t>
        </is>
      </c>
      <c r="B74" s="5" t="inlineStr">
        <is>
          <t>TC-SES-005</t>
        </is>
      </c>
      <c r="C74" s="5" t="inlineStr">
        <is>
          <t>2026-10-08</t>
        </is>
      </c>
      <c r="D74" s="5" t="inlineStr">
        <is>
          <t>automation (flutter test)</t>
        </is>
      </c>
      <c r="E74" s="5" t="inlineStr">
        <is>
          <t>Local (unit/widget)</t>
        </is>
      </c>
      <c r="F74" s="5" t="inlineStr">
        <is>
          <t>1.0.0+1 @ uat @ a2de10d (modified)</t>
        </is>
      </c>
      <c r="G74" s="5" t="inlineStr">
        <is>
          <t>host (no device)</t>
        </is>
      </c>
      <c r="H74" s="5" t="inlineStr">
        <is>
          <t>n/a</t>
        </is>
      </c>
      <c r="I74" s="5" t="inlineStr">
        <is>
          <t>Pass</t>
        </is>
      </c>
      <c r="J74" s="5" t="inlineStr">
        <is>
          <t>No</t>
        </is>
      </c>
      <c r="K74" s="5" t="inlineStr"/>
      <c r="L74" s="5" t="inlineStr"/>
      <c r="M74" s="5" t="inlineStr"/>
      <c r="N74" s="5" t="inlineStr"/>
      <c r="O74" s="5" t="inlineStr"/>
      <c r="P74" s="5" t="inlineStr"/>
      <c r="Q74" s="5" t="inlineStr"/>
      <c r="R74" s="5" t="inlineStr">
        <is>
          <t>auth_logout_test.dart: 8 passed; unsent_work_dialog_test.dart: 4 passed; unsent_work_order_test.dart: 4 passed</t>
        </is>
      </c>
      <c r="S74" s="5" t="inlineStr"/>
      <c r="T74" s="5" t="inlineStr"/>
      <c r="U74" s="5" t="inlineStr"/>
      <c r="V74" s="5" t="inlineStr"/>
      <c r="W74" s="5" t="inlineStr"/>
      <c r="X74" s="5" t="inlineStr">
        <is>
          <t>Evidence to Capture: 0 of 3 captured; missing: Screenshot of the offline state; Sync Center / pending sheet before and after reconnect; api.* log lines after reconnect (correlationId). Evidence: reports/EXEC-20261008-014/cases/TC-SES-005/evidence.html</t>
        </is>
      </c>
      <c r="Y74" s="5">
        <f>IF(I74="","",IF(AND(I74="Fail",K74=""),"Classify Issue Source",IF(AND(I74="Fail",W74=""),"Set Confidence",IF(AND(K74="Unknown",W74&lt;&gt;"Low"),"Unknown must be Low confidence",IF(AND(OR(K74="Backend",K74="SAP"),N74=""),"Add HTTP status + endpoint",IF(AND(OR(K74="Backend",K74="SAP",K74="Network"),P74=""),"Add Correlation ID",IF(AND(I74="Fail",T74=""),"Write Root Cause / evidence gap",IF(AND(I74="Fail",V74=""),"Assign team","OK"))))))))</f>
        <v/>
      </c>
    </row>
    <row r="75">
      <c r="A75" s="5" t="inlineStr">
        <is>
          <t>EXEC-20261008-014</t>
        </is>
      </c>
      <c r="B75" s="5" t="inlineStr">
        <is>
          <t>TC-SES-006</t>
        </is>
      </c>
      <c r="C75" s="5" t="inlineStr">
        <is>
          <t>2026-10-08</t>
        </is>
      </c>
      <c r="D75" s="5" t="inlineStr">
        <is>
          <t>automation (flutter test)</t>
        </is>
      </c>
      <c r="E75" s="5" t="inlineStr">
        <is>
          <t>Local (unit/widget)</t>
        </is>
      </c>
      <c r="F75" s="5" t="inlineStr">
        <is>
          <t>1.0.0+1 @ uat @ a2de10d (modified)</t>
        </is>
      </c>
      <c r="G75" s="5" t="inlineStr">
        <is>
          <t>host (no device)</t>
        </is>
      </c>
      <c r="H75" s="5" t="inlineStr">
        <is>
          <t>n/a</t>
        </is>
      </c>
      <c r="I75" s="5" t="inlineStr">
        <is>
          <t>Pass</t>
        </is>
      </c>
      <c r="J75" s="5" t="inlineStr">
        <is>
          <t>No</t>
        </is>
      </c>
      <c r="K75" s="5" t="inlineStr"/>
      <c r="L75" s="5" t="inlineStr"/>
      <c r="M75" s="5" t="inlineStr"/>
      <c r="N75" s="5" t="inlineStr"/>
      <c r="O75" s="5" t="inlineStr"/>
      <c r="P75" s="5" t="inlineStr"/>
      <c r="Q75" s="5" t="inlineStr"/>
      <c r="R75" s="5" t="inlineStr">
        <is>
          <t>local_data_wipe_test.dart: 9 passed</t>
        </is>
      </c>
      <c r="S75" s="5" t="inlineStr"/>
      <c r="T75" s="5" t="inlineStr"/>
      <c r="U75" s="5" t="inlineStr"/>
      <c r="V75" s="5" t="inlineStr"/>
      <c r="W75" s="5" t="inlineStr"/>
      <c r="X75" s="5" t="inlineStr">
        <is>
          <t>Evidence to Capture: 3 of 4 captured; missing: Screenshot (EN + KM where text changes). Evidence: reports/EXEC-20261008-014/cases/TC-SES-006/evidence.html</t>
        </is>
      </c>
      <c r="Y75" s="5">
        <f>IF(I75="","",IF(AND(I75="Fail",K75=""),"Classify Issue Source",IF(AND(I75="Fail",W75=""),"Set Confidence",IF(AND(K75="Unknown",W75&lt;&gt;"Low"),"Unknown must be Low confidence",IF(AND(OR(K75="Backend",K75="SAP"),N75=""),"Add HTTP status + endpoint",IF(AND(OR(K75="Backend",K75="SAP",K75="Network"),P75=""),"Add Correlation ID",IF(AND(I75="Fail",T75=""),"Write Root Cause / evidence gap",IF(AND(I75="Fail",V75=""),"Assign team","OK"))))))))</f>
        <v/>
      </c>
    </row>
    <row r="76">
      <c r="A76" s="5" t="inlineStr">
        <is>
          <t>EXEC-20261008-014</t>
        </is>
      </c>
      <c r="B76" s="5" t="inlineStr">
        <is>
          <t>TC-SES-007</t>
        </is>
      </c>
      <c r="C76" s="5" t="inlineStr">
        <is>
          <t>2026-10-08</t>
        </is>
      </c>
      <c r="D76" s="5" t="inlineStr">
        <is>
          <t>automation (API, flutter test)</t>
        </is>
      </c>
      <c r="E76" s="5" t="inlineStr">
        <is>
          <t>Staging</t>
        </is>
      </c>
      <c r="F76" s="5" t="inlineStr">
        <is>
          <t>1.0.0+1 @ uat @ a2de10d (modified)</t>
        </is>
      </c>
      <c r="G76" s="5" t="inlineStr">
        <is>
          <t>host (no device)</t>
        </is>
      </c>
      <c r="H76" s="5" t="inlineStr">
        <is>
          <t>n/a</t>
        </is>
      </c>
      <c r="I76" s="5" t="inlineStr">
        <is>
          <t>Pass</t>
        </is>
      </c>
      <c r="J76" s="5" t="inlineStr">
        <is>
          <t>No</t>
        </is>
      </c>
      <c r="K76" s="5" t="inlineStr"/>
      <c r="L76" s="5" t="inlineStr"/>
      <c r="M76" s="5" t="inlineStr"/>
      <c r="N76" s="5" t="inlineStr"/>
      <c r="O76" s="5" t="inlineStr"/>
      <c r="P76" s="5" t="inlineStr"/>
      <c r="Q76" s="5" t="inlineStr"/>
      <c r="R76" s="5" t="inlineStr">
        <is>
          <t>auth_repository_logout_test.dart: 5 passed</t>
        </is>
      </c>
      <c r="S76" s="5" t="inlineStr">
        <is>
          <t>test_auth.py::test_logout_revokes_the_session: 1 passed</t>
        </is>
      </c>
      <c r="T76" s="5" t="inlineStr"/>
      <c r="U76" s="5" t="inlineStr"/>
      <c r="V76" s="5" t="inlineStr"/>
      <c r="W76" s="5" t="inlineStr"/>
      <c r="X76" s="5" t="inlineStr">
        <is>
          <t>Evidence to Capture: 3 of 4 captured; missing: Screenshot. Evidence: reports/EXEC-20261008-014/cases/TC-SES-007/evidence.html</t>
        </is>
      </c>
      <c r="Y76" s="5">
        <f>IF(I76="","",IF(AND(I76="Fail",K76=""),"Classify Issue Source",IF(AND(I76="Fail",W76=""),"Set Confidence",IF(AND(K76="Unknown",W76&lt;&gt;"Low"),"Unknown must be Low confidence",IF(AND(OR(K76="Backend",K76="SAP"),N76=""),"Add HTTP status + endpoint",IF(AND(OR(K76="Backend",K76="SAP",K76="Network"),P76=""),"Add Correlation ID",IF(AND(I76="Fail",T76=""),"Write Root Cause / evidence gap",IF(AND(I76="Fail",V76=""),"Assign team","OK"))))))))</f>
        <v/>
      </c>
    </row>
    <row r="77">
      <c r="A77" s="5" t="inlineStr">
        <is>
          <t>EXEC-20261008-014</t>
        </is>
      </c>
      <c r="B77" s="5" t="inlineStr">
        <is>
          <t>TC-SES-008</t>
        </is>
      </c>
      <c r="C77" s="5" t="inlineStr">
        <is>
          <t>2026-10-08</t>
        </is>
      </c>
      <c r="D77" s="5" t="inlineStr">
        <is>
          <t>automation (flutter test)</t>
        </is>
      </c>
      <c r="E77" s="5" t="inlineStr">
        <is>
          <t>Local (unit/widget)</t>
        </is>
      </c>
      <c r="F77" s="5" t="inlineStr">
        <is>
          <t>1.0.0+1 @ uat @ a2de10d (modified)</t>
        </is>
      </c>
      <c r="G77" s="5" t="inlineStr">
        <is>
          <t>host (no device)</t>
        </is>
      </c>
      <c r="H77" s="5" t="inlineStr">
        <is>
          <t>n/a</t>
        </is>
      </c>
      <c r="I77" s="5" t="inlineStr">
        <is>
          <t>Pass</t>
        </is>
      </c>
      <c r="J77" s="5" t="inlineStr">
        <is>
          <t>No</t>
        </is>
      </c>
      <c r="K77" s="5" t="inlineStr"/>
      <c r="L77" s="5" t="inlineStr"/>
      <c r="M77" s="5" t="inlineStr"/>
      <c r="N77" s="5" t="inlineStr"/>
      <c r="O77" s="5" t="inlineStr"/>
      <c r="P77" s="5" t="inlineStr"/>
      <c r="Q77" s="5" t="inlineStr"/>
      <c r="R77" s="5" t="inlineStr">
        <is>
          <t>auth_interceptor_test.dart: 17 passed</t>
        </is>
      </c>
      <c r="S77" s="5" t="inlineStr"/>
      <c r="T77" s="5" t="inlineStr"/>
      <c r="U77" s="5" t="inlineStr"/>
      <c r="V77" s="5" t="inlineStr"/>
      <c r="W77" s="5" t="inlineStr"/>
      <c r="X77" s="5" t="inlineStr">
        <is>
          <t>Evidence to Capture: 0 of 3 captured; missing: Screenshot of the offline state; Sync Center / pending sheet before and after reconnect; api.* log lines after reconnect (correlationId). Evidence: reports/EXEC-20261008-014/cases/TC-SES-008/evidence.html</t>
        </is>
      </c>
      <c r="Y77" s="5">
        <f>IF(I77="","",IF(AND(I77="Fail",K77=""),"Classify Issue Source",IF(AND(I77="Fail",W77=""),"Set Confidence",IF(AND(K77="Unknown",W77&lt;&gt;"Low"),"Unknown must be Low confidence",IF(AND(OR(K77="Backend",K77="SAP"),N77=""),"Add HTTP status + endpoint",IF(AND(OR(K77="Backend",K77="SAP",K77="Network"),P77=""),"Add Correlation ID",IF(AND(I77="Fail",T77=""),"Write Root Cause / evidence gap",IF(AND(I77="Fail",V77=""),"Assign team","OK"))))))))</f>
        <v/>
      </c>
    </row>
    <row r="78">
      <c r="A78" s="5" t="inlineStr">
        <is>
          <t>EXEC-20261008-014</t>
        </is>
      </c>
      <c r="B78" s="5" t="inlineStr">
        <is>
          <t>TC-SES-010</t>
        </is>
      </c>
      <c r="C78" s="5" t="inlineStr">
        <is>
          <t>2026-10-08</t>
        </is>
      </c>
      <c r="D78" s="5" t="inlineStr">
        <is>
          <t>automation (flutter test)</t>
        </is>
      </c>
      <c r="E78" s="5" t="inlineStr">
        <is>
          <t>Local (unit/widget)</t>
        </is>
      </c>
      <c r="F78" s="5" t="inlineStr">
        <is>
          <t>1.0.0+1 @ uat @ a2de10d (modified)</t>
        </is>
      </c>
      <c r="G78" s="5" t="inlineStr">
        <is>
          <t>host (no device)</t>
        </is>
      </c>
      <c r="H78" s="5" t="inlineStr">
        <is>
          <t>n/a</t>
        </is>
      </c>
      <c r="I78" s="5" t="inlineStr">
        <is>
          <t>Pass</t>
        </is>
      </c>
      <c r="J78" s="5" t="inlineStr">
        <is>
          <t>No</t>
        </is>
      </c>
      <c r="K78" s="5" t="inlineStr"/>
      <c r="L78" s="5" t="inlineStr"/>
      <c r="M78" s="5" t="inlineStr"/>
      <c r="N78" s="5" t="inlineStr"/>
      <c r="O78" s="5" t="inlineStr"/>
      <c r="P78" s="5" t="inlineStr"/>
      <c r="Q78" s="5" t="inlineStr"/>
      <c r="R78" s="5" t="inlineStr">
        <is>
          <t>session_reset_service_test.dart: 3 passed; session_manager_test.dart: 9 passed</t>
        </is>
      </c>
      <c r="S78" s="5" t="inlineStr"/>
      <c r="T78" s="5" t="inlineStr"/>
      <c r="U78" s="5" t="inlineStr"/>
      <c r="V78" s="5" t="inlineStr"/>
      <c r="W78" s="5" t="inlineStr"/>
      <c r="X78" s="5" t="inlineStr">
        <is>
          <t>Evidence to Capture: 3 of 4 captured; missing: Screenshot (EN + KM where text changes). Evidence: reports/EXEC-20261008-014/cases/TC-SES-010/evidence.html</t>
        </is>
      </c>
      <c r="Y78" s="5">
        <f>IF(I78="","",IF(AND(I78="Fail",K78=""),"Classify Issue Source",IF(AND(I78="Fail",W78=""),"Set Confidence",IF(AND(K78="Unknown",W78&lt;&gt;"Low"),"Unknown must be Low confidence",IF(AND(OR(K78="Backend",K78="SAP"),N78=""),"Add HTTP status + endpoint",IF(AND(OR(K78="Backend",K78="SAP",K78="Network"),P78=""),"Add Correlation ID",IF(AND(I78="Fail",T78=""),"Write Root Cause / evidence gap",IF(AND(I78="Fail",V78=""),"Assign team","OK"))))))))</f>
        <v/>
      </c>
    </row>
    <row r="79">
      <c r="A79" s="5" t="inlineStr">
        <is>
          <t>EXEC-20261008-014</t>
        </is>
      </c>
      <c r="B79" s="5" t="inlineStr">
        <is>
          <t>TC-PRO-001</t>
        </is>
      </c>
      <c r="C79" s="5" t="inlineStr">
        <is>
          <t>2026-10-08</t>
        </is>
      </c>
      <c r="D79" s="5" t="inlineStr">
        <is>
          <t>automation (API, flutter test)</t>
        </is>
      </c>
      <c r="E79" s="5" t="inlineStr">
        <is>
          <t>Staging</t>
        </is>
      </c>
      <c r="F79" s="5" t="inlineStr">
        <is>
          <t>1.0.0+1 @ uat @ a2de10d (modified)</t>
        </is>
      </c>
      <c r="G79" s="5" t="inlineStr">
        <is>
          <t>host (no device)</t>
        </is>
      </c>
      <c r="H79" s="5" t="inlineStr">
        <is>
          <t>n/a</t>
        </is>
      </c>
      <c r="I79" s="5" t="inlineStr">
        <is>
          <t>Pass</t>
        </is>
      </c>
      <c r="J79" s="5" t="inlineStr">
        <is>
          <t>No</t>
        </is>
      </c>
      <c r="K79" s="5" t="inlineStr"/>
      <c r="L79" s="5" t="inlineStr"/>
      <c r="M79" s="5" t="inlineStr"/>
      <c r="N79" s="5" t="inlineStr"/>
      <c r="O79" s="5" t="inlineStr"/>
      <c r="P79" s="5" t="inlineStr"/>
      <c r="Q79" s="5" t="inlineStr"/>
      <c r="R79" s="5" t="inlineStr">
        <is>
          <t>auth_backed_profile_test.dart: 15 passed</t>
        </is>
      </c>
      <c r="S79" s="5" t="inlineStr">
        <is>
          <t>test_auth.py::test_my_profile_matches_the_contract: 1 passed</t>
        </is>
      </c>
      <c r="T79" s="5" t="inlineStr"/>
      <c r="U79" s="5" t="inlineStr"/>
      <c r="V79" s="5" t="inlineStr"/>
      <c r="W79" s="5" t="inlineStr"/>
      <c r="X79" s="5" t="inlineStr">
        <is>
          <t>Evidence to Capture: 3 of 4 captured; missing: Screenshot. Evidence: reports/EXEC-20261008-014/cases/TC-PRO-001/evidence.html</t>
        </is>
      </c>
      <c r="Y79" s="5">
        <f>IF(I79="","",IF(AND(I79="Fail",K79=""),"Classify Issue Source",IF(AND(I79="Fail",W79=""),"Set Confidence",IF(AND(K79="Unknown",W79&lt;&gt;"Low"),"Unknown must be Low confidence",IF(AND(OR(K79="Backend",K79="SAP"),N79=""),"Add HTTP status + endpoint",IF(AND(OR(K79="Backend",K79="SAP",K79="Network"),P79=""),"Add Correlation ID",IF(AND(I79="Fail",T79=""),"Write Root Cause / evidence gap",IF(AND(I79="Fail",V79=""),"Assign team","OK"))))))))</f>
        <v/>
      </c>
    </row>
    <row r="80">
      <c r="A80" s="5" t="inlineStr">
        <is>
          <t>EXEC-20261008-014</t>
        </is>
      </c>
      <c r="B80" s="5" t="inlineStr">
        <is>
          <t>TC-PRO-002</t>
        </is>
      </c>
      <c r="C80" s="5" t="inlineStr">
        <is>
          <t>2026-10-08</t>
        </is>
      </c>
      <c r="D80" s="5" t="inlineStr">
        <is>
          <t>automation (flutter test)</t>
        </is>
      </c>
      <c r="E80" s="5" t="inlineStr">
        <is>
          <t>Local (unit/widget)</t>
        </is>
      </c>
      <c r="F80" s="5" t="inlineStr">
        <is>
          <t>1.0.0+1 @ uat @ a2de10d (modified)</t>
        </is>
      </c>
      <c r="G80" s="5" t="inlineStr">
        <is>
          <t>host (no device)</t>
        </is>
      </c>
      <c r="H80" s="5" t="inlineStr">
        <is>
          <t>n/a</t>
        </is>
      </c>
      <c r="I80" s="5" t="inlineStr">
        <is>
          <t>Pass</t>
        </is>
      </c>
      <c r="J80" s="5" t="inlineStr">
        <is>
          <t>No</t>
        </is>
      </c>
      <c r="K80" s="5" t="inlineStr"/>
      <c r="L80" s="5" t="inlineStr"/>
      <c r="M80" s="5" t="inlineStr"/>
      <c r="N80" s="5" t="inlineStr"/>
      <c r="O80" s="5" t="inlineStr"/>
      <c r="P80" s="5" t="inlineStr"/>
      <c r="Q80" s="5" t="inlineStr"/>
      <c r="R80" s="5" t="inlineStr">
        <is>
          <t>guest_home_screen_test.dart: 23 passed</t>
        </is>
      </c>
      <c r="S80" s="5" t="inlineStr"/>
      <c r="T80" s="5" t="inlineStr"/>
      <c r="U80" s="5" t="inlineStr"/>
      <c r="V80" s="5" t="inlineStr"/>
      <c r="W80" s="5" t="inlineStr"/>
      <c r="X80" s="5" t="inlineStr">
        <is>
          <t>Automated part only — a manual UAT run is still required. Evidence to Capture: 3 of 4 captured; missing: Screenshot (EN + KM where text changes). Evidence: reports/EXEC-20261008-014/cases/TC-PRO-002/evidence.html</t>
        </is>
      </c>
      <c r="Y80" s="5">
        <f>IF(I80="","",IF(AND(I80="Fail",K80=""),"Classify Issue Source",IF(AND(I80="Fail",W80=""),"Set Confidence",IF(AND(K80="Unknown",W80&lt;&gt;"Low"),"Unknown must be Low confidence",IF(AND(OR(K80="Backend",K80="SAP"),N80=""),"Add HTTP status + endpoint",IF(AND(OR(K80="Backend",K80="SAP",K80="Network"),P80=""),"Add Correlation ID",IF(AND(I80="Fail",T80=""),"Write Root Cause / evidence gap",IF(AND(I80="Fail",V80=""),"Assign team","OK"))))))))</f>
        <v/>
      </c>
    </row>
    <row r="81">
      <c r="A81" s="5" t="inlineStr">
        <is>
          <t>EXEC-20261008-014</t>
        </is>
      </c>
      <c r="B81" s="5" t="inlineStr">
        <is>
          <t>TC-PRO-003</t>
        </is>
      </c>
      <c r="C81" s="5" t="inlineStr">
        <is>
          <t>2026-10-08</t>
        </is>
      </c>
      <c r="D81" s="5" t="inlineStr">
        <is>
          <t>automation (flutter test)</t>
        </is>
      </c>
      <c r="E81" s="5" t="inlineStr">
        <is>
          <t>Local (unit/widget)</t>
        </is>
      </c>
      <c r="F81" s="5" t="inlineStr">
        <is>
          <t>1.0.0+1 @ uat @ a2de10d (modified)</t>
        </is>
      </c>
      <c r="G81" s="5" t="inlineStr">
        <is>
          <t>host (no device)</t>
        </is>
      </c>
      <c r="H81" s="5" t="inlineStr">
        <is>
          <t>n/a</t>
        </is>
      </c>
      <c r="I81" s="5" t="inlineStr">
        <is>
          <t>Pass</t>
        </is>
      </c>
      <c r="J81" s="5" t="inlineStr">
        <is>
          <t>No</t>
        </is>
      </c>
      <c r="K81" s="5" t="inlineStr"/>
      <c r="L81" s="5" t="inlineStr"/>
      <c r="M81" s="5" t="inlineStr"/>
      <c r="N81" s="5" t="inlineStr"/>
      <c r="O81" s="5" t="inlineStr"/>
      <c r="P81" s="5" t="inlineStr"/>
      <c r="Q81" s="5" t="inlineStr"/>
      <c r="R81" s="5" t="inlineStr">
        <is>
          <t>profile_update_test.dart: 15 passed</t>
        </is>
      </c>
      <c r="S81" s="5" t="inlineStr"/>
      <c r="T81" s="5" t="inlineStr"/>
      <c r="U81" s="5" t="inlineStr"/>
      <c r="V81" s="5" t="inlineStr"/>
      <c r="W81" s="5" t="inlineStr"/>
      <c r="X81" s="5" t="inlineStr">
        <is>
          <t>Evidence to Capture: 2 of 4 captured; missing: Screenshot; debug log lines api.request/api.response/api.error (method, path, status, errorCode, correlationId, dioType, host). Evidence: reports/EXEC-20261008-014/cases/TC-PRO-003/evidence.html</t>
        </is>
      </c>
      <c r="Y81" s="5">
        <f>IF(I81="","",IF(AND(I81="Fail",K81=""),"Classify Issue Source",IF(AND(I81="Fail",W81=""),"Set Confidence",IF(AND(K81="Unknown",W81&lt;&gt;"Low"),"Unknown must be Low confidence",IF(AND(OR(K81="Backend",K81="SAP"),N81=""),"Add HTTP status + endpoint",IF(AND(OR(K81="Backend",K81="SAP",K81="Network"),P81=""),"Add Correlation ID",IF(AND(I81="Fail",T81=""),"Write Root Cause / evidence gap",IF(AND(I81="Fail",V81=""),"Assign team","OK"))))))))</f>
        <v/>
      </c>
    </row>
    <row r="82">
      <c r="A82" s="5" t="inlineStr">
        <is>
          <t>EXEC-20261008-014</t>
        </is>
      </c>
      <c r="B82" s="5" t="inlineStr">
        <is>
          <t>TC-PRO-004</t>
        </is>
      </c>
      <c r="C82" s="5" t="inlineStr">
        <is>
          <t>2026-10-08</t>
        </is>
      </c>
      <c r="D82" s="5" t="inlineStr">
        <is>
          <t>automation (flutter test)</t>
        </is>
      </c>
      <c r="E82" s="5" t="inlineStr">
        <is>
          <t>Local (unit/widget)</t>
        </is>
      </c>
      <c r="F82" s="5" t="inlineStr">
        <is>
          <t>1.0.0+1 @ uat @ a2de10d (modified)</t>
        </is>
      </c>
      <c r="G82" s="5" t="inlineStr">
        <is>
          <t>host (no device)</t>
        </is>
      </c>
      <c r="H82" s="5" t="inlineStr">
        <is>
          <t>n/a</t>
        </is>
      </c>
      <c r="I82" s="5" t="inlineStr">
        <is>
          <t>Pass</t>
        </is>
      </c>
      <c r="J82" s="5" t="inlineStr">
        <is>
          <t>No</t>
        </is>
      </c>
      <c r="K82" s="5" t="inlineStr"/>
      <c r="L82" s="5" t="inlineStr"/>
      <c r="M82" s="5" t="inlineStr"/>
      <c r="N82" s="5" t="inlineStr"/>
      <c r="O82" s="5" t="inlineStr"/>
      <c r="P82" s="5" t="inlineStr"/>
      <c r="Q82" s="5" t="inlineStr"/>
      <c r="R82" s="5" t="inlineStr">
        <is>
          <t>profile_edit_ui_test.dart: 31 passed</t>
        </is>
      </c>
      <c r="S82" s="5" t="inlineStr"/>
      <c r="T82" s="5" t="inlineStr"/>
      <c r="U82" s="5" t="inlineStr"/>
      <c r="V82" s="5" t="inlineStr"/>
      <c r="W82" s="5" t="inlineStr"/>
      <c r="X82" s="5" t="inlineStr">
        <is>
          <t>Evidence to Capture: 2 of 4 captured; missing: Screenshot; debug log lines api.request/api.response/api.error (method, path, status, errorCode, correlationId, dioType, host). Evidence: reports/EXEC-20261008-014/cases/TC-PRO-004/evidence.html</t>
        </is>
      </c>
      <c r="Y82" s="5">
        <f>IF(I82="","",IF(AND(I82="Fail",K82=""),"Classify Issue Source",IF(AND(I82="Fail",W82=""),"Set Confidence",IF(AND(K82="Unknown",W82&lt;&gt;"Low"),"Unknown must be Low confidence",IF(AND(OR(K82="Backend",K82="SAP"),N82=""),"Add HTTP status + endpoint",IF(AND(OR(K82="Backend",K82="SAP",K82="Network"),P82=""),"Add Correlation ID",IF(AND(I82="Fail",T82=""),"Write Root Cause / evidence gap",IF(AND(I82="Fail",V82=""),"Assign team","OK"))))))))</f>
        <v/>
      </c>
    </row>
    <row r="83">
      <c r="A83" s="5" t="inlineStr">
        <is>
          <t>EXEC-20261008-014</t>
        </is>
      </c>
      <c r="B83" s="5" t="inlineStr">
        <is>
          <t>TC-PRO-006</t>
        </is>
      </c>
      <c r="C83" s="5" t="inlineStr">
        <is>
          <t>2026-10-08</t>
        </is>
      </c>
      <c r="D83" s="5" t="inlineStr">
        <is>
          <t>automation (flutter test)</t>
        </is>
      </c>
      <c r="E83" s="5" t="inlineStr">
        <is>
          <t>Local (unit/widget)</t>
        </is>
      </c>
      <c r="F83" s="5" t="inlineStr">
        <is>
          <t>1.0.0+1 @ uat @ a2de10d (modified)</t>
        </is>
      </c>
      <c r="G83" s="5" t="inlineStr">
        <is>
          <t>host (no device)</t>
        </is>
      </c>
      <c r="H83" s="5" t="inlineStr">
        <is>
          <t>n/a</t>
        </is>
      </c>
      <c r="I83" s="5" t="inlineStr">
        <is>
          <t>Pass</t>
        </is>
      </c>
      <c r="J83" s="5" t="inlineStr">
        <is>
          <t>No</t>
        </is>
      </c>
      <c r="K83" s="5" t="inlineStr"/>
      <c r="L83" s="5" t="inlineStr"/>
      <c r="M83" s="5" t="inlineStr"/>
      <c r="N83" s="5" t="inlineStr"/>
      <c r="O83" s="5" t="inlineStr"/>
      <c r="P83" s="5" t="inlineStr"/>
      <c r="Q83" s="5" t="inlineStr"/>
      <c r="R83" s="5" t="inlineStr">
        <is>
          <t>profile_details_fields_test.dart: 11 passed</t>
        </is>
      </c>
      <c r="S83" s="5" t="inlineStr"/>
      <c r="T83" s="5" t="inlineStr"/>
      <c r="U83" s="5" t="inlineStr"/>
      <c r="V83" s="5" t="inlineStr"/>
      <c r="W83" s="5" t="inlineStr"/>
      <c r="X83" s="5" t="inlineStr">
        <is>
          <t>Evidence to Capture: 3 of 4 captured; missing: Screenshot (EN + KM where text changes). Evidence: reports/EXEC-20261008-014/cases/TC-PRO-006/evidence.html</t>
        </is>
      </c>
      <c r="Y83" s="5">
        <f>IF(I83="","",IF(AND(I83="Fail",K83=""),"Classify Issue Source",IF(AND(I83="Fail",W83=""),"Set Confidence",IF(AND(K83="Unknown",W83&lt;&gt;"Low"),"Unknown must be Low confidence",IF(AND(OR(K83="Backend",K83="SAP"),N83=""),"Add HTTP status + endpoint",IF(AND(OR(K83="Backend",K83="SAP",K83="Network"),P83=""),"Add Correlation ID",IF(AND(I83="Fail",T83=""),"Write Root Cause / evidence gap",IF(AND(I83="Fail",V83=""),"Assign team","OK"))))))))</f>
        <v/>
      </c>
    </row>
    <row r="84">
      <c r="A84" s="5" t="inlineStr">
        <is>
          <t>EXEC-20261008-015</t>
        </is>
      </c>
      <c r="B84" s="5" t="inlineStr">
        <is>
          <t>TC-AUTH-018</t>
        </is>
      </c>
      <c r="C84" s="5" t="inlineStr">
        <is>
          <t>2026-10-08</t>
        </is>
      </c>
      <c r="D84" s="5" t="inlineStr">
        <is>
          <t>automation (device)</t>
        </is>
      </c>
      <c r="E84" s="5" t="inlineStr">
        <is>
          <t>Staging</t>
        </is>
      </c>
      <c r="F84" s="5" t="inlineStr">
        <is>
          <t>1.0.0+1 @ uat @ a2de10d (modified)</t>
        </is>
      </c>
      <c r="G84" s="5" t="inlineStr">
        <is>
          <t>iPhone 17 Pro Max</t>
        </is>
      </c>
      <c r="H84" s="5" t="inlineStr">
        <is>
          <t>iOS 26.5 (simulator)</t>
        </is>
      </c>
      <c r="I84" s="5" t="inlineStr">
        <is>
          <t>Pass</t>
        </is>
      </c>
      <c r="J84" s="5" t="inlineStr">
        <is>
          <t>No</t>
        </is>
      </c>
      <c r="K84" s="5" t="inlineStr"/>
      <c r="L84" s="5" t="inlineStr"/>
      <c r="M84" s="5" t="inlineStr"/>
      <c r="N84" s="5" t="inlineStr"/>
      <c r="O84" s="5" t="inlineStr"/>
      <c r="P84" s="5" t="inlineStr"/>
      <c r="Q84" s="5" t="inlineStr"/>
      <c r="R84" s="5" t="inlineStr">
        <is>
          <t>profile_read_failure_device_test.dart: 1 passed; Screenshots: screenshots/integration_test_auth_profile_read_failure_device_test_dart/profile-read-failed.png</t>
        </is>
      </c>
      <c r="S84" s="5" t="inlineStr"/>
      <c r="T84" s="5" t="inlineStr"/>
      <c r="U84" s="5" t="inlineStr"/>
      <c r="V84" s="5" t="inlineStr"/>
      <c r="W84" s="5" t="inlineStr"/>
      <c r="X84" s="5" t="inlineStr">
        <is>
          <t>Evidence to Capture: 4 of 4 captured. Evidence: reports/EXEC-20261008-015/cases/TC-AUTH-018/evidence.html</t>
        </is>
      </c>
      <c r="Y84" s="5">
        <f>IF(I84="","",IF(AND(I84="Fail",K84=""),"Classify Issue Source",IF(AND(I84="Fail",W84=""),"Set Confidence",IF(AND(K84="Unknown",W84&lt;&gt;"Low"),"Unknown must be Low confidence",IF(AND(OR(K84="Backend",K84="SAP"),N84=""),"Add HTTP status + endpoint",IF(AND(OR(K84="Backend",K84="SAP",K84="Network"),P84=""),"Add Correlation ID",IF(AND(I84="Fail",T84=""),"Write Root Cause / evidence gap",IF(AND(I84="Fail",V84=""),"Assign team","OK"))))))))</f>
        <v/>
      </c>
    </row>
    <row r="85">
      <c r="A85" s="5" t="inlineStr">
        <is>
          <t>EXEC-20261008-016</t>
        </is>
      </c>
      <c r="B85" s="5" t="inlineStr">
        <is>
          <t>TC-AUTH-018</t>
        </is>
      </c>
      <c r="C85" s="5" t="inlineStr">
        <is>
          <t>2026-10-08</t>
        </is>
      </c>
      <c r="D85" s="5" t="inlineStr">
        <is>
          <t>automation (device)</t>
        </is>
      </c>
      <c r="E85" s="5" t="inlineStr">
        <is>
          <t>Staging</t>
        </is>
      </c>
      <c r="F85" s="5" t="inlineStr">
        <is>
          <t>1.0.0+1 @ uat @ a2de10d (modified)</t>
        </is>
      </c>
      <c r="G85" s="5" t="inlineStr">
        <is>
          <t>iPhone 17 Pro Max</t>
        </is>
      </c>
      <c r="H85" s="5" t="inlineStr">
        <is>
          <t>iOS 26.5 (simulator)</t>
        </is>
      </c>
      <c r="I85" s="5" t="inlineStr">
        <is>
          <t>Pass</t>
        </is>
      </c>
      <c r="J85" s="5" t="inlineStr">
        <is>
          <t>No</t>
        </is>
      </c>
      <c r="K85" s="5" t="inlineStr"/>
      <c r="L85" s="5" t="inlineStr"/>
      <c r="M85" s="5" t="inlineStr"/>
      <c r="N85" s="5" t="inlineStr"/>
      <c r="O85" s="5" t="inlineStr"/>
      <c r="P85" s="5" t="inlineStr"/>
      <c r="Q85" s="5" t="inlineStr"/>
      <c r="R85" s="5" t="inlineStr">
        <is>
          <t>profile_read_failure_device_test.dart: 1 passed; Screenshots: screenshots/integration_test_auth_profile_read_failure_device_test_dart/1-login-screen.png, screenshots/integration_test_auth_profile_read_failure_device_test_dart/2-form-filled.png, screenshots/integration_test_auth_profile_read_failure_device_test_dart/3-signing-in.png, screenshots/integration_test_auth_profile_read_failure_device_test_dart/4-profile-read-failed.png, screenshots/integration_test_auth_profile_read_failure_device_test_dart/5-still-signed-out.png</t>
        </is>
      </c>
      <c r="S85" s="5" t="inlineStr"/>
      <c r="T85" s="5" t="inlineStr"/>
      <c r="U85" s="5" t="inlineStr"/>
      <c r="V85" s="5" t="inlineStr"/>
      <c r="W85" s="5" t="inlineStr"/>
      <c r="X85" s="5" t="inlineStr">
        <is>
          <t>Evidence to Capture: 4 of 4 captured. Evidence: reports/EXEC-20261008-016/cases/TC-AUTH-018/evidence.html</t>
        </is>
      </c>
      <c r="Y85" s="5">
        <f>IF(I85="","",IF(AND(I85="Fail",K85=""),"Classify Issue Source",IF(AND(I85="Fail",W85=""),"Set Confidence",IF(AND(K85="Unknown",W85&lt;&gt;"Low"),"Unknown must be Low confidence",IF(AND(OR(K85="Backend",K85="SAP"),N85=""),"Add HTTP status + endpoint",IF(AND(OR(K85="Backend",K85="SAP",K85="Network"),P85=""),"Add Correlation ID",IF(AND(I85="Fail",T85=""),"Write Root Cause / evidence gap",IF(AND(I85="Fail",V85=""),"Assign team","OK"))))))))</f>
        <v/>
      </c>
    </row>
    <row r="86">
      <c r="A86" s="5" t="inlineStr">
        <is>
          <t>EXEC-20261008-017</t>
        </is>
      </c>
      <c r="B86" s="5" t="inlineStr">
        <is>
          <t>TC-AUTH-005</t>
        </is>
      </c>
      <c r="C86" s="5" t="inlineStr">
        <is>
          <t>2026-10-08</t>
        </is>
      </c>
      <c r="D86" s="5" t="inlineStr">
        <is>
          <t>automation (device)</t>
        </is>
      </c>
      <c r="E86" s="5" t="inlineStr">
        <is>
          <t>Staging</t>
        </is>
      </c>
      <c r="F86" s="5" t="inlineStr">
        <is>
          <t>1.0.0+1 @ uat @ a2de10d (modified)</t>
        </is>
      </c>
      <c r="G86" s="5" t="inlineStr">
        <is>
          <t>iPhone 17 Pro Max</t>
        </is>
      </c>
      <c r="H86" s="5" t="inlineStr">
        <is>
          <t>iOS 26.5 (simulator)</t>
        </is>
      </c>
      <c r="I86" s="5" t="inlineStr">
        <is>
          <t>Fail</t>
        </is>
      </c>
      <c r="J86" s="5" t="inlineStr">
        <is>
          <t>Yes</t>
        </is>
      </c>
      <c r="K86" s="5" t="inlineStr">
        <is>
          <t>Automation</t>
        </is>
      </c>
      <c r="L86" s="5" t="inlineStr">
        <is>
          <t>Functional</t>
        </is>
      </c>
      <c r="M86" s="5" t="inlineStr">
        <is>
          <t>Expected: &lt;1&gt;
  Actual: &lt;2&gt;
The login call must be made exactly once.
[isi.error] api.error method=POST path=/api/v1/mobile/auth/login host=www.pnc-spts-stg-api.me status=400 ms=0 signedIn=false errorCode=Auth.AccountInactive correlationId=qa-automation dioType=badResponse
[isi.error] api.error method=POST path=/api/v1/mobile/auth/login host=www.pnc-spts-stg-api.me status=400 ms=0 signedIn=false errorCode=Auth.AccountInactive correlationId=qa-automation dioType=badResponse
[isi.error] api.error</t>
        </is>
      </c>
      <c r="N86" s="5" t="n"/>
      <c r="O86" s="5" t="n"/>
      <c r="P86" s="5" t="inlineStr">
        <is>
          <t>null</t>
        </is>
      </c>
      <c r="Q86" s="5" t="inlineStr">
        <is>
          <t>General.Validation</t>
        </is>
      </c>
      <c r="R86" s="5" t="inlineStr">
        <is>
          <t>account_state_refused_device_test.dart: 6 failed; Screenshots: screenshots/integration_test_auth_account_state_refused_device_test_dart/documented-inactive-account-is-refused-with-the-server-text-failure.png, screenshots/integration_test_auth_account_state_refused_device_test_dart/documented-inactive.png, screenshots/integration_test_auth_account_state_refused_device_test_dart/documented-locked-account-is-refused-with-the-server-text-failure.png, screenshots/integration_test_auth_account_state_refused_device_test_dart/documented-locked.png, screenshots/integration_test_auth_account_state_refused_device_test_dart/documented-password-expired-account-is-refused-with-the-server-text-failure.png, screenshots/integration_test_auth_account_state_refused_device_test_dart/documented-password-expired.png, screenshots/integration_test_auth_account_state_refused_device_test_dart/staging-inactive-account-is-refused-with-the-server-text-failure.png, screenshots/integration_test_auth_account_state_refused_device_test_dart/staging-inactive.png, screenshots/integration_test_auth_account_state_refused_device_test_dart/staging-locked-account-is-refused-with-the-server-text-failure.png, screenshots/integration_test_auth_account_state_refused_device_test_dart/staging-locked.png, screenshots/integration_test_auth_account_state_refused_device_test_dart/staging-password-expired-account-is-refused-with-the-server-text-failure.png, screenshots/integration_test_auth_account_state_refused_device_test_dart/staging-password-expired.png</t>
        </is>
      </c>
      <c r="S86" s="5" t="inlineStr"/>
      <c r="T86" s="5" t="inlineStr">
        <is>
          <t>Invalid run: the test pressed keyboard Done (which submits the form) and then tapped Sign In, so login was sent twice and every scenario failed its 'exactly once' check. The 400s were made up by the test, not sent by the backend. Test fixed; superseded by EXEC-20261008-018.</t>
        </is>
      </c>
      <c r="U86" s="5" t="inlineStr"/>
      <c r="V86" s="5" t="inlineStr">
        <is>
          <t>QA</t>
        </is>
      </c>
      <c r="W86" s="5" t="inlineStr">
        <is>
          <t>High</t>
        </is>
      </c>
      <c r="X86" s="5" t="inlineStr">
        <is>
          <t>INVALID RUN (test defect) — see EXEC-20261008-018 for the valid result. Automated part only — a manual UAT run is still required. Evidence to Capture: 4 of 4 captured. Evidence: reports/EXEC-20261008-017/cases/TC-AUTH-005/evidence.html</t>
        </is>
      </c>
      <c r="Y86" s="5">
        <f>IF(I86="","",IF(AND(I86="Fail",K86=""),"Classify Issue Source",IF(AND(I86="Fail",W86=""),"Set Confidence",IF(AND(K86="Unknown",W86&lt;&gt;"Low"),"Unknown must be Low confidence",IF(AND(OR(K86="Backend",K86="SAP"),N86=""),"Add HTTP status + endpoint",IF(AND(OR(K86="Backend",K86="SAP",K86="Network"),P86=""),"Add Correlation ID",IF(AND(I86="Fail",T86=""),"Write Root Cause / evidence gap",IF(AND(I86="Fail",V86=""),"Assign team","OK"))))))))</f>
        <v/>
      </c>
    </row>
    <row r="87">
      <c r="A87" s="5" t="inlineStr">
        <is>
          <t>EXEC-20261008-018</t>
        </is>
      </c>
      <c r="B87" s="5" t="inlineStr">
        <is>
          <t>TC-AUTH-005</t>
        </is>
      </c>
      <c r="C87" s="5" t="inlineStr">
        <is>
          <t>2026-10-08</t>
        </is>
      </c>
      <c r="D87" s="5" t="inlineStr">
        <is>
          <t>automation (device)</t>
        </is>
      </c>
      <c r="E87" s="5" t="inlineStr">
        <is>
          <t>Staging</t>
        </is>
      </c>
      <c r="F87" s="5" t="inlineStr">
        <is>
          <t>1.0.0+1 @ uat @ a2de10d (modified)</t>
        </is>
      </c>
      <c r="G87" s="5" t="inlineStr">
        <is>
          <t>iPhone 17 Pro Max</t>
        </is>
      </c>
      <c r="H87" s="5" t="inlineStr">
        <is>
          <t>iOS 26.5 (simulator)</t>
        </is>
      </c>
      <c r="I87" s="5" t="inlineStr">
        <is>
          <t>Fail</t>
        </is>
      </c>
      <c r="J87" s="5" t="inlineStr">
        <is>
          <t>Yes</t>
        </is>
      </c>
      <c r="K87" s="5" t="inlineStr">
        <is>
          <t>Unknown</t>
        </is>
      </c>
      <c r="L87" s="5" t="inlineStr">
        <is>
          <t>Functional</t>
        </is>
      </c>
      <c r="M87" s="5" t="inlineStr">
        <is>
          <t>Expected: exactly one matching candidate
  Actual: _TextContainingWidgetFinder:&lt;Found 0 widgets with text containing Your account is locked. Try again in 15 minutes.: []&gt;
   Which: means none were found but one was expected
The status pill must show the server text "Your account is locked. Try again in 15 minutes."; the app showed "Something went wrong. Please try again.".
[automation] injected response: POST /api/v1/mobile/auth/login 400
[isi.error] api.error method=POST path=/api/v1/mobile/au</t>
        </is>
      </c>
      <c r="N87" s="5" t="inlineStr"/>
      <c r="O87" s="5" t="inlineStr"/>
      <c r="P87" s="5" t="inlineStr"/>
      <c r="Q87" s="5" t="inlineStr"/>
      <c r="R87" s="5" t="inlineStr">
        <is>
          <t>account_state_refused_device_test.dart: 3 passed, 3 failed; Screenshots: screenshots/integration_test_auth_account_state_refused_device_test_dart/documented-inactive.png, screenshots/integration_test_auth_account_state_refused_device_test_dart/documented-locked.png, screenshots/integration_test_auth_account_state_refused_device_test_dart/documented-password-expired.png, screenshots/integration_test_auth_account_state_refused_device_test_dart/staging-inactive-account-is-refused-with-the-server-text-failure.png, screenshots/integration_test_auth_account_state_refused_device_test_dart/staging-inactive.png, screenshots/integration_test_auth_account_state_refused_device_test_dart/staging-locked-account-is-refused-with-the-server-text-failure.png, screenshots/integration_test_auth_account_state_refused_device_test_dart/staging-locked.png, screenshots/integration_test_auth_account_state_refused_device_test_dart/staging-password-expired-account-is-refused-with-the-server-text-failure.png, screenshots/integration_test_auth_account_state_refused_device_test_dart/staging-password-expired.png</t>
        </is>
      </c>
      <c r="S87" s="5" t="inlineStr"/>
      <c r="T87" s="5" t="inlineStr">
        <is>
          <t>Probable (Low): The failing response was made up by the test itself, so Backend, Network and Test Data are ruled out: either the app handles that response wrongly (Mobile) or the test expects the wrong thing (Automation). Needed: Compare the screenshot with the expected result in the workbook; Read the test's expectation against the app code that handles the response</t>
        </is>
      </c>
      <c r="U87" s="5" t="inlineStr"/>
      <c r="V87" s="5" t="inlineStr">
        <is>
          <t>Mobile</t>
        </is>
      </c>
      <c r="W87" s="5" t="inlineStr">
        <is>
          <t>Low</t>
        </is>
      </c>
      <c r="X87" s="5" t="inlineStr">
        <is>
          <t>Automated part only — a manual UAT run is still required. Evidence to Capture: 4 of 4 captured. Evidence: reports/EXEC-20261008-018/cases/TC-AUTH-005/evidence.html</t>
        </is>
      </c>
      <c r="Y87" s="5">
        <f>IF(I87="","",IF(AND(I87="Fail",K87=""),"Classify Issue Source",IF(AND(I87="Fail",W87=""),"Set Confidence",IF(AND(K87="Unknown",W87&lt;&gt;"Low"),"Unknown must be Low confidence",IF(AND(OR(K87="Backend",K87="SAP"),N87=""),"Add HTTP status + endpoint",IF(AND(OR(K87="Backend",K87="SAP",K87="Network"),P87=""),"Add Correlation ID",IF(AND(I87="Fail",T87=""),"Write Root Cause / evidence gap",IF(AND(I87="Fail",V87=""),"Assign team","OK"))))))))</f>
        <v/>
      </c>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f>IF(I88="","",IF(AND(I88="Fail",K88=""),"Classify Issue Source",IF(AND(I88="Fail",W88=""),"Set Confidence",IF(AND(K88="Unknown",W88&lt;&gt;"Low"),"Unknown must be Low confidence",IF(AND(OR(K88="Backend",K88="SAP"),N88=""),"Add HTTP status + endpoint",IF(AND(OR(K88="Backend",K88="SAP",K88="Network"),P88=""),"Add Correlation ID",IF(AND(I88="Fail",T88=""),"Write Root Cause / evidence gap",IF(AND(I88="Fail",V88=""),"Assign team","OK"))))))))</f>
        <v/>
      </c>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f>IF(I89="","",IF(AND(I89="Fail",K89=""),"Classify Issue Source",IF(AND(I89="Fail",W89=""),"Set Confidence",IF(AND(K89="Unknown",W89&lt;&gt;"Low"),"Unknown must be Low confidence",IF(AND(OR(K89="Backend",K89="SAP"),N89=""),"Add HTTP status + endpoint",IF(AND(OR(K89="Backend",K89="SAP",K89="Network"),P89=""),"Add Correlation ID",IF(AND(I89="Fail",T89=""),"Write Root Cause / evidence gap",IF(AND(I89="Fail",V89=""),"Assign team","OK"))))))))</f>
        <v/>
      </c>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f>IF(I90="","",IF(AND(I90="Fail",K90=""),"Classify Issue Source",IF(AND(I90="Fail",W90=""),"Set Confidence",IF(AND(K90="Unknown",W90&lt;&gt;"Low"),"Unknown must be Low confidence",IF(AND(OR(K90="Backend",K90="SAP"),N90=""),"Add HTTP status + endpoint",IF(AND(OR(K90="Backend",K90="SAP",K90="Network"),P90=""),"Add Correlation ID",IF(AND(I90="Fail",T90=""),"Write Root Cause / evidence gap",IF(AND(I90="Fail",V90=""),"Assign team","OK"))))))))</f>
        <v/>
      </c>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f>IF(I91="","",IF(AND(I91="Fail",K91=""),"Classify Issue Source",IF(AND(I91="Fail",W91=""),"Set Confidence",IF(AND(K91="Unknown",W91&lt;&gt;"Low"),"Unknown must be Low confidence",IF(AND(OR(K91="Backend",K91="SAP"),N91=""),"Add HTTP status + endpoint",IF(AND(OR(K91="Backend",K91="SAP",K91="Network"),P91=""),"Add Correlation ID",IF(AND(I91="Fail",T91=""),"Write Root Cause / evidence gap",IF(AND(I91="Fail",V91=""),"Assign team","OK"))))))))</f>
        <v/>
      </c>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f>IF(I92="","",IF(AND(I92="Fail",K92=""),"Classify Issue Source",IF(AND(I92="Fail",W92=""),"Set Confidence",IF(AND(K92="Unknown",W92&lt;&gt;"Low"),"Unknown must be Low confidence",IF(AND(OR(K92="Backend",K92="SAP"),N92=""),"Add HTTP status + endpoint",IF(AND(OR(K92="Backend",K92="SAP",K92="Network"),P92=""),"Add Correlation ID",IF(AND(I92="Fail",T92=""),"Write Root Cause / evidence gap",IF(AND(I92="Fail",V92=""),"Assign team","OK"))))))))</f>
        <v/>
      </c>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f>IF(I93="","",IF(AND(I93="Fail",K93=""),"Classify Issue Source",IF(AND(I93="Fail",W93=""),"Set Confidence",IF(AND(K93="Unknown",W93&lt;&gt;"Low"),"Unknown must be Low confidence",IF(AND(OR(K93="Backend",K93="SAP"),N93=""),"Add HTTP status + endpoint",IF(AND(OR(K93="Backend",K93="SAP",K93="Network"),P93=""),"Add Correlation ID",IF(AND(I93="Fail",T93=""),"Write Root Cause / evidence gap",IF(AND(I93="Fail",V93=""),"Assign team","OK"))))))))</f>
        <v/>
      </c>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f>IF(I94="","",IF(AND(I94="Fail",K94=""),"Classify Issue Source",IF(AND(I94="Fail",W94=""),"Set Confidence",IF(AND(K94="Unknown",W94&lt;&gt;"Low"),"Unknown must be Low confidence",IF(AND(OR(K94="Backend",K94="SAP"),N94=""),"Add HTTP status + endpoint",IF(AND(OR(K94="Backend",K94="SAP",K94="Network"),P94=""),"Add Correlation ID",IF(AND(I94="Fail",T94=""),"Write Root Cause / evidence gap",IF(AND(I94="Fail",V94=""),"Assign team","OK"))))))))</f>
        <v/>
      </c>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f>IF(I95="","",IF(AND(I95="Fail",K95=""),"Classify Issue Source",IF(AND(I95="Fail",W95=""),"Set Confidence",IF(AND(K95="Unknown",W95&lt;&gt;"Low"),"Unknown must be Low confidence",IF(AND(OR(K95="Backend",K95="SAP"),N95=""),"Add HTTP status + endpoint",IF(AND(OR(K95="Backend",K95="SAP",K95="Network"),P95=""),"Add Correlation ID",IF(AND(I95="Fail",T95=""),"Write Root Cause / evidence gap",IF(AND(I95="Fail",V95=""),"Assign team","OK"))))))))</f>
        <v/>
      </c>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f>IF(I96="","",IF(AND(I96="Fail",K96=""),"Classify Issue Source",IF(AND(I96="Fail",W96=""),"Set Confidence",IF(AND(K96="Unknown",W96&lt;&gt;"Low"),"Unknown must be Low confidence",IF(AND(OR(K96="Backend",K96="SAP"),N96=""),"Add HTTP status + endpoint",IF(AND(OR(K96="Backend",K96="SAP",K96="Network"),P96=""),"Add Correlation ID",IF(AND(I96="Fail",T96=""),"Write Root Cause / evidence gap",IF(AND(I96="Fail",V96=""),"Assign team","OK"))))))))</f>
        <v/>
      </c>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f>IF(I97="","",IF(AND(I97="Fail",K97=""),"Classify Issue Source",IF(AND(I97="Fail",W97=""),"Set Confidence",IF(AND(K97="Unknown",W97&lt;&gt;"Low"),"Unknown must be Low confidence",IF(AND(OR(K97="Backend",K97="SAP"),N97=""),"Add HTTP status + endpoint",IF(AND(OR(K97="Backend",K97="SAP",K97="Network"),P97=""),"Add Correlation ID",IF(AND(I97="Fail",T97=""),"Write Root Cause / evidence gap",IF(AND(I97="Fail",V97=""),"Assign team","OK"))))))))</f>
        <v/>
      </c>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f>IF(I98="","",IF(AND(I98="Fail",K98=""),"Classify Issue Source",IF(AND(I98="Fail",W98=""),"Set Confidence",IF(AND(K98="Unknown",W98&lt;&gt;"Low"),"Unknown must be Low confidence",IF(AND(OR(K98="Backend",K98="SAP"),N98=""),"Add HTTP status + endpoint",IF(AND(OR(K98="Backend",K98="SAP",K98="Network"),P98=""),"Add Correlation ID",IF(AND(I98="Fail",T98=""),"Write Root Cause / evidence gap",IF(AND(I98="Fail",V98=""),"Assign team","OK"))))))))</f>
        <v/>
      </c>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f>IF(I99="","",IF(AND(I99="Fail",K99=""),"Classify Issue Source",IF(AND(I99="Fail",W99=""),"Set Confidence",IF(AND(K99="Unknown",W99&lt;&gt;"Low"),"Unknown must be Low confidence",IF(AND(OR(K99="Backend",K99="SAP"),N99=""),"Add HTTP status + endpoint",IF(AND(OR(K99="Backend",K99="SAP",K99="Network"),P99=""),"Add Correlation ID",IF(AND(I99="Fail",T99=""),"Write Root Cause / evidence gap",IF(AND(I99="Fail",V99=""),"Assign team","OK"))))))))</f>
        <v/>
      </c>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f>IF(I100="","",IF(AND(I100="Fail",K100=""),"Classify Issue Source",IF(AND(I100="Fail",W100=""),"Set Confidence",IF(AND(K100="Unknown",W100&lt;&gt;"Low"),"Unknown must be Low confidence",IF(AND(OR(K100="Backend",K100="SAP"),N100=""),"Add HTTP status + endpoint",IF(AND(OR(K100="Backend",K100="SAP",K100="Network"),P100=""),"Add Correlation ID",IF(AND(I100="Fail",T100=""),"Write Root Cause / evidence gap",IF(AND(I100="Fail",V100=""),"Assign team","OK"))))))))</f>
        <v/>
      </c>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f>IF(I101="","",IF(AND(I101="Fail",K101=""),"Classify Issue Source",IF(AND(I101="Fail",W101=""),"Set Confidence",IF(AND(K101="Unknown",W101&lt;&gt;"Low"),"Unknown must be Low confidence",IF(AND(OR(K101="Backend",K101="SAP"),N101=""),"Add HTTP status + endpoint",IF(AND(OR(K101="Backend",K101="SAP",K101="Network"),P101=""),"Add Correlation ID",IF(AND(I101="Fail",T101=""),"Write Root Cause / evidence gap",IF(AND(I101="Fail",V101=""),"Assign team","OK"))))))))</f>
        <v/>
      </c>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f>IF(I102="","",IF(AND(I102="Fail",K102=""),"Classify Issue Source",IF(AND(I102="Fail",W102=""),"Set Confidence",IF(AND(K102="Unknown",W102&lt;&gt;"Low"),"Unknown must be Low confidence",IF(AND(OR(K102="Backend",K102="SAP"),N102=""),"Add HTTP status + endpoint",IF(AND(OR(K102="Backend",K102="SAP",K102="Network"),P102=""),"Add Correlation ID",IF(AND(I102="Fail",T102=""),"Write Root Cause / evidence gap",IF(AND(I102="Fail",V102=""),"Assign team","OK"))))))))</f>
        <v/>
      </c>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f>IF(I103="","",IF(AND(I103="Fail",K103=""),"Classify Issue Source",IF(AND(I103="Fail",W103=""),"Set Confidence",IF(AND(K103="Unknown",W103&lt;&gt;"Low"),"Unknown must be Low confidence",IF(AND(OR(K103="Backend",K103="SAP"),N103=""),"Add HTTP status + endpoint",IF(AND(OR(K103="Backend",K103="SAP",K103="Network"),P103=""),"Add Correlation ID",IF(AND(I103="Fail",T103=""),"Write Root Cause / evidence gap",IF(AND(I103="Fail",V103=""),"Assign team","OK"))))))))</f>
        <v/>
      </c>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f>IF(I104="","",IF(AND(I104="Fail",K104=""),"Classify Issue Source",IF(AND(I104="Fail",W104=""),"Set Confidence",IF(AND(K104="Unknown",W104&lt;&gt;"Low"),"Unknown must be Low confidence",IF(AND(OR(K104="Backend",K104="SAP"),N104=""),"Add HTTP status + endpoint",IF(AND(OR(K104="Backend",K104="SAP",K104="Network"),P104=""),"Add Correlation ID",IF(AND(I104="Fail",T104=""),"Write Root Cause / evidence gap",IF(AND(I104="Fail",V104=""),"Assign team","OK"))))))))</f>
        <v/>
      </c>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f>IF(I105="","",IF(AND(I105="Fail",K105=""),"Classify Issue Source",IF(AND(I105="Fail",W105=""),"Set Confidence",IF(AND(K105="Unknown",W105&lt;&gt;"Low"),"Unknown must be Low confidence",IF(AND(OR(K105="Backend",K105="SAP"),N105=""),"Add HTTP status + endpoint",IF(AND(OR(K105="Backend",K105="SAP",K105="Network"),P105=""),"Add Correlation ID",IF(AND(I105="Fail",T105=""),"Write Root Cause / evidence gap",IF(AND(I105="Fail",V105=""),"Assign team","OK"))))))))</f>
        <v/>
      </c>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f>IF(I106="","",IF(AND(I106="Fail",K106=""),"Classify Issue Source",IF(AND(I106="Fail",W106=""),"Set Confidence",IF(AND(K106="Unknown",W106&lt;&gt;"Low"),"Unknown must be Low confidence",IF(AND(OR(K106="Backend",K106="SAP"),N106=""),"Add HTTP status + endpoint",IF(AND(OR(K106="Backend",K106="SAP",K106="Network"),P106=""),"Add Correlation ID",IF(AND(I106="Fail",T106=""),"Write Root Cause / evidence gap",IF(AND(I106="Fail",V106=""),"Assign team","OK"))))))))</f>
        <v/>
      </c>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f>IF(I107="","",IF(AND(I107="Fail",K107=""),"Classify Issue Source",IF(AND(I107="Fail",W107=""),"Set Confidence",IF(AND(K107="Unknown",W107&lt;&gt;"Low"),"Unknown must be Low confidence",IF(AND(OR(K107="Backend",K107="SAP"),N107=""),"Add HTTP status + endpoint",IF(AND(OR(K107="Backend",K107="SAP",K107="Network"),P107=""),"Add Correlation ID",IF(AND(I107="Fail",T107=""),"Write Root Cause / evidence gap",IF(AND(I107="Fail",V107=""),"Assign team","OK"))))))))</f>
        <v/>
      </c>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f>IF(I108="","",IF(AND(I108="Fail",K108=""),"Classify Issue Source",IF(AND(I108="Fail",W108=""),"Set Confidence",IF(AND(K108="Unknown",W108&lt;&gt;"Low"),"Unknown must be Low confidence",IF(AND(OR(K108="Backend",K108="SAP"),N108=""),"Add HTTP status + endpoint",IF(AND(OR(K108="Backend",K108="SAP",K108="Network"),P108=""),"Add Correlation ID",IF(AND(I108="Fail",T108=""),"Write Root Cause / evidence gap",IF(AND(I108="Fail",V108=""),"Assign team","OK"))))))))</f>
        <v/>
      </c>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f>IF(I109="","",IF(AND(I109="Fail",K109=""),"Classify Issue Source",IF(AND(I109="Fail",W109=""),"Set Confidence",IF(AND(K109="Unknown",W109&lt;&gt;"Low"),"Unknown must be Low confidence",IF(AND(OR(K109="Backend",K109="SAP"),N109=""),"Add HTTP status + endpoint",IF(AND(OR(K109="Backend",K109="SAP",K109="Network"),P109=""),"Add Correlation ID",IF(AND(I109="Fail",T109=""),"Write Root Cause / evidence gap",IF(AND(I109="Fail",V109=""),"Assign team","OK"))))))))</f>
        <v/>
      </c>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f>IF(I110="","",IF(AND(I110="Fail",K110=""),"Classify Issue Source",IF(AND(I110="Fail",W110=""),"Set Confidence",IF(AND(K110="Unknown",W110&lt;&gt;"Low"),"Unknown must be Low confidence",IF(AND(OR(K110="Backend",K110="SAP"),N110=""),"Add HTTP status + endpoint",IF(AND(OR(K110="Backend",K110="SAP",K110="Network"),P110=""),"Add Correlation ID",IF(AND(I110="Fail",T110=""),"Write Root Cause / evidence gap",IF(AND(I110="Fail",V110=""),"Assign team","OK"))))))))</f>
        <v/>
      </c>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f>IF(I111="","",IF(AND(I111="Fail",K111=""),"Classify Issue Source",IF(AND(I111="Fail",W111=""),"Set Confidence",IF(AND(K111="Unknown",W111&lt;&gt;"Low"),"Unknown must be Low confidence",IF(AND(OR(K111="Backend",K111="SAP"),N111=""),"Add HTTP status + endpoint",IF(AND(OR(K111="Backend",K111="SAP",K111="Network"),P111=""),"Add Correlation ID",IF(AND(I111="Fail",T111=""),"Write Root Cause / evidence gap",IF(AND(I111="Fail",V111=""),"Assign team","OK"))))))))</f>
        <v/>
      </c>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f>IF(I112="","",IF(AND(I112="Fail",K112=""),"Classify Issue Source",IF(AND(I112="Fail",W112=""),"Set Confidence",IF(AND(K112="Unknown",W112&lt;&gt;"Low"),"Unknown must be Low confidence",IF(AND(OR(K112="Backend",K112="SAP"),N112=""),"Add HTTP status + endpoint",IF(AND(OR(K112="Backend",K112="SAP",K112="Network"),P112=""),"Add Correlation ID",IF(AND(I112="Fail",T112=""),"Write Root Cause / evidence gap",IF(AND(I112="Fail",V112=""),"Assign team","OK"))))))))</f>
        <v/>
      </c>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f>IF(I113="","",IF(AND(I113="Fail",K113=""),"Classify Issue Source",IF(AND(I113="Fail",W113=""),"Set Confidence",IF(AND(K113="Unknown",W113&lt;&gt;"Low"),"Unknown must be Low confidence",IF(AND(OR(K113="Backend",K113="SAP"),N113=""),"Add HTTP status + endpoint",IF(AND(OR(K113="Backend",K113="SAP",K113="Network"),P113=""),"Add Correlation ID",IF(AND(I113="Fail",T113=""),"Write Root Cause / evidence gap",IF(AND(I113="Fail",V113=""),"Assign team","OK"))))))))</f>
        <v/>
      </c>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f>IF(I114="","",IF(AND(I114="Fail",K114=""),"Classify Issue Source",IF(AND(I114="Fail",W114=""),"Set Confidence",IF(AND(K114="Unknown",W114&lt;&gt;"Low"),"Unknown must be Low confidence",IF(AND(OR(K114="Backend",K114="SAP"),N114=""),"Add HTTP status + endpoint",IF(AND(OR(K114="Backend",K114="SAP",K114="Network"),P114=""),"Add Correlation ID",IF(AND(I114="Fail",T114=""),"Write Root Cause / evidence gap",IF(AND(I114="Fail",V114=""),"Assign team","OK"))))))))</f>
        <v/>
      </c>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f>IF(I115="","",IF(AND(I115="Fail",K115=""),"Classify Issue Source",IF(AND(I115="Fail",W115=""),"Set Confidence",IF(AND(K115="Unknown",W115&lt;&gt;"Low"),"Unknown must be Low confidence",IF(AND(OR(K115="Backend",K115="SAP"),N115=""),"Add HTTP status + endpoint",IF(AND(OR(K115="Backend",K115="SAP",K115="Network"),P115=""),"Add Correlation ID",IF(AND(I115="Fail",T115=""),"Write Root Cause / evidence gap",IF(AND(I115="Fail",V115=""),"Assign team","OK"))))))))</f>
        <v/>
      </c>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f>IF(I116="","",IF(AND(I116="Fail",K116=""),"Classify Issue Source",IF(AND(I116="Fail",W116=""),"Set Confidence",IF(AND(K116="Unknown",W116&lt;&gt;"Low"),"Unknown must be Low confidence",IF(AND(OR(K116="Backend",K116="SAP"),N116=""),"Add HTTP status + endpoint",IF(AND(OR(K116="Backend",K116="SAP",K116="Network"),P116=""),"Add Correlation ID",IF(AND(I116="Fail",T116=""),"Write Root Cause / evidence gap",IF(AND(I116="Fail",V116=""),"Assign team","OK"))))))))</f>
        <v/>
      </c>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f>IF(I117="","",IF(AND(I117="Fail",K117=""),"Classify Issue Source",IF(AND(I117="Fail",W117=""),"Set Confidence",IF(AND(K117="Unknown",W117&lt;&gt;"Low"),"Unknown must be Low confidence",IF(AND(OR(K117="Backend",K117="SAP"),N117=""),"Add HTTP status + endpoint",IF(AND(OR(K117="Backend",K117="SAP",K117="Network"),P117=""),"Add Correlation ID",IF(AND(I117="Fail",T117=""),"Write Root Cause / evidence gap",IF(AND(I117="Fail",V117=""),"Assign team","OK"))))))))</f>
        <v/>
      </c>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f>IF(I118="","",IF(AND(I118="Fail",K118=""),"Classify Issue Source",IF(AND(I118="Fail",W118=""),"Set Confidence",IF(AND(K118="Unknown",W118&lt;&gt;"Low"),"Unknown must be Low confidence",IF(AND(OR(K118="Backend",K118="SAP"),N118=""),"Add HTTP status + endpoint",IF(AND(OR(K118="Backend",K118="SAP",K118="Network"),P118=""),"Add Correlation ID",IF(AND(I118="Fail",T118=""),"Write Root Cause / evidence gap",IF(AND(I118="Fail",V118=""),"Assign team","OK"))))))))</f>
        <v/>
      </c>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f>IF(I119="","",IF(AND(I119="Fail",K119=""),"Classify Issue Source",IF(AND(I119="Fail",W119=""),"Set Confidence",IF(AND(K119="Unknown",W119&lt;&gt;"Low"),"Unknown must be Low confidence",IF(AND(OR(K119="Backend",K119="SAP"),N119=""),"Add HTTP status + endpoint",IF(AND(OR(K119="Backend",K119="SAP",K119="Network"),P119=""),"Add Correlation ID",IF(AND(I119="Fail",T119=""),"Write Root Cause / evidence gap",IF(AND(I119="Fail",V119=""),"Assign team","OK"))))))))</f>
        <v/>
      </c>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f>IF(I120="","",IF(AND(I120="Fail",K120=""),"Classify Issue Source",IF(AND(I120="Fail",W120=""),"Set Confidence",IF(AND(K120="Unknown",W120&lt;&gt;"Low"),"Unknown must be Low confidence",IF(AND(OR(K120="Backend",K120="SAP"),N120=""),"Add HTTP status + endpoint",IF(AND(OR(K120="Backend",K120="SAP",K120="Network"),P120=""),"Add Correlation ID",IF(AND(I120="Fail",T120=""),"Write Root Cause / evidence gap",IF(AND(I120="Fail",V120=""),"Assign team","OK"))))))))</f>
        <v/>
      </c>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f>IF(I121="","",IF(AND(I121="Fail",K121=""),"Classify Issue Source",IF(AND(I121="Fail",W121=""),"Set Confidence",IF(AND(K121="Unknown",W121&lt;&gt;"Low"),"Unknown must be Low confidence",IF(AND(OR(K121="Backend",K121="SAP"),N121=""),"Add HTTP status + endpoint",IF(AND(OR(K121="Backend",K121="SAP",K121="Network"),P121=""),"Add Correlation ID",IF(AND(I121="Fail",T121=""),"Write Root Cause / evidence gap",IF(AND(I121="Fail",V121=""),"Assign team","OK"))))))))</f>
        <v/>
      </c>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f>IF(I122="","",IF(AND(I122="Fail",K122=""),"Classify Issue Source",IF(AND(I122="Fail",W122=""),"Set Confidence",IF(AND(K122="Unknown",W122&lt;&gt;"Low"),"Unknown must be Low confidence",IF(AND(OR(K122="Backend",K122="SAP"),N122=""),"Add HTTP status + endpoint",IF(AND(OR(K122="Backend",K122="SAP",K122="Network"),P122=""),"Add Correlation ID",IF(AND(I122="Fail",T122=""),"Write Root Cause / evidence gap",IF(AND(I122="Fail",V122=""),"Assign team","OK"))))))))</f>
        <v/>
      </c>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f>IF(I123="","",IF(AND(I123="Fail",K123=""),"Classify Issue Source",IF(AND(I123="Fail",W123=""),"Set Confidence",IF(AND(K123="Unknown",W123&lt;&gt;"Low"),"Unknown must be Low confidence",IF(AND(OR(K123="Backend",K123="SAP"),N123=""),"Add HTTP status + endpoint",IF(AND(OR(K123="Backend",K123="SAP",K123="Network"),P123=""),"Add Correlation ID",IF(AND(I123="Fail",T123=""),"Write Root Cause / evidence gap",IF(AND(I123="Fail",V123=""),"Assign team","OK"))))))))</f>
        <v/>
      </c>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f>IF(I124="","",IF(AND(I124="Fail",K124=""),"Classify Issue Source",IF(AND(I124="Fail",W124=""),"Set Confidence",IF(AND(K124="Unknown",W124&lt;&gt;"Low"),"Unknown must be Low confidence",IF(AND(OR(K124="Backend",K124="SAP"),N124=""),"Add HTTP status + endpoint",IF(AND(OR(K124="Backend",K124="SAP",K124="Network"),P124=""),"Add Correlation ID",IF(AND(I124="Fail",T124=""),"Write Root Cause / evidence gap",IF(AND(I124="Fail",V124=""),"Assign team","OK"))))))))</f>
        <v/>
      </c>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f>IF(I125="","",IF(AND(I125="Fail",K125=""),"Classify Issue Source",IF(AND(I125="Fail",W125=""),"Set Confidence",IF(AND(K125="Unknown",W125&lt;&gt;"Low"),"Unknown must be Low confidence",IF(AND(OR(K125="Backend",K125="SAP"),N125=""),"Add HTTP status + endpoint",IF(AND(OR(K125="Backend",K125="SAP",K125="Network"),P125=""),"Add Correlation ID",IF(AND(I125="Fail",T125=""),"Write Root Cause / evidence gap",IF(AND(I125="Fail",V125=""),"Assign team","OK"))))))))</f>
        <v/>
      </c>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f>IF(I126="","",IF(AND(I126="Fail",K126=""),"Classify Issue Source",IF(AND(I126="Fail",W126=""),"Set Confidence",IF(AND(K126="Unknown",W126&lt;&gt;"Low"),"Unknown must be Low confidence",IF(AND(OR(K126="Backend",K126="SAP"),N126=""),"Add HTTP status + endpoint",IF(AND(OR(K126="Backend",K126="SAP",K126="Network"),P126=""),"Add Correlation ID",IF(AND(I126="Fail",T126=""),"Write Root Cause / evidence gap",IF(AND(I126="Fail",V126=""),"Assign team","OK"))))))))</f>
        <v/>
      </c>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f>IF(I127="","",IF(AND(I127="Fail",K127=""),"Classify Issue Source",IF(AND(I127="Fail",W127=""),"Set Confidence",IF(AND(K127="Unknown",W127&lt;&gt;"Low"),"Unknown must be Low confidence",IF(AND(OR(K127="Backend",K127="SAP"),N127=""),"Add HTTP status + endpoint",IF(AND(OR(K127="Backend",K127="SAP",K127="Network"),P127=""),"Add Correlation ID",IF(AND(I127="Fail",T127=""),"Write Root Cause / evidence gap",IF(AND(I127="Fail",V127=""),"Assign team","OK"))))))))</f>
        <v/>
      </c>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f>IF(I128="","",IF(AND(I128="Fail",K128=""),"Classify Issue Source",IF(AND(I128="Fail",W128=""),"Set Confidence",IF(AND(K128="Unknown",W128&lt;&gt;"Low"),"Unknown must be Low confidence",IF(AND(OR(K128="Backend",K128="SAP"),N128=""),"Add HTTP status + endpoint",IF(AND(OR(K128="Backend",K128="SAP",K128="Network"),P128=""),"Add Correlation ID",IF(AND(I128="Fail",T128=""),"Write Root Cause / evidence gap",IF(AND(I128="Fail",V128=""),"Assign team","OK"))))))))</f>
        <v/>
      </c>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f>IF(I129="","",IF(AND(I129="Fail",K129=""),"Classify Issue Source",IF(AND(I129="Fail",W129=""),"Set Confidence",IF(AND(K129="Unknown",W129&lt;&gt;"Low"),"Unknown must be Low confidence",IF(AND(OR(K129="Backend",K129="SAP"),N129=""),"Add HTTP status + endpoint",IF(AND(OR(K129="Backend",K129="SAP",K129="Network"),P129=""),"Add Correlation ID",IF(AND(I129="Fail",T129=""),"Write Root Cause / evidence gap",IF(AND(I129="Fail",V129=""),"Assign team","OK"))))))))</f>
        <v/>
      </c>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f>IF(I130="","",IF(AND(I130="Fail",K130=""),"Classify Issue Source",IF(AND(I130="Fail",W130=""),"Set Confidence",IF(AND(K130="Unknown",W130&lt;&gt;"Low"),"Unknown must be Low confidence",IF(AND(OR(K130="Backend",K130="SAP"),N130=""),"Add HTTP status + endpoint",IF(AND(OR(K130="Backend",K130="SAP",K130="Network"),P130=""),"Add Correlation ID",IF(AND(I130="Fail",T130=""),"Write Root Cause / evidence gap",IF(AND(I130="Fail",V130=""),"Assign team","OK"))))))))</f>
        <v/>
      </c>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f>IF(I131="","",IF(AND(I131="Fail",K131=""),"Classify Issue Source",IF(AND(I131="Fail",W131=""),"Set Confidence",IF(AND(K131="Unknown",W131&lt;&gt;"Low"),"Unknown must be Low confidence",IF(AND(OR(K131="Backend",K131="SAP"),N131=""),"Add HTTP status + endpoint",IF(AND(OR(K131="Backend",K131="SAP",K131="Network"),P131=""),"Add Correlation ID",IF(AND(I131="Fail",T131=""),"Write Root Cause / evidence gap",IF(AND(I131="Fail",V131=""),"Assign team","OK"))))))))</f>
        <v/>
      </c>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f>IF(I132="","",IF(AND(I132="Fail",K132=""),"Classify Issue Source",IF(AND(I132="Fail",W132=""),"Set Confidence",IF(AND(K132="Unknown",W132&lt;&gt;"Low"),"Unknown must be Low confidence",IF(AND(OR(K132="Backend",K132="SAP"),N132=""),"Add HTTP status + endpoint",IF(AND(OR(K132="Backend",K132="SAP",K132="Network"),P132=""),"Add Correlation ID",IF(AND(I132="Fail",T132=""),"Write Root Cause / evidence gap",IF(AND(I132="Fail",V132=""),"Assign team","OK"))))))))</f>
        <v/>
      </c>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f>IF(I133="","",IF(AND(I133="Fail",K133=""),"Classify Issue Source",IF(AND(I133="Fail",W133=""),"Set Confidence",IF(AND(K133="Unknown",W133&lt;&gt;"Low"),"Unknown must be Low confidence",IF(AND(OR(K133="Backend",K133="SAP"),N133=""),"Add HTTP status + endpoint",IF(AND(OR(K133="Backend",K133="SAP",K133="Network"),P133=""),"Add Correlation ID",IF(AND(I133="Fail",T133=""),"Write Root Cause / evidence gap",IF(AND(I133="Fail",V133=""),"Assign team","OK"))))))))</f>
        <v/>
      </c>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f>IF(I134="","",IF(AND(I134="Fail",K134=""),"Classify Issue Source",IF(AND(I134="Fail",W134=""),"Set Confidence",IF(AND(K134="Unknown",W134&lt;&gt;"Low"),"Unknown must be Low confidence",IF(AND(OR(K134="Backend",K134="SAP"),N134=""),"Add HTTP status + endpoint",IF(AND(OR(K134="Backend",K134="SAP",K134="Network"),P134=""),"Add Correlation ID",IF(AND(I134="Fail",T134=""),"Write Root Cause / evidence gap",IF(AND(I134="Fail",V134=""),"Assign team","OK"))))))))</f>
        <v/>
      </c>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f>IF(I135="","",IF(AND(I135="Fail",K135=""),"Classify Issue Source",IF(AND(I135="Fail",W135=""),"Set Confidence",IF(AND(K135="Unknown",W135&lt;&gt;"Low"),"Unknown must be Low confidence",IF(AND(OR(K135="Backend",K135="SAP"),N135=""),"Add HTTP status + endpoint",IF(AND(OR(K135="Backend",K135="SAP",K135="Network"),P135=""),"Add Correlation ID",IF(AND(I135="Fail",T135=""),"Write Root Cause / evidence gap",IF(AND(I135="Fail",V135=""),"Assign team","OK"))))))))</f>
        <v/>
      </c>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f>IF(I136="","",IF(AND(I136="Fail",K136=""),"Classify Issue Source",IF(AND(I136="Fail",W136=""),"Set Confidence",IF(AND(K136="Unknown",W136&lt;&gt;"Low"),"Unknown must be Low confidence",IF(AND(OR(K136="Backend",K136="SAP"),N136=""),"Add HTTP status + endpoint",IF(AND(OR(K136="Backend",K136="SAP",K136="Network"),P136=""),"Add Correlation ID",IF(AND(I136="Fail",T136=""),"Write Root Cause / evidence gap",IF(AND(I136="Fail",V136=""),"Assign team","OK"))))))))</f>
        <v/>
      </c>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f>IF(I137="","",IF(AND(I137="Fail",K137=""),"Classify Issue Source",IF(AND(I137="Fail",W137=""),"Set Confidence",IF(AND(K137="Unknown",W137&lt;&gt;"Low"),"Unknown must be Low confidence",IF(AND(OR(K137="Backend",K137="SAP"),N137=""),"Add HTTP status + endpoint",IF(AND(OR(K137="Backend",K137="SAP",K137="Network"),P137=""),"Add Correlation ID",IF(AND(I137="Fail",T137=""),"Write Root Cause / evidence gap",IF(AND(I137="Fail",V137=""),"Assign team","OK"))))))))</f>
        <v/>
      </c>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f>IF(I138="","",IF(AND(I138="Fail",K138=""),"Classify Issue Source",IF(AND(I138="Fail",W138=""),"Set Confidence",IF(AND(K138="Unknown",W138&lt;&gt;"Low"),"Unknown must be Low confidence",IF(AND(OR(K138="Backend",K138="SAP"),N138=""),"Add HTTP status + endpoint",IF(AND(OR(K138="Backend",K138="SAP",K138="Network"),P138=""),"Add Correlation ID",IF(AND(I138="Fail",T138=""),"Write Root Cause / evidence gap",IF(AND(I138="Fail",V138=""),"Assign team","OK"))))))))</f>
        <v/>
      </c>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f>IF(I139="","",IF(AND(I139="Fail",K139=""),"Classify Issue Source",IF(AND(I139="Fail",W139=""),"Set Confidence",IF(AND(K139="Unknown",W139&lt;&gt;"Low"),"Unknown must be Low confidence",IF(AND(OR(K139="Backend",K139="SAP"),N139=""),"Add HTTP status + endpoint",IF(AND(OR(K139="Backend",K139="SAP",K139="Network"),P139=""),"Add Correlation ID",IF(AND(I139="Fail",T139=""),"Write Root Cause / evidence gap",IF(AND(I139="Fail",V139=""),"Assign team","OK"))))))))</f>
        <v/>
      </c>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f>IF(I140="","",IF(AND(I140="Fail",K140=""),"Classify Issue Source",IF(AND(I140="Fail",W140=""),"Set Confidence",IF(AND(K140="Unknown",W140&lt;&gt;"Low"),"Unknown must be Low confidence",IF(AND(OR(K140="Backend",K140="SAP"),N140=""),"Add HTTP status + endpoint",IF(AND(OR(K140="Backend",K140="SAP",K140="Network"),P140=""),"Add Correlation ID",IF(AND(I140="Fail",T140=""),"Write Root Cause / evidence gap",IF(AND(I140="Fail",V140=""),"Assign team","OK"))))))))</f>
        <v/>
      </c>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f>IF(I141="","",IF(AND(I141="Fail",K141=""),"Classify Issue Source",IF(AND(I141="Fail",W141=""),"Set Confidence",IF(AND(K141="Unknown",W141&lt;&gt;"Low"),"Unknown must be Low confidence",IF(AND(OR(K141="Backend",K141="SAP"),N141=""),"Add HTTP status + endpoint",IF(AND(OR(K141="Backend",K141="SAP",K141="Network"),P141=""),"Add Correlation ID",IF(AND(I141="Fail",T141=""),"Write Root Cause / evidence gap",IF(AND(I141="Fail",V141=""),"Assign team","OK"))))))))</f>
        <v/>
      </c>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f>IF(I142="","",IF(AND(I142="Fail",K142=""),"Classify Issue Source",IF(AND(I142="Fail",W142=""),"Set Confidence",IF(AND(K142="Unknown",W142&lt;&gt;"Low"),"Unknown must be Low confidence",IF(AND(OR(K142="Backend",K142="SAP"),N142=""),"Add HTTP status + endpoint",IF(AND(OR(K142="Backend",K142="SAP",K142="Network"),P142=""),"Add Correlation ID",IF(AND(I142="Fail",T142=""),"Write Root Cause / evidence gap",IF(AND(I142="Fail",V142=""),"Assign team","OK"))))))))</f>
        <v/>
      </c>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f>IF(I143="","",IF(AND(I143="Fail",K143=""),"Classify Issue Source",IF(AND(I143="Fail",W143=""),"Set Confidence",IF(AND(K143="Unknown",W143&lt;&gt;"Low"),"Unknown must be Low confidence",IF(AND(OR(K143="Backend",K143="SAP"),N143=""),"Add HTTP status + endpoint",IF(AND(OR(K143="Backend",K143="SAP",K143="Network"),P143=""),"Add Correlation ID",IF(AND(I143="Fail",T143=""),"Write Root Cause / evidence gap",IF(AND(I143="Fail",V143=""),"Assign team","OK"))))))))</f>
        <v/>
      </c>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f>IF(I144="","",IF(AND(I144="Fail",K144=""),"Classify Issue Source",IF(AND(I144="Fail",W144=""),"Set Confidence",IF(AND(K144="Unknown",W144&lt;&gt;"Low"),"Unknown must be Low confidence",IF(AND(OR(K144="Backend",K144="SAP"),N144=""),"Add HTTP status + endpoint",IF(AND(OR(K144="Backend",K144="SAP",K144="Network"),P144=""),"Add Correlation ID",IF(AND(I144="Fail",T144=""),"Write Root Cause / evidence gap",IF(AND(I144="Fail",V144=""),"Assign team","OK"))))))))</f>
        <v/>
      </c>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f>IF(I145="","",IF(AND(I145="Fail",K145=""),"Classify Issue Source",IF(AND(I145="Fail",W145=""),"Set Confidence",IF(AND(K145="Unknown",W145&lt;&gt;"Low"),"Unknown must be Low confidence",IF(AND(OR(K145="Backend",K145="SAP"),N145=""),"Add HTTP status + endpoint",IF(AND(OR(K145="Backend",K145="SAP",K145="Network"),P145=""),"Add Correlation ID",IF(AND(I145="Fail",T145=""),"Write Root Cause / evidence gap",IF(AND(I145="Fail",V145=""),"Assign team","OK"))))))))</f>
        <v/>
      </c>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f>IF(I146="","",IF(AND(I146="Fail",K146=""),"Classify Issue Source",IF(AND(I146="Fail",W146=""),"Set Confidence",IF(AND(K146="Unknown",W146&lt;&gt;"Low"),"Unknown must be Low confidence",IF(AND(OR(K146="Backend",K146="SAP"),N146=""),"Add HTTP status + endpoint",IF(AND(OR(K146="Backend",K146="SAP",K146="Network"),P146=""),"Add Correlation ID",IF(AND(I146="Fail",T146=""),"Write Root Cause / evidence gap",IF(AND(I146="Fail",V146=""),"Assign team","OK"))))))))</f>
        <v/>
      </c>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f>IF(I147="","",IF(AND(I147="Fail",K147=""),"Classify Issue Source",IF(AND(I147="Fail",W147=""),"Set Confidence",IF(AND(K147="Unknown",W147&lt;&gt;"Low"),"Unknown must be Low confidence",IF(AND(OR(K147="Backend",K147="SAP"),N147=""),"Add HTTP status + endpoint",IF(AND(OR(K147="Backend",K147="SAP",K147="Network"),P147=""),"Add Correlation ID",IF(AND(I147="Fail",T147=""),"Write Root Cause / evidence gap",IF(AND(I147="Fail",V147=""),"Assign team","OK"))))))))</f>
        <v/>
      </c>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f>IF(I148="","",IF(AND(I148="Fail",K148=""),"Classify Issue Source",IF(AND(I148="Fail",W148=""),"Set Confidence",IF(AND(K148="Unknown",W148&lt;&gt;"Low"),"Unknown must be Low confidence",IF(AND(OR(K148="Backend",K148="SAP"),N148=""),"Add HTTP status + endpoint",IF(AND(OR(K148="Backend",K148="SAP",K148="Network"),P148=""),"Add Correlation ID",IF(AND(I148="Fail",T148=""),"Write Root Cause / evidence gap",IF(AND(I148="Fail",V148=""),"Assign team","OK"))))))))</f>
        <v/>
      </c>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f>IF(I149="","",IF(AND(I149="Fail",K149=""),"Classify Issue Source",IF(AND(I149="Fail",W149=""),"Set Confidence",IF(AND(K149="Unknown",W149&lt;&gt;"Low"),"Unknown must be Low confidence",IF(AND(OR(K149="Backend",K149="SAP"),N149=""),"Add HTTP status + endpoint",IF(AND(OR(K149="Backend",K149="SAP",K149="Network"),P149=""),"Add Correlation ID",IF(AND(I149="Fail",T149=""),"Write Root Cause / evidence gap",IF(AND(I149="Fail",V149=""),"Assign team","OK"))))))))</f>
        <v/>
      </c>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f>IF(I150="","",IF(AND(I150="Fail",K150=""),"Classify Issue Source",IF(AND(I150="Fail",W150=""),"Set Confidence",IF(AND(K150="Unknown",W150&lt;&gt;"Low"),"Unknown must be Low confidence",IF(AND(OR(K150="Backend",K150="SAP"),N150=""),"Add HTTP status + endpoint",IF(AND(OR(K150="Backend",K150="SAP",K150="Network"),P150=""),"Add Correlation ID",IF(AND(I150="Fail",T150=""),"Write Root Cause / evidence gap",IF(AND(I150="Fail",V150=""),"Assign team","OK"))))))))</f>
        <v/>
      </c>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f>IF(I151="","",IF(AND(I151="Fail",K151=""),"Classify Issue Source",IF(AND(I151="Fail",W151=""),"Set Confidence",IF(AND(K151="Unknown",W151&lt;&gt;"Low"),"Unknown must be Low confidence",IF(AND(OR(K151="Backend",K151="SAP"),N151=""),"Add HTTP status + endpoint",IF(AND(OR(K151="Backend",K151="SAP",K151="Network"),P151=""),"Add Correlation ID",IF(AND(I151="Fail",T151=""),"Write Root Cause / evidence gap",IF(AND(I151="Fail",V151=""),"Assign team","OK"))))))))</f>
        <v/>
      </c>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f>IF(I152="","",IF(AND(I152="Fail",K152=""),"Classify Issue Source",IF(AND(I152="Fail",W152=""),"Set Confidence",IF(AND(K152="Unknown",W152&lt;&gt;"Low"),"Unknown must be Low confidence",IF(AND(OR(K152="Backend",K152="SAP"),N152=""),"Add HTTP status + endpoint",IF(AND(OR(K152="Backend",K152="SAP",K152="Network"),P152=""),"Add Correlation ID",IF(AND(I152="Fail",T152=""),"Write Root Cause / evidence gap",IF(AND(I152="Fail",V152=""),"Assign team","OK"))))))))</f>
        <v/>
      </c>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f>IF(I153="","",IF(AND(I153="Fail",K153=""),"Classify Issue Source",IF(AND(I153="Fail",W153=""),"Set Confidence",IF(AND(K153="Unknown",W153&lt;&gt;"Low"),"Unknown must be Low confidence",IF(AND(OR(K153="Backend",K153="SAP"),N153=""),"Add HTTP status + endpoint",IF(AND(OR(K153="Backend",K153="SAP",K153="Network"),P153=""),"Add Correlation ID",IF(AND(I153="Fail",T153=""),"Write Root Cause / evidence gap",IF(AND(I153="Fail",V153=""),"Assign team","OK"))))))))</f>
        <v/>
      </c>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f>IF(I154="","",IF(AND(I154="Fail",K154=""),"Classify Issue Source",IF(AND(I154="Fail",W154=""),"Set Confidence",IF(AND(K154="Unknown",W154&lt;&gt;"Low"),"Unknown must be Low confidence",IF(AND(OR(K154="Backend",K154="SAP"),N154=""),"Add HTTP status + endpoint",IF(AND(OR(K154="Backend",K154="SAP",K154="Network"),P154=""),"Add Correlation ID",IF(AND(I154="Fail",T154=""),"Write Root Cause / evidence gap",IF(AND(I154="Fail",V154=""),"Assign team","OK"))))))))</f>
        <v/>
      </c>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f>IF(I155="","",IF(AND(I155="Fail",K155=""),"Classify Issue Source",IF(AND(I155="Fail",W155=""),"Set Confidence",IF(AND(K155="Unknown",W155&lt;&gt;"Low"),"Unknown must be Low confidence",IF(AND(OR(K155="Backend",K155="SAP"),N155=""),"Add HTTP status + endpoint",IF(AND(OR(K155="Backend",K155="SAP",K155="Network"),P155=""),"Add Correlation ID",IF(AND(I155="Fail",T155=""),"Write Root Cause / evidence gap",IF(AND(I155="Fail",V155=""),"Assign team","OK"))))))))</f>
        <v/>
      </c>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f>IF(I156="","",IF(AND(I156="Fail",K156=""),"Classify Issue Source",IF(AND(I156="Fail",W156=""),"Set Confidence",IF(AND(K156="Unknown",W156&lt;&gt;"Low"),"Unknown must be Low confidence",IF(AND(OR(K156="Backend",K156="SAP"),N156=""),"Add HTTP status + endpoint",IF(AND(OR(K156="Backend",K156="SAP",K156="Network"),P156=""),"Add Correlation ID",IF(AND(I156="Fail",T156=""),"Write Root Cause / evidence gap",IF(AND(I156="Fail",V156=""),"Assign team","OK"))))))))</f>
        <v/>
      </c>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f>IF(I157="","",IF(AND(I157="Fail",K157=""),"Classify Issue Source",IF(AND(I157="Fail",W157=""),"Set Confidence",IF(AND(K157="Unknown",W157&lt;&gt;"Low"),"Unknown must be Low confidence",IF(AND(OR(K157="Backend",K157="SAP"),N157=""),"Add HTTP status + endpoint",IF(AND(OR(K157="Backend",K157="SAP",K157="Network"),P157=""),"Add Correlation ID",IF(AND(I157="Fail",T157=""),"Write Root Cause / evidence gap",IF(AND(I157="Fail",V157=""),"Assign team","OK"))))))))</f>
        <v/>
      </c>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f>IF(I158="","",IF(AND(I158="Fail",K158=""),"Classify Issue Source",IF(AND(I158="Fail",W158=""),"Set Confidence",IF(AND(K158="Unknown",W158&lt;&gt;"Low"),"Unknown must be Low confidence",IF(AND(OR(K158="Backend",K158="SAP"),N158=""),"Add HTTP status + endpoint",IF(AND(OR(K158="Backend",K158="SAP",K158="Network"),P158=""),"Add Correlation ID",IF(AND(I158="Fail",T158=""),"Write Root Cause / evidence gap",IF(AND(I158="Fail",V158=""),"Assign team","OK"))))))))</f>
        <v/>
      </c>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f>IF(I159="","",IF(AND(I159="Fail",K159=""),"Classify Issue Source",IF(AND(I159="Fail",W159=""),"Set Confidence",IF(AND(K159="Unknown",W159&lt;&gt;"Low"),"Unknown must be Low confidence",IF(AND(OR(K159="Backend",K159="SAP"),N159=""),"Add HTTP status + endpoint",IF(AND(OR(K159="Backend",K159="SAP",K159="Network"),P159=""),"Add Correlation ID",IF(AND(I159="Fail",T159=""),"Write Root Cause / evidence gap",IF(AND(I159="Fail",V159=""),"Assign team","OK"))))))))</f>
        <v/>
      </c>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f>IF(I160="","",IF(AND(I160="Fail",K160=""),"Classify Issue Source",IF(AND(I160="Fail",W160=""),"Set Confidence",IF(AND(K160="Unknown",W160&lt;&gt;"Low"),"Unknown must be Low confidence",IF(AND(OR(K160="Backend",K160="SAP"),N160=""),"Add HTTP status + endpoint",IF(AND(OR(K160="Backend",K160="SAP",K160="Network"),P160=""),"Add Correlation ID",IF(AND(I160="Fail",T160=""),"Write Root Cause / evidence gap",IF(AND(I160="Fail",V160=""),"Assign team","OK"))))))))</f>
        <v/>
      </c>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f>IF(I161="","",IF(AND(I161="Fail",K161=""),"Classify Issue Source",IF(AND(I161="Fail",W161=""),"Set Confidence",IF(AND(K161="Unknown",W161&lt;&gt;"Low"),"Unknown must be Low confidence",IF(AND(OR(K161="Backend",K161="SAP"),N161=""),"Add HTTP status + endpoint",IF(AND(OR(K161="Backend",K161="SAP",K161="Network"),P161=""),"Add Correlation ID",IF(AND(I161="Fail",T161=""),"Write Root Cause / evidence gap",IF(AND(I161="Fail",V161=""),"Assign team","OK"))))))))</f>
        <v/>
      </c>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f>IF(I162="","",IF(AND(I162="Fail",K162=""),"Classify Issue Source",IF(AND(I162="Fail",W162=""),"Set Confidence",IF(AND(K162="Unknown",W162&lt;&gt;"Low"),"Unknown must be Low confidence",IF(AND(OR(K162="Backend",K162="SAP"),N162=""),"Add HTTP status + endpoint",IF(AND(OR(K162="Backend",K162="SAP",K162="Network"),P162=""),"Add Correlation ID",IF(AND(I162="Fail",T162=""),"Write Root Cause / evidence gap",IF(AND(I162="Fail",V162=""),"Assign team","OK"))))))))</f>
        <v/>
      </c>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f>IF(I163="","",IF(AND(I163="Fail",K163=""),"Classify Issue Source",IF(AND(I163="Fail",W163=""),"Set Confidence",IF(AND(K163="Unknown",W163&lt;&gt;"Low"),"Unknown must be Low confidence",IF(AND(OR(K163="Backend",K163="SAP"),N163=""),"Add HTTP status + endpoint",IF(AND(OR(K163="Backend",K163="SAP",K163="Network"),P163=""),"Add Correlation ID",IF(AND(I163="Fail",T163=""),"Write Root Cause / evidence gap",IF(AND(I163="Fail",V163=""),"Assign team","OK"))))))))</f>
        <v/>
      </c>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f>IF(I164="","",IF(AND(I164="Fail",K164=""),"Classify Issue Source",IF(AND(I164="Fail",W164=""),"Set Confidence",IF(AND(K164="Unknown",W164&lt;&gt;"Low"),"Unknown must be Low confidence",IF(AND(OR(K164="Backend",K164="SAP"),N164=""),"Add HTTP status + endpoint",IF(AND(OR(K164="Backend",K164="SAP",K164="Network"),P164=""),"Add Correlation ID",IF(AND(I164="Fail",T164=""),"Write Root Cause / evidence gap",IF(AND(I164="Fail",V164=""),"Assign team","OK"))))))))</f>
        <v/>
      </c>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f>IF(I165="","",IF(AND(I165="Fail",K165=""),"Classify Issue Source",IF(AND(I165="Fail",W165=""),"Set Confidence",IF(AND(K165="Unknown",W165&lt;&gt;"Low"),"Unknown must be Low confidence",IF(AND(OR(K165="Backend",K165="SAP"),N165=""),"Add HTTP status + endpoint",IF(AND(OR(K165="Backend",K165="SAP",K165="Network"),P165=""),"Add Correlation ID",IF(AND(I165="Fail",T165=""),"Write Root Cause / evidence gap",IF(AND(I165="Fail",V165=""),"Assign team","OK"))))))))</f>
        <v/>
      </c>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f>IF(I166="","",IF(AND(I166="Fail",K166=""),"Classify Issue Source",IF(AND(I166="Fail",W166=""),"Set Confidence",IF(AND(K166="Unknown",W166&lt;&gt;"Low"),"Unknown must be Low confidence",IF(AND(OR(K166="Backend",K166="SAP"),N166=""),"Add HTTP status + endpoint",IF(AND(OR(K166="Backend",K166="SAP",K166="Network"),P166=""),"Add Correlation ID",IF(AND(I166="Fail",T166=""),"Write Root Cause / evidence gap",IF(AND(I166="Fail",V166=""),"Assign team","OK"))))))))</f>
        <v/>
      </c>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f>IF(I167="","",IF(AND(I167="Fail",K167=""),"Classify Issue Source",IF(AND(I167="Fail",W167=""),"Set Confidence",IF(AND(K167="Unknown",W167&lt;&gt;"Low"),"Unknown must be Low confidence",IF(AND(OR(K167="Backend",K167="SAP"),N167=""),"Add HTTP status + endpoint",IF(AND(OR(K167="Backend",K167="SAP",K167="Network"),P167=""),"Add Correlation ID",IF(AND(I167="Fail",T167=""),"Write Root Cause / evidence gap",IF(AND(I167="Fail",V167=""),"Assign team","OK"))))))))</f>
        <v/>
      </c>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f>IF(I168="","",IF(AND(I168="Fail",K168=""),"Classify Issue Source",IF(AND(I168="Fail",W168=""),"Set Confidence",IF(AND(K168="Unknown",W168&lt;&gt;"Low"),"Unknown must be Low confidence",IF(AND(OR(K168="Backend",K168="SAP"),N168=""),"Add HTTP status + endpoint",IF(AND(OR(K168="Backend",K168="SAP",K168="Network"),P168=""),"Add Correlation ID",IF(AND(I168="Fail",T168=""),"Write Root Cause / evidence gap",IF(AND(I168="Fail",V168=""),"Assign team","OK"))))))))</f>
        <v/>
      </c>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f>IF(I169="","",IF(AND(I169="Fail",K169=""),"Classify Issue Source",IF(AND(I169="Fail",W169=""),"Set Confidence",IF(AND(K169="Unknown",W169&lt;&gt;"Low"),"Unknown must be Low confidence",IF(AND(OR(K169="Backend",K169="SAP"),N169=""),"Add HTTP status + endpoint",IF(AND(OR(K169="Backend",K169="SAP",K169="Network"),P169=""),"Add Correlation ID",IF(AND(I169="Fail",T169=""),"Write Root Cause / evidence gap",IF(AND(I169="Fail",V169=""),"Assign team","OK"))))))))</f>
        <v/>
      </c>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f>IF(I170="","",IF(AND(I170="Fail",K170=""),"Classify Issue Source",IF(AND(I170="Fail",W170=""),"Set Confidence",IF(AND(K170="Unknown",W170&lt;&gt;"Low"),"Unknown must be Low confidence",IF(AND(OR(K170="Backend",K170="SAP"),N170=""),"Add HTTP status + endpoint",IF(AND(OR(K170="Backend",K170="SAP",K170="Network"),P170=""),"Add Correlation ID",IF(AND(I170="Fail",T170=""),"Write Root Cause / evidence gap",IF(AND(I170="Fail",V170=""),"Assign team","OK"))))))))</f>
        <v/>
      </c>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f>IF(I171="","",IF(AND(I171="Fail",K171=""),"Classify Issue Source",IF(AND(I171="Fail",W171=""),"Set Confidence",IF(AND(K171="Unknown",W171&lt;&gt;"Low"),"Unknown must be Low confidence",IF(AND(OR(K171="Backend",K171="SAP"),N171=""),"Add HTTP status + endpoint",IF(AND(OR(K171="Backend",K171="SAP",K171="Network"),P171=""),"Add Correlation ID",IF(AND(I171="Fail",T171=""),"Write Root Cause / evidence gap",IF(AND(I171="Fail",V171=""),"Assign team","OK"))))))))</f>
        <v/>
      </c>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f>IF(I172="","",IF(AND(I172="Fail",K172=""),"Classify Issue Source",IF(AND(I172="Fail",W172=""),"Set Confidence",IF(AND(K172="Unknown",W172&lt;&gt;"Low"),"Unknown must be Low confidence",IF(AND(OR(K172="Backend",K172="SAP"),N172=""),"Add HTTP status + endpoint",IF(AND(OR(K172="Backend",K172="SAP",K172="Network"),P172=""),"Add Correlation ID",IF(AND(I172="Fail",T172=""),"Write Root Cause / evidence gap",IF(AND(I172="Fail",V172=""),"Assign team","OK"))))))))</f>
        <v/>
      </c>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f>IF(I173="","",IF(AND(I173="Fail",K173=""),"Classify Issue Source",IF(AND(I173="Fail",W173=""),"Set Confidence",IF(AND(K173="Unknown",W173&lt;&gt;"Low"),"Unknown must be Low confidence",IF(AND(OR(K173="Backend",K173="SAP"),N173=""),"Add HTTP status + endpoint",IF(AND(OR(K173="Backend",K173="SAP",K173="Network"),P173=""),"Add Correlation ID",IF(AND(I173="Fail",T173=""),"Write Root Cause / evidence gap",IF(AND(I173="Fail",V173=""),"Assign team","OK"))))))))</f>
        <v/>
      </c>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f>IF(I174="","",IF(AND(I174="Fail",K174=""),"Classify Issue Source",IF(AND(I174="Fail",W174=""),"Set Confidence",IF(AND(K174="Unknown",W174&lt;&gt;"Low"),"Unknown must be Low confidence",IF(AND(OR(K174="Backend",K174="SAP"),N174=""),"Add HTTP status + endpoint",IF(AND(OR(K174="Backend",K174="SAP",K174="Network"),P174=""),"Add Correlation ID",IF(AND(I174="Fail",T174=""),"Write Root Cause / evidence gap",IF(AND(I174="Fail",V174=""),"Assign team","OK"))))))))</f>
        <v/>
      </c>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f>IF(I175="","",IF(AND(I175="Fail",K175=""),"Classify Issue Source",IF(AND(I175="Fail",W175=""),"Set Confidence",IF(AND(K175="Unknown",W175&lt;&gt;"Low"),"Unknown must be Low confidence",IF(AND(OR(K175="Backend",K175="SAP"),N175=""),"Add HTTP status + endpoint",IF(AND(OR(K175="Backend",K175="SAP",K175="Network"),P175=""),"Add Correlation ID",IF(AND(I175="Fail",T175=""),"Write Root Cause / evidence gap",IF(AND(I175="Fail",V175=""),"Assign team","OK"))))))))</f>
        <v/>
      </c>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f>IF(I176="","",IF(AND(I176="Fail",K176=""),"Classify Issue Source",IF(AND(I176="Fail",W176=""),"Set Confidence",IF(AND(K176="Unknown",W176&lt;&gt;"Low"),"Unknown must be Low confidence",IF(AND(OR(K176="Backend",K176="SAP"),N176=""),"Add HTTP status + endpoint",IF(AND(OR(K176="Backend",K176="SAP",K176="Network"),P176=""),"Add Correlation ID",IF(AND(I176="Fail",T176=""),"Write Root Cause / evidence gap",IF(AND(I176="Fail",V176=""),"Assign team","OK"))))))))</f>
        <v/>
      </c>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f>IF(I177="","",IF(AND(I177="Fail",K177=""),"Classify Issue Source",IF(AND(I177="Fail",W177=""),"Set Confidence",IF(AND(K177="Unknown",W177&lt;&gt;"Low"),"Unknown must be Low confidence",IF(AND(OR(K177="Backend",K177="SAP"),N177=""),"Add HTTP status + endpoint",IF(AND(OR(K177="Backend",K177="SAP",K177="Network"),P177=""),"Add Correlation ID",IF(AND(I177="Fail",T177=""),"Write Root Cause / evidence gap",IF(AND(I177="Fail",V177=""),"Assign team","OK"))))))))</f>
        <v/>
      </c>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f>IF(I178="","",IF(AND(I178="Fail",K178=""),"Classify Issue Source",IF(AND(I178="Fail",W178=""),"Set Confidence",IF(AND(K178="Unknown",W178&lt;&gt;"Low"),"Unknown must be Low confidence",IF(AND(OR(K178="Backend",K178="SAP"),N178=""),"Add HTTP status + endpoint",IF(AND(OR(K178="Backend",K178="SAP",K178="Network"),P178=""),"Add Correlation ID",IF(AND(I178="Fail",T178=""),"Write Root Cause / evidence gap",IF(AND(I178="Fail",V178=""),"Assign team","OK"))))))))</f>
        <v/>
      </c>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f>IF(I179="","",IF(AND(I179="Fail",K179=""),"Classify Issue Source",IF(AND(I179="Fail",W179=""),"Set Confidence",IF(AND(K179="Unknown",W179&lt;&gt;"Low"),"Unknown must be Low confidence",IF(AND(OR(K179="Backend",K179="SAP"),N179=""),"Add HTTP status + endpoint",IF(AND(OR(K179="Backend",K179="SAP",K179="Network"),P179=""),"Add Correlation ID",IF(AND(I179="Fail",T179=""),"Write Root Cause / evidence gap",IF(AND(I179="Fail",V179=""),"Assign team","OK"))))))))</f>
        <v/>
      </c>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f>IF(I180="","",IF(AND(I180="Fail",K180=""),"Classify Issue Source",IF(AND(I180="Fail",W180=""),"Set Confidence",IF(AND(K180="Unknown",W180&lt;&gt;"Low"),"Unknown must be Low confidence",IF(AND(OR(K180="Backend",K180="SAP"),N180=""),"Add HTTP status + endpoint",IF(AND(OR(K180="Backend",K180="SAP",K180="Network"),P180=""),"Add Correlation ID",IF(AND(I180="Fail",T180=""),"Write Root Cause / evidence gap",IF(AND(I180="Fail",V180=""),"Assign team","OK"))))))))</f>
        <v/>
      </c>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f>IF(I181="","",IF(AND(I181="Fail",K181=""),"Classify Issue Source",IF(AND(I181="Fail",W181=""),"Set Confidence",IF(AND(K181="Unknown",W181&lt;&gt;"Low"),"Unknown must be Low confidence",IF(AND(OR(K181="Backend",K181="SAP"),N181=""),"Add HTTP status + endpoint",IF(AND(OR(K181="Backend",K181="SAP",K181="Network"),P181=""),"Add Correlation ID",IF(AND(I181="Fail",T181=""),"Write Root Cause / evidence gap",IF(AND(I181="Fail",V181=""),"Assign team","OK"))))))))</f>
        <v/>
      </c>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f>IF(I182="","",IF(AND(I182="Fail",K182=""),"Classify Issue Source",IF(AND(I182="Fail",W182=""),"Set Confidence",IF(AND(K182="Unknown",W182&lt;&gt;"Low"),"Unknown must be Low confidence",IF(AND(OR(K182="Backend",K182="SAP"),N182=""),"Add HTTP status + endpoint",IF(AND(OR(K182="Backend",K182="SAP",K182="Network"),P182=""),"Add Correlation ID",IF(AND(I182="Fail",T182=""),"Write Root Cause / evidence gap",IF(AND(I182="Fail",V182=""),"Assign team","OK"))))))))</f>
        <v/>
      </c>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f>IF(I183="","",IF(AND(I183="Fail",K183=""),"Classify Issue Source",IF(AND(I183="Fail",W183=""),"Set Confidence",IF(AND(K183="Unknown",W183&lt;&gt;"Low"),"Unknown must be Low confidence",IF(AND(OR(K183="Backend",K183="SAP"),N183=""),"Add HTTP status + endpoint",IF(AND(OR(K183="Backend",K183="SAP",K183="Network"),P183=""),"Add Correlation ID",IF(AND(I183="Fail",T183=""),"Write Root Cause / evidence gap",IF(AND(I183="Fail",V183=""),"Assign team","OK"))))))))</f>
        <v/>
      </c>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f>IF(I184="","",IF(AND(I184="Fail",K184=""),"Classify Issue Source",IF(AND(I184="Fail",W184=""),"Set Confidence",IF(AND(K184="Unknown",W184&lt;&gt;"Low"),"Unknown must be Low confidence",IF(AND(OR(K184="Backend",K184="SAP"),N184=""),"Add HTTP status + endpoint",IF(AND(OR(K184="Backend",K184="SAP",K184="Network"),P184=""),"Add Correlation ID",IF(AND(I184="Fail",T184=""),"Write Root Cause / evidence gap",IF(AND(I184="Fail",V184=""),"Assign team","OK"))))))))</f>
        <v/>
      </c>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f>IF(I185="","",IF(AND(I185="Fail",K185=""),"Classify Issue Source",IF(AND(I185="Fail",W185=""),"Set Confidence",IF(AND(K185="Unknown",W185&lt;&gt;"Low"),"Unknown must be Low confidence",IF(AND(OR(K185="Backend",K185="SAP"),N185=""),"Add HTTP status + endpoint",IF(AND(OR(K185="Backend",K185="SAP",K185="Network"),P185=""),"Add Correlation ID",IF(AND(I185="Fail",T185=""),"Write Root Cause / evidence gap",IF(AND(I185="Fail",V185=""),"Assign team","OK"))))))))</f>
        <v/>
      </c>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f>IF(I186="","",IF(AND(I186="Fail",K186=""),"Classify Issue Source",IF(AND(I186="Fail",W186=""),"Set Confidence",IF(AND(K186="Unknown",W186&lt;&gt;"Low"),"Unknown must be Low confidence",IF(AND(OR(K186="Backend",K186="SAP"),N186=""),"Add HTTP status + endpoint",IF(AND(OR(K186="Backend",K186="SAP",K186="Network"),P186=""),"Add Correlation ID",IF(AND(I186="Fail",T186=""),"Write Root Cause / evidence gap",IF(AND(I186="Fail",V186=""),"Assign team","OK"))))))))</f>
        <v/>
      </c>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f>IF(I187="","",IF(AND(I187="Fail",K187=""),"Classify Issue Source",IF(AND(I187="Fail",W187=""),"Set Confidence",IF(AND(K187="Unknown",W187&lt;&gt;"Low"),"Unknown must be Low confidence",IF(AND(OR(K187="Backend",K187="SAP"),N187=""),"Add HTTP status + endpoint",IF(AND(OR(K187="Backend",K187="SAP",K187="Network"),P187=""),"Add Correlation ID",IF(AND(I187="Fail",T187=""),"Write Root Cause / evidence gap",IF(AND(I187="Fail",V187=""),"Assign team","OK"))))))))</f>
        <v/>
      </c>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f>IF(I188="","",IF(AND(I188="Fail",K188=""),"Classify Issue Source",IF(AND(I188="Fail",W188=""),"Set Confidence",IF(AND(K188="Unknown",W188&lt;&gt;"Low"),"Unknown must be Low confidence",IF(AND(OR(K188="Backend",K188="SAP"),N188=""),"Add HTTP status + endpoint",IF(AND(OR(K188="Backend",K188="SAP",K188="Network"),P188=""),"Add Correlation ID",IF(AND(I188="Fail",T188=""),"Write Root Cause / evidence gap",IF(AND(I188="Fail",V188=""),"Assign team","OK"))))))))</f>
        <v/>
      </c>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f>IF(I189="","",IF(AND(I189="Fail",K189=""),"Classify Issue Source",IF(AND(I189="Fail",W189=""),"Set Confidence",IF(AND(K189="Unknown",W189&lt;&gt;"Low"),"Unknown must be Low confidence",IF(AND(OR(K189="Backend",K189="SAP"),N189=""),"Add HTTP status + endpoint",IF(AND(OR(K189="Backend",K189="SAP",K189="Network"),P189=""),"Add Correlation ID",IF(AND(I189="Fail",T189=""),"Write Root Cause / evidence gap",IF(AND(I189="Fail",V189=""),"Assign team","OK"))))))))</f>
        <v/>
      </c>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f>IF(I190="","",IF(AND(I190="Fail",K190=""),"Classify Issue Source",IF(AND(I190="Fail",W190=""),"Set Confidence",IF(AND(K190="Unknown",W190&lt;&gt;"Low"),"Unknown must be Low confidence",IF(AND(OR(K190="Backend",K190="SAP"),N190=""),"Add HTTP status + endpoint",IF(AND(OR(K190="Backend",K190="SAP",K190="Network"),P190=""),"Add Correlation ID",IF(AND(I190="Fail",T190=""),"Write Root Cause / evidence gap",IF(AND(I190="Fail",V190=""),"Assign team","OK"))))))))</f>
        <v/>
      </c>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f>IF(I191="","",IF(AND(I191="Fail",K191=""),"Classify Issue Source",IF(AND(I191="Fail",W191=""),"Set Confidence",IF(AND(K191="Unknown",W191&lt;&gt;"Low"),"Unknown must be Low confidence",IF(AND(OR(K191="Backend",K191="SAP"),N191=""),"Add HTTP status + endpoint",IF(AND(OR(K191="Backend",K191="SAP",K191="Network"),P191=""),"Add Correlation ID",IF(AND(I191="Fail",T191=""),"Write Root Cause / evidence gap",IF(AND(I191="Fail",V191=""),"Assign team","OK"))))))))</f>
        <v/>
      </c>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f>IF(I192="","",IF(AND(I192="Fail",K192=""),"Classify Issue Source",IF(AND(I192="Fail",W192=""),"Set Confidence",IF(AND(K192="Unknown",W192&lt;&gt;"Low"),"Unknown must be Low confidence",IF(AND(OR(K192="Backend",K192="SAP"),N192=""),"Add HTTP status + endpoint",IF(AND(OR(K192="Backend",K192="SAP",K192="Network"),P192=""),"Add Correlation ID",IF(AND(I192="Fail",T192=""),"Write Root Cause / evidence gap",IF(AND(I192="Fail",V192=""),"Assign team","OK"))))))))</f>
        <v/>
      </c>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f>IF(I193="","",IF(AND(I193="Fail",K193=""),"Classify Issue Source",IF(AND(I193="Fail",W193=""),"Set Confidence",IF(AND(K193="Unknown",W193&lt;&gt;"Low"),"Unknown must be Low confidence",IF(AND(OR(K193="Backend",K193="SAP"),N193=""),"Add HTTP status + endpoint",IF(AND(OR(K193="Backend",K193="SAP",K193="Network"),P193=""),"Add Correlation ID",IF(AND(I193="Fail",T193=""),"Write Root Cause / evidence gap",IF(AND(I193="Fail",V193=""),"Assign team","OK"))))))))</f>
        <v/>
      </c>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f>IF(I194="","",IF(AND(I194="Fail",K194=""),"Classify Issue Source",IF(AND(I194="Fail",W194=""),"Set Confidence",IF(AND(K194="Unknown",W194&lt;&gt;"Low"),"Unknown must be Low confidence",IF(AND(OR(K194="Backend",K194="SAP"),N194=""),"Add HTTP status + endpoint",IF(AND(OR(K194="Backend",K194="SAP",K194="Network"),P194=""),"Add Correlation ID",IF(AND(I194="Fail",T194=""),"Write Root Cause / evidence gap",IF(AND(I194="Fail",V194=""),"Assign team","OK"))))))))</f>
        <v/>
      </c>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f>IF(I195="","",IF(AND(I195="Fail",K195=""),"Classify Issue Source",IF(AND(I195="Fail",W195=""),"Set Confidence",IF(AND(K195="Unknown",W195&lt;&gt;"Low"),"Unknown must be Low confidence",IF(AND(OR(K195="Backend",K195="SAP"),N195=""),"Add HTTP status + endpoint",IF(AND(OR(K195="Backend",K195="SAP",K195="Network"),P195=""),"Add Correlation ID",IF(AND(I195="Fail",T195=""),"Write Root Cause / evidence gap",IF(AND(I195="Fail",V195=""),"Assign team","OK"))))))))</f>
        <v/>
      </c>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f>IF(I196="","",IF(AND(I196="Fail",K196=""),"Classify Issue Source",IF(AND(I196="Fail",W196=""),"Set Confidence",IF(AND(K196="Unknown",W196&lt;&gt;"Low"),"Unknown must be Low confidence",IF(AND(OR(K196="Backend",K196="SAP"),N196=""),"Add HTTP status + endpoint",IF(AND(OR(K196="Backend",K196="SAP",K196="Network"),P196=""),"Add Correlation ID",IF(AND(I196="Fail",T196=""),"Write Root Cause / evidence gap",IF(AND(I196="Fail",V196=""),"Assign team","OK"))))))))</f>
        <v/>
      </c>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f>IF(I197="","",IF(AND(I197="Fail",K197=""),"Classify Issue Source",IF(AND(I197="Fail",W197=""),"Set Confidence",IF(AND(K197="Unknown",W197&lt;&gt;"Low"),"Unknown must be Low confidence",IF(AND(OR(K197="Backend",K197="SAP"),N197=""),"Add HTTP status + endpoint",IF(AND(OR(K197="Backend",K197="SAP",K197="Network"),P197=""),"Add Correlation ID",IF(AND(I197="Fail",T197=""),"Write Root Cause / evidence gap",IF(AND(I197="Fail",V197=""),"Assign team","OK"))))))))</f>
        <v/>
      </c>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f>IF(I198="","",IF(AND(I198="Fail",K198=""),"Classify Issue Source",IF(AND(I198="Fail",W198=""),"Set Confidence",IF(AND(K198="Unknown",W198&lt;&gt;"Low"),"Unknown must be Low confidence",IF(AND(OR(K198="Backend",K198="SAP"),N198=""),"Add HTTP status + endpoint",IF(AND(OR(K198="Backend",K198="SAP",K198="Network"),P198=""),"Add Correlation ID",IF(AND(I198="Fail",T198=""),"Write Root Cause / evidence gap",IF(AND(I198="Fail",V198=""),"Assign team","OK"))))))))</f>
        <v/>
      </c>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f>IF(I199="","",IF(AND(I199="Fail",K199=""),"Classify Issue Source",IF(AND(I199="Fail",W199=""),"Set Confidence",IF(AND(K199="Unknown",W199&lt;&gt;"Low"),"Unknown must be Low confidence",IF(AND(OR(K199="Backend",K199="SAP"),N199=""),"Add HTTP status + endpoint",IF(AND(OR(K199="Backend",K199="SAP",K199="Network"),P199=""),"Add Correlation ID",IF(AND(I199="Fail",T199=""),"Write Root Cause / evidence gap",IF(AND(I199="Fail",V199=""),"Assign team","OK"))))))))</f>
        <v/>
      </c>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f>IF(I200="","",IF(AND(I200="Fail",K200=""),"Classify Issue Source",IF(AND(I200="Fail",W200=""),"Set Confidence",IF(AND(K200="Unknown",W200&lt;&gt;"Low"),"Unknown must be Low confidence",IF(AND(OR(K200="Backend",K200="SAP"),N200=""),"Add HTTP status + endpoint",IF(AND(OR(K200="Backend",K200="SAP",K200="Network"),P200=""),"Add Correlation ID",IF(AND(I200="Fail",T200=""),"Write Root Cause / evidence gap",IF(AND(I200="Fail",V200=""),"Assign team","OK"))))))))</f>
        <v/>
      </c>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f>IF(I201="","",IF(AND(I201="Fail",K201=""),"Classify Issue Source",IF(AND(I201="Fail",W201=""),"Set Confidence",IF(AND(K201="Unknown",W201&lt;&gt;"Low"),"Unknown must be Low confidence",IF(AND(OR(K201="Backend",K201="SAP"),N201=""),"Add HTTP status + endpoint",IF(AND(OR(K201="Backend",K201="SAP",K201="Network"),P201=""),"Add Correlation ID",IF(AND(I201="Fail",T201=""),"Write Root Cause / evidence gap",IF(AND(I201="Fail",V201=""),"Assign team","OK"))))))))</f>
        <v/>
      </c>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f>IF(I202="","",IF(AND(I202="Fail",K202=""),"Classify Issue Source",IF(AND(I202="Fail",W202=""),"Set Confidence",IF(AND(K202="Unknown",W202&lt;&gt;"Low"),"Unknown must be Low confidence",IF(AND(OR(K202="Backend",K202="SAP"),N202=""),"Add HTTP status + endpoint",IF(AND(OR(K202="Backend",K202="SAP",K202="Network"),P202=""),"Add Correlation ID",IF(AND(I202="Fail",T202=""),"Write Root Cause / evidence gap",IF(AND(I202="Fail",V202=""),"Assign team","OK"))))))))</f>
        <v/>
      </c>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f>IF(I203="","",IF(AND(I203="Fail",K203=""),"Classify Issue Source",IF(AND(I203="Fail",W203=""),"Set Confidence",IF(AND(K203="Unknown",W203&lt;&gt;"Low"),"Unknown must be Low confidence",IF(AND(OR(K203="Backend",K203="SAP"),N203=""),"Add HTTP status + endpoint",IF(AND(OR(K203="Backend",K203="SAP",K203="Network"),P203=""),"Add Correlation ID",IF(AND(I203="Fail",T203=""),"Write Root Cause / evidence gap",IF(AND(I203="Fail",V203=""),"Assign team","OK"))))))))</f>
        <v/>
      </c>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f>IF(I204="","",IF(AND(I204="Fail",K204=""),"Classify Issue Source",IF(AND(I204="Fail",W204=""),"Set Confidence",IF(AND(K204="Unknown",W204&lt;&gt;"Low"),"Unknown must be Low confidence",IF(AND(OR(K204="Backend",K204="SAP"),N204=""),"Add HTTP status + endpoint",IF(AND(OR(K204="Backend",K204="SAP",K204="Network"),P204=""),"Add Correlation ID",IF(AND(I204="Fail",T204=""),"Write Root Cause / evidence gap",IF(AND(I204="Fail",V204=""),"Assign team","OK"))))))))</f>
        <v/>
      </c>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f>IF(I205="","",IF(AND(I205="Fail",K205=""),"Classify Issue Source",IF(AND(I205="Fail",W205=""),"Set Confidence",IF(AND(K205="Unknown",W205&lt;&gt;"Low"),"Unknown must be Low confidence",IF(AND(OR(K205="Backend",K205="SAP"),N205=""),"Add HTTP status + endpoint",IF(AND(OR(K205="Backend",K205="SAP",K205="Network"),P205=""),"Add Correlation ID",IF(AND(I205="Fail",T205=""),"Write Root Cause / evidence gap",IF(AND(I205="Fail",V205=""),"Assign team","OK"))))))))</f>
        <v/>
      </c>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f>IF(I206="","",IF(AND(I206="Fail",K206=""),"Classify Issue Source",IF(AND(I206="Fail",W206=""),"Set Confidence",IF(AND(K206="Unknown",W206&lt;&gt;"Low"),"Unknown must be Low confidence",IF(AND(OR(K206="Backend",K206="SAP"),N206=""),"Add HTTP status + endpoint",IF(AND(OR(K206="Backend",K206="SAP",K206="Network"),P206=""),"Add Correlation ID",IF(AND(I206="Fail",T206=""),"Write Root Cause / evidence gap",IF(AND(I206="Fail",V206=""),"Assign team","OK"))))))))</f>
        <v/>
      </c>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f>IF(I207="","",IF(AND(I207="Fail",K207=""),"Classify Issue Source",IF(AND(I207="Fail",W207=""),"Set Confidence",IF(AND(K207="Unknown",W207&lt;&gt;"Low"),"Unknown must be Low confidence",IF(AND(OR(K207="Backend",K207="SAP"),N207=""),"Add HTTP status + endpoint",IF(AND(OR(K207="Backend",K207="SAP",K207="Network"),P207=""),"Add Correlation ID",IF(AND(I207="Fail",T207=""),"Write Root Cause / evidence gap",IF(AND(I207="Fail",V207=""),"Assign team","OK"))))))))</f>
        <v/>
      </c>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f>IF(I208="","",IF(AND(I208="Fail",K208=""),"Classify Issue Source",IF(AND(I208="Fail",W208=""),"Set Confidence",IF(AND(K208="Unknown",W208&lt;&gt;"Low"),"Unknown must be Low confidence",IF(AND(OR(K208="Backend",K208="SAP"),N208=""),"Add HTTP status + endpoint",IF(AND(OR(K208="Backend",K208="SAP",K208="Network"),P208=""),"Add Correlation ID",IF(AND(I208="Fail",T208=""),"Write Root Cause / evidence gap",IF(AND(I208="Fail",V208=""),"Assign team","OK"))))))))</f>
        <v/>
      </c>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f>IF(I209="","",IF(AND(I209="Fail",K209=""),"Classify Issue Source",IF(AND(I209="Fail",W209=""),"Set Confidence",IF(AND(K209="Unknown",W209&lt;&gt;"Low"),"Unknown must be Low confidence",IF(AND(OR(K209="Backend",K209="SAP"),N209=""),"Add HTTP status + endpoint",IF(AND(OR(K209="Backend",K209="SAP",K209="Network"),P209=""),"Add Correlation ID",IF(AND(I209="Fail",T209=""),"Write Root Cause / evidence gap",IF(AND(I209="Fail",V209=""),"Assign team","OK"))))))))</f>
        <v/>
      </c>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f>IF(I210="","",IF(AND(I210="Fail",K210=""),"Classify Issue Source",IF(AND(I210="Fail",W210=""),"Set Confidence",IF(AND(K210="Unknown",W210&lt;&gt;"Low"),"Unknown must be Low confidence",IF(AND(OR(K210="Backend",K210="SAP"),N210=""),"Add HTTP status + endpoint",IF(AND(OR(K210="Backend",K210="SAP",K210="Network"),P210=""),"Add Correlation ID",IF(AND(I210="Fail",T210=""),"Write Root Cause / evidence gap",IF(AND(I210="Fail",V210=""),"Assign team","OK"))))))))</f>
        <v/>
      </c>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f>IF(I211="","",IF(AND(I211="Fail",K211=""),"Classify Issue Source",IF(AND(I211="Fail",W211=""),"Set Confidence",IF(AND(K211="Unknown",W211&lt;&gt;"Low"),"Unknown must be Low confidence",IF(AND(OR(K211="Backend",K211="SAP"),N211=""),"Add HTTP status + endpoint",IF(AND(OR(K211="Backend",K211="SAP",K211="Network"),P211=""),"Add Correlation ID",IF(AND(I211="Fail",T211=""),"Write Root Cause / evidence gap",IF(AND(I211="Fail",V211=""),"Assign team","OK"))))))))</f>
        <v/>
      </c>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f>IF(I212="","",IF(AND(I212="Fail",K212=""),"Classify Issue Source",IF(AND(I212="Fail",W212=""),"Set Confidence",IF(AND(K212="Unknown",W212&lt;&gt;"Low"),"Unknown must be Low confidence",IF(AND(OR(K212="Backend",K212="SAP"),N212=""),"Add HTTP status + endpoint",IF(AND(OR(K212="Backend",K212="SAP",K212="Network"),P212=""),"Add Correlation ID",IF(AND(I212="Fail",T212=""),"Write Root Cause / evidence gap",IF(AND(I212="Fail",V212=""),"Assign team","OK"))))))))</f>
        <v/>
      </c>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f>IF(I213="","",IF(AND(I213="Fail",K213=""),"Classify Issue Source",IF(AND(I213="Fail",W213=""),"Set Confidence",IF(AND(K213="Unknown",W213&lt;&gt;"Low"),"Unknown must be Low confidence",IF(AND(OR(K213="Backend",K213="SAP"),N213=""),"Add HTTP status + endpoint",IF(AND(OR(K213="Backend",K213="SAP",K213="Network"),P213=""),"Add Correlation ID",IF(AND(I213="Fail",T213=""),"Write Root Cause / evidence gap",IF(AND(I213="Fail",V213=""),"Assign team","OK"))))))))</f>
        <v/>
      </c>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f>IF(I214="","",IF(AND(I214="Fail",K214=""),"Classify Issue Source",IF(AND(I214="Fail",W214=""),"Set Confidence",IF(AND(K214="Unknown",W214&lt;&gt;"Low"),"Unknown must be Low confidence",IF(AND(OR(K214="Backend",K214="SAP"),N214=""),"Add HTTP status + endpoint",IF(AND(OR(K214="Backend",K214="SAP",K214="Network"),P214=""),"Add Correlation ID",IF(AND(I214="Fail",T214=""),"Write Root Cause / evidence gap",IF(AND(I214="Fail",V214=""),"Assign team","OK"))))))))</f>
        <v/>
      </c>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f>IF(I215="","",IF(AND(I215="Fail",K215=""),"Classify Issue Source",IF(AND(I215="Fail",W215=""),"Set Confidence",IF(AND(K215="Unknown",W215&lt;&gt;"Low"),"Unknown must be Low confidence",IF(AND(OR(K215="Backend",K215="SAP"),N215=""),"Add HTTP status + endpoint",IF(AND(OR(K215="Backend",K215="SAP",K215="Network"),P215=""),"Add Correlation ID",IF(AND(I215="Fail",T215=""),"Write Root Cause / evidence gap",IF(AND(I215="Fail",V215=""),"Assign team","OK"))))))))</f>
        <v/>
      </c>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f>IF(I216="","",IF(AND(I216="Fail",K216=""),"Classify Issue Source",IF(AND(I216="Fail",W216=""),"Set Confidence",IF(AND(K216="Unknown",W216&lt;&gt;"Low"),"Unknown must be Low confidence",IF(AND(OR(K216="Backend",K216="SAP"),N216=""),"Add HTTP status + endpoint",IF(AND(OR(K216="Backend",K216="SAP",K216="Network"),P216=""),"Add Correlation ID",IF(AND(I216="Fail",T216=""),"Write Root Cause / evidence gap",IF(AND(I216="Fail",V216=""),"Assign team","OK"))))))))</f>
        <v/>
      </c>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f>IF(I217="","",IF(AND(I217="Fail",K217=""),"Classify Issue Source",IF(AND(I217="Fail",W217=""),"Set Confidence",IF(AND(K217="Unknown",W217&lt;&gt;"Low"),"Unknown must be Low confidence",IF(AND(OR(K217="Backend",K217="SAP"),N217=""),"Add HTTP status + endpoint",IF(AND(OR(K217="Backend",K217="SAP",K217="Network"),P217=""),"Add Correlation ID",IF(AND(I217="Fail",T217=""),"Write Root Cause / evidence gap",IF(AND(I217="Fail",V217=""),"Assign team","OK"))))))))</f>
        <v/>
      </c>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f>IF(I218="","",IF(AND(I218="Fail",K218=""),"Classify Issue Source",IF(AND(I218="Fail",W218=""),"Set Confidence",IF(AND(K218="Unknown",W218&lt;&gt;"Low"),"Unknown must be Low confidence",IF(AND(OR(K218="Backend",K218="SAP"),N218=""),"Add HTTP status + endpoint",IF(AND(OR(K218="Backend",K218="SAP",K218="Network"),P218=""),"Add Correlation ID",IF(AND(I218="Fail",T218=""),"Write Root Cause / evidence gap",IF(AND(I218="Fail",V218=""),"Assign team","OK"))))))))</f>
        <v/>
      </c>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f>IF(I219="","",IF(AND(I219="Fail",K219=""),"Classify Issue Source",IF(AND(I219="Fail",W219=""),"Set Confidence",IF(AND(K219="Unknown",W219&lt;&gt;"Low"),"Unknown must be Low confidence",IF(AND(OR(K219="Backend",K219="SAP"),N219=""),"Add HTTP status + endpoint",IF(AND(OR(K219="Backend",K219="SAP",K219="Network"),P219=""),"Add Correlation ID",IF(AND(I219="Fail",T219=""),"Write Root Cause / evidence gap",IF(AND(I219="Fail",V219=""),"Assign team","OK"))))))))</f>
        <v/>
      </c>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f>IF(I220="","",IF(AND(I220="Fail",K220=""),"Classify Issue Source",IF(AND(I220="Fail",W220=""),"Set Confidence",IF(AND(K220="Unknown",W220&lt;&gt;"Low"),"Unknown must be Low confidence",IF(AND(OR(K220="Backend",K220="SAP"),N220=""),"Add HTTP status + endpoint",IF(AND(OR(K220="Backend",K220="SAP",K220="Network"),P220=""),"Add Correlation ID",IF(AND(I220="Fail",T220=""),"Write Root Cause / evidence gap",IF(AND(I220="Fail",V220=""),"Assign team","OK"))))))))</f>
        <v/>
      </c>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f>IF(I221="","",IF(AND(I221="Fail",K221=""),"Classify Issue Source",IF(AND(I221="Fail",W221=""),"Set Confidence",IF(AND(K221="Unknown",W221&lt;&gt;"Low"),"Unknown must be Low confidence",IF(AND(OR(K221="Backend",K221="SAP"),N221=""),"Add HTTP status + endpoint",IF(AND(OR(K221="Backend",K221="SAP",K221="Network"),P221=""),"Add Correlation ID",IF(AND(I221="Fail",T221=""),"Write Root Cause / evidence gap",IF(AND(I221="Fail",V221=""),"Assign team","OK"))))))))</f>
        <v/>
      </c>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f>IF(I222="","",IF(AND(I222="Fail",K222=""),"Classify Issue Source",IF(AND(I222="Fail",W222=""),"Set Confidence",IF(AND(K222="Unknown",W222&lt;&gt;"Low"),"Unknown must be Low confidence",IF(AND(OR(K222="Backend",K222="SAP"),N222=""),"Add HTTP status + endpoint",IF(AND(OR(K222="Backend",K222="SAP",K222="Network"),P222=""),"Add Correlation ID",IF(AND(I222="Fail",T222=""),"Write Root Cause / evidence gap",IF(AND(I222="Fail",V222=""),"Assign team","OK"))))))))</f>
        <v/>
      </c>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f>IF(I223="","",IF(AND(I223="Fail",K223=""),"Classify Issue Source",IF(AND(I223="Fail",W223=""),"Set Confidence",IF(AND(K223="Unknown",W223&lt;&gt;"Low"),"Unknown must be Low confidence",IF(AND(OR(K223="Backend",K223="SAP"),N223=""),"Add HTTP status + endpoint",IF(AND(OR(K223="Backend",K223="SAP",K223="Network"),P223=""),"Add Correlation ID",IF(AND(I223="Fail",T223=""),"Write Root Cause / evidence gap",IF(AND(I223="Fail",V223=""),"Assign team","OK"))))))))</f>
        <v/>
      </c>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f>IF(I224="","",IF(AND(I224="Fail",K224=""),"Classify Issue Source",IF(AND(I224="Fail",W224=""),"Set Confidence",IF(AND(K224="Unknown",W224&lt;&gt;"Low"),"Unknown must be Low confidence",IF(AND(OR(K224="Backend",K224="SAP"),N224=""),"Add HTTP status + endpoint",IF(AND(OR(K224="Backend",K224="SAP",K224="Network"),P224=""),"Add Correlation ID",IF(AND(I224="Fail",T224=""),"Write Root Cause / evidence gap",IF(AND(I224="Fail",V224=""),"Assign team","OK"))))))))</f>
        <v/>
      </c>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f>IF(I225="","",IF(AND(I225="Fail",K225=""),"Classify Issue Source",IF(AND(I225="Fail",W225=""),"Set Confidence",IF(AND(K225="Unknown",W225&lt;&gt;"Low"),"Unknown must be Low confidence",IF(AND(OR(K225="Backend",K225="SAP"),N225=""),"Add HTTP status + endpoint",IF(AND(OR(K225="Backend",K225="SAP",K225="Network"),P225=""),"Add Correlation ID",IF(AND(I225="Fail",T225=""),"Write Root Cause / evidence gap",IF(AND(I225="Fail",V225=""),"Assign team","OK"))))))))</f>
        <v/>
      </c>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f>IF(I226="","",IF(AND(I226="Fail",K226=""),"Classify Issue Source",IF(AND(I226="Fail",W226=""),"Set Confidence",IF(AND(K226="Unknown",W226&lt;&gt;"Low"),"Unknown must be Low confidence",IF(AND(OR(K226="Backend",K226="SAP"),N226=""),"Add HTTP status + endpoint",IF(AND(OR(K226="Backend",K226="SAP",K226="Network"),P226=""),"Add Correlation ID",IF(AND(I226="Fail",T226=""),"Write Root Cause / evidence gap",IF(AND(I226="Fail",V226=""),"Assign team","OK"))))))))</f>
        <v/>
      </c>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f>IF(I227="","",IF(AND(I227="Fail",K227=""),"Classify Issue Source",IF(AND(I227="Fail",W227=""),"Set Confidence",IF(AND(K227="Unknown",W227&lt;&gt;"Low"),"Unknown must be Low confidence",IF(AND(OR(K227="Backend",K227="SAP"),N227=""),"Add HTTP status + endpoint",IF(AND(OR(K227="Backend",K227="SAP",K227="Network"),P227=""),"Add Correlation ID",IF(AND(I227="Fail",T227=""),"Write Root Cause / evidence gap",IF(AND(I227="Fail",V227=""),"Assign team","OK"))))))))</f>
        <v/>
      </c>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f>IF(I228="","",IF(AND(I228="Fail",K228=""),"Classify Issue Source",IF(AND(I228="Fail",W228=""),"Set Confidence",IF(AND(K228="Unknown",W228&lt;&gt;"Low"),"Unknown must be Low confidence",IF(AND(OR(K228="Backend",K228="SAP"),N228=""),"Add HTTP status + endpoint",IF(AND(OR(K228="Backend",K228="SAP",K228="Network"),P228=""),"Add Correlation ID",IF(AND(I228="Fail",T228=""),"Write Root Cause / evidence gap",IF(AND(I228="Fail",V228=""),"Assign team","OK"))))))))</f>
        <v/>
      </c>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f>IF(I229="","",IF(AND(I229="Fail",K229=""),"Classify Issue Source",IF(AND(I229="Fail",W229=""),"Set Confidence",IF(AND(K229="Unknown",W229&lt;&gt;"Low"),"Unknown must be Low confidence",IF(AND(OR(K229="Backend",K229="SAP"),N229=""),"Add HTTP status + endpoint",IF(AND(OR(K229="Backend",K229="SAP",K229="Network"),P229=""),"Add Correlation ID",IF(AND(I229="Fail",T229=""),"Write Root Cause / evidence gap",IF(AND(I229="Fail",V229=""),"Assign team","OK"))))))))</f>
        <v/>
      </c>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f>IF(I230="","",IF(AND(I230="Fail",K230=""),"Classify Issue Source",IF(AND(I230="Fail",W230=""),"Set Confidence",IF(AND(K230="Unknown",W230&lt;&gt;"Low"),"Unknown must be Low confidence",IF(AND(OR(K230="Backend",K230="SAP"),N230=""),"Add HTTP status + endpoint",IF(AND(OR(K230="Backend",K230="SAP",K230="Network"),P230=""),"Add Correlation ID",IF(AND(I230="Fail",T230=""),"Write Root Cause / evidence gap",IF(AND(I230="Fail",V230=""),"Assign team","OK"))))))))</f>
        <v/>
      </c>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f>IF(I231="","",IF(AND(I231="Fail",K231=""),"Classify Issue Source",IF(AND(I231="Fail",W231=""),"Set Confidence",IF(AND(K231="Unknown",W231&lt;&gt;"Low"),"Unknown must be Low confidence",IF(AND(OR(K231="Backend",K231="SAP"),N231=""),"Add HTTP status + endpoint",IF(AND(OR(K231="Backend",K231="SAP",K231="Network"),P231=""),"Add Correlation ID",IF(AND(I231="Fail",T231=""),"Write Root Cause / evidence gap",IF(AND(I231="Fail",V231=""),"Assign team","OK"))))))))</f>
        <v/>
      </c>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f>IF(I232="","",IF(AND(I232="Fail",K232=""),"Classify Issue Source",IF(AND(I232="Fail",W232=""),"Set Confidence",IF(AND(K232="Unknown",W232&lt;&gt;"Low"),"Unknown must be Low confidence",IF(AND(OR(K232="Backend",K232="SAP"),N232=""),"Add HTTP status + endpoint",IF(AND(OR(K232="Backend",K232="SAP",K232="Network"),P232=""),"Add Correlation ID",IF(AND(I232="Fail",T232=""),"Write Root Cause / evidence gap",IF(AND(I232="Fail",V232=""),"Assign team","OK"))))))))</f>
        <v/>
      </c>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f>IF(I233="","",IF(AND(I233="Fail",K233=""),"Classify Issue Source",IF(AND(I233="Fail",W233=""),"Set Confidence",IF(AND(K233="Unknown",W233&lt;&gt;"Low"),"Unknown must be Low confidence",IF(AND(OR(K233="Backend",K233="SAP"),N233=""),"Add HTTP status + endpoint",IF(AND(OR(K233="Backend",K233="SAP",K233="Network"),P233=""),"Add Correlation ID",IF(AND(I233="Fail",T233=""),"Write Root Cause / evidence gap",IF(AND(I233="Fail",V233=""),"Assign team","OK"))))))))</f>
        <v/>
      </c>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f>IF(I234="","",IF(AND(I234="Fail",K234=""),"Classify Issue Source",IF(AND(I234="Fail",W234=""),"Set Confidence",IF(AND(K234="Unknown",W234&lt;&gt;"Low"),"Unknown must be Low confidence",IF(AND(OR(K234="Backend",K234="SAP"),N234=""),"Add HTTP status + endpoint",IF(AND(OR(K234="Backend",K234="SAP",K234="Network"),P234=""),"Add Correlation ID",IF(AND(I234="Fail",T234=""),"Write Root Cause / evidence gap",IF(AND(I234="Fail",V234=""),"Assign team","OK"))))))))</f>
        <v/>
      </c>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f>IF(I235="","",IF(AND(I235="Fail",K235=""),"Classify Issue Source",IF(AND(I235="Fail",W235=""),"Set Confidence",IF(AND(K235="Unknown",W235&lt;&gt;"Low"),"Unknown must be Low confidence",IF(AND(OR(K235="Backend",K235="SAP"),N235=""),"Add HTTP status + endpoint",IF(AND(OR(K235="Backend",K235="SAP",K235="Network"),P235=""),"Add Correlation ID",IF(AND(I235="Fail",T235=""),"Write Root Cause / evidence gap",IF(AND(I235="Fail",V235=""),"Assign team","OK"))))))))</f>
        <v/>
      </c>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f>IF(I236="","",IF(AND(I236="Fail",K236=""),"Classify Issue Source",IF(AND(I236="Fail",W236=""),"Set Confidence",IF(AND(K236="Unknown",W236&lt;&gt;"Low"),"Unknown must be Low confidence",IF(AND(OR(K236="Backend",K236="SAP"),N236=""),"Add HTTP status + endpoint",IF(AND(OR(K236="Backend",K236="SAP",K236="Network"),P236=""),"Add Correlation ID",IF(AND(I236="Fail",T236=""),"Write Root Cause / evidence gap",IF(AND(I236="Fail",V236=""),"Assign team","OK"))))))))</f>
        <v/>
      </c>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f>IF(I237="","",IF(AND(I237="Fail",K237=""),"Classify Issue Source",IF(AND(I237="Fail",W237=""),"Set Confidence",IF(AND(K237="Unknown",W237&lt;&gt;"Low"),"Unknown must be Low confidence",IF(AND(OR(K237="Backend",K237="SAP"),N237=""),"Add HTTP status + endpoint",IF(AND(OR(K237="Backend",K237="SAP",K237="Network"),P237=""),"Add Correlation ID",IF(AND(I237="Fail",T237=""),"Write Root Cause / evidence gap",IF(AND(I237="Fail",V237=""),"Assign team","OK"))))))))</f>
        <v/>
      </c>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f>IF(I238="","",IF(AND(I238="Fail",K238=""),"Classify Issue Source",IF(AND(I238="Fail",W238=""),"Set Confidence",IF(AND(K238="Unknown",W238&lt;&gt;"Low"),"Unknown must be Low confidence",IF(AND(OR(K238="Backend",K238="SAP"),N238=""),"Add HTTP status + endpoint",IF(AND(OR(K238="Backend",K238="SAP",K238="Network"),P238=""),"Add Correlation ID",IF(AND(I238="Fail",T238=""),"Write Root Cause / evidence gap",IF(AND(I238="Fail",V238=""),"Assign team","OK"))))))))</f>
        <v/>
      </c>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f>IF(I239="","",IF(AND(I239="Fail",K239=""),"Classify Issue Source",IF(AND(I239="Fail",W239=""),"Set Confidence",IF(AND(K239="Unknown",W239&lt;&gt;"Low"),"Unknown must be Low confidence",IF(AND(OR(K239="Backend",K239="SAP"),N239=""),"Add HTTP status + endpoint",IF(AND(OR(K239="Backend",K239="SAP",K239="Network"),P239=""),"Add Correlation ID",IF(AND(I239="Fail",T239=""),"Write Root Cause / evidence gap",IF(AND(I239="Fail",V239=""),"Assign team","OK"))))))))</f>
        <v/>
      </c>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f>IF(I240="","",IF(AND(I240="Fail",K240=""),"Classify Issue Source",IF(AND(I240="Fail",W240=""),"Set Confidence",IF(AND(K240="Unknown",W240&lt;&gt;"Low"),"Unknown must be Low confidence",IF(AND(OR(K240="Backend",K240="SAP"),N240=""),"Add HTTP status + endpoint",IF(AND(OR(K240="Backend",K240="SAP",K240="Network"),P240=""),"Add Correlation ID",IF(AND(I240="Fail",T240=""),"Write Root Cause / evidence gap",IF(AND(I240="Fail",V240=""),"Assign team","OK"))))))))</f>
        <v/>
      </c>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f>IF(I241="","",IF(AND(I241="Fail",K241=""),"Classify Issue Source",IF(AND(I241="Fail",W241=""),"Set Confidence",IF(AND(K241="Unknown",W241&lt;&gt;"Low"),"Unknown must be Low confidence",IF(AND(OR(K241="Backend",K241="SAP"),N241=""),"Add HTTP status + endpoint",IF(AND(OR(K241="Backend",K241="SAP",K241="Network"),P241=""),"Add Correlation ID",IF(AND(I241="Fail",T241=""),"Write Root Cause / evidence gap",IF(AND(I241="Fail",V241=""),"Assign team","OK"))))))))</f>
        <v/>
      </c>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f>IF(I242="","",IF(AND(I242="Fail",K242=""),"Classify Issue Source",IF(AND(I242="Fail",W242=""),"Set Confidence",IF(AND(K242="Unknown",W242&lt;&gt;"Low"),"Unknown must be Low confidence",IF(AND(OR(K242="Backend",K242="SAP"),N242=""),"Add HTTP status + endpoint",IF(AND(OR(K242="Backend",K242="SAP",K242="Network"),P242=""),"Add Correlation ID",IF(AND(I242="Fail",T242=""),"Write Root Cause / evidence gap",IF(AND(I242="Fail",V242=""),"Assign team","OK"))))))))</f>
        <v/>
      </c>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f>IF(I243="","",IF(AND(I243="Fail",K243=""),"Classify Issue Source",IF(AND(I243="Fail",W243=""),"Set Confidence",IF(AND(K243="Unknown",W243&lt;&gt;"Low"),"Unknown must be Low confidence",IF(AND(OR(K243="Backend",K243="SAP"),N243=""),"Add HTTP status + endpoint",IF(AND(OR(K243="Backend",K243="SAP",K243="Network"),P243=""),"Add Correlation ID",IF(AND(I243="Fail",T243=""),"Write Root Cause / evidence gap",IF(AND(I243="Fail",V243=""),"Assign team","OK"))))))))</f>
        <v/>
      </c>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f>IF(I244="","",IF(AND(I244="Fail",K244=""),"Classify Issue Source",IF(AND(I244="Fail",W244=""),"Set Confidence",IF(AND(K244="Unknown",W244&lt;&gt;"Low"),"Unknown must be Low confidence",IF(AND(OR(K244="Backend",K244="SAP"),N244=""),"Add HTTP status + endpoint",IF(AND(OR(K244="Backend",K244="SAP",K244="Network"),P244=""),"Add Correlation ID",IF(AND(I244="Fail",T244=""),"Write Root Cause / evidence gap",IF(AND(I244="Fail",V244=""),"Assign team","OK"))))))))</f>
        <v/>
      </c>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f>IF(I245="","",IF(AND(I245="Fail",K245=""),"Classify Issue Source",IF(AND(I245="Fail",W245=""),"Set Confidence",IF(AND(K245="Unknown",W245&lt;&gt;"Low"),"Unknown must be Low confidence",IF(AND(OR(K245="Backend",K245="SAP"),N245=""),"Add HTTP status + endpoint",IF(AND(OR(K245="Backend",K245="SAP",K245="Network"),P245=""),"Add Correlation ID",IF(AND(I245="Fail",T245=""),"Write Root Cause / evidence gap",IF(AND(I245="Fail",V245=""),"Assign team","OK"))))))))</f>
        <v/>
      </c>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f>IF(I246="","",IF(AND(I246="Fail",K246=""),"Classify Issue Source",IF(AND(I246="Fail",W246=""),"Set Confidence",IF(AND(K246="Unknown",W246&lt;&gt;"Low"),"Unknown must be Low confidence",IF(AND(OR(K246="Backend",K246="SAP"),N246=""),"Add HTTP status + endpoint",IF(AND(OR(K246="Backend",K246="SAP",K246="Network"),P246=""),"Add Correlation ID",IF(AND(I246="Fail",T246=""),"Write Root Cause / evidence gap",IF(AND(I246="Fail",V246=""),"Assign team","OK"))))))))</f>
        <v/>
      </c>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f>IF(I247="","",IF(AND(I247="Fail",K247=""),"Classify Issue Source",IF(AND(I247="Fail",W247=""),"Set Confidence",IF(AND(K247="Unknown",W247&lt;&gt;"Low"),"Unknown must be Low confidence",IF(AND(OR(K247="Backend",K247="SAP"),N247=""),"Add HTTP status + endpoint",IF(AND(OR(K247="Backend",K247="SAP",K247="Network"),P247=""),"Add Correlation ID",IF(AND(I247="Fail",T247=""),"Write Root Cause / evidence gap",IF(AND(I247="Fail",V247=""),"Assign team","OK"))))))))</f>
        <v/>
      </c>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f>IF(I248="","",IF(AND(I248="Fail",K248=""),"Classify Issue Source",IF(AND(I248="Fail",W248=""),"Set Confidence",IF(AND(K248="Unknown",W248&lt;&gt;"Low"),"Unknown must be Low confidence",IF(AND(OR(K248="Backend",K248="SAP"),N248=""),"Add HTTP status + endpoint",IF(AND(OR(K248="Backend",K248="SAP",K248="Network"),P248=""),"Add Correlation ID",IF(AND(I248="Fail",T248=""),"Write Root Cause / evidence gap",IF(AND(I248="Fail",V248=""),"Assign team","OK"))))))))</f>
        <v/>
      </c>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f>IF(I249="","",IF(AND(I249="Fail",K249=""),"Classify Issue Source",IF(AND(I249="Fail",W249=""),"Set Confidence",IF(AND(K249="Unknown",W249&lt;&gt;"Low"),"Unknown must be Low confidence",IF(AND(OR(K249="Backend",K249="SAP"),N249=""),"Add HTTP status + endpoint",IF(AND(OR(K249="Backend",K249="SAP",K249="Network"),P249=""),"Add Correlation ID",IF(AND(I249="Fail",T249=""),"Write Root Cause / evidence gap",IF(AND(I249="Fail",V249=""),"Assign team","OK"))))))))</f>
        <v/>
      </c>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f>IF(I250="","",IF(AND(I250="Fail",K250=""),"Classify Issue Source",IF(AND(I250="Fail",W250=""),"Set Confidence",IF(AND(K250="Unknown",W250&lt;&gt;"Low"),"Unknown must be Low confidence",IF(AND(OR(K250="Backend",K250="SAP"),N250=""),"Add HTTP status + endpoint",IF(AND(OR(K250="Backend",K250="SAP",K250="Network"),P250=""),"Add Correlation ID",IF(AND(I250="Fail",T250=""),"Write Root Cause / evidence gap",IF(AND(I250="Fail",V250=""),"Assign team","OK"))))))))</f>
        <v/>
      </c>
    </row>
    <row r="251">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f>IF(I251="","",IF(AND(I251="Fail",K251=""),"Classify Issue Source",IF(AND(I251="Fail",W251=""),"Set Confidence",IF(AND(K251="Unknown",W251&lt;&gt;"Low"),"Unknown must be Low confidence",IF(AND(OR(K251="Backend",K251="SAP"),N251=""),"Add HTTP status + endpoint",IF(AND(OR(K251="Backend",K251="SAP",K251="Network"),P251=""),"Add Correlation ID",IF(AND(I251="Fail",T251=""),"Write Root Cause / evidence gap",IF(AND(I251="Fail",V251=""),"Assign team","OK"))))))))</f>
        <v/>
      </c>
    </row>
    <row r="252">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f>IF(I252="","",IF(AND(I252="Fail",K252=""),"Classify Issue Source",IF(AND(I252="Fail",W252=""),"Set Confidence",IF(AND(K252="Unknown",W252&lt;&gt;"Low"),"Unknown must be Low confidence",IF(AND(OR(K252="Backend",K252="SAP"),N252=""),"Add HTTP status + endpoint",IF(AND(OR(K252="Backend",K252="SAP",K252="Network"),P252=""),"Add Correlation ID",IF(AND(I252="Fail",T252=""),"Write Root Cause / evidence gap",IF(AND(I252="Fail",V252=""),"Assign team","OK"))))))))</f>
        <v/>
      </c>
    </row>
    <row r="253">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f>IF(I253="","",IF(AND(I253="Fail",K253=""),"Classify Issue Source",IF(AND(I253="Fail",W253=""),"Set Confidence",IF(AND(K253="Unknown",W253&lt;&gt;"Low"),"Unknown must be Low confidence",IF(AND(OR(K253="Backend",K253="SAP"),N253=""),"Add HTTP status + endpoint",IF(AND(OR(K253="Backend",K253="SAP",K253="Network"),P253=""),"Add Correlation ID",IF(AND(I253="Fail",T253=""),"Write Root Cause / evidence gap",IF(AND(I253="Fail",V253=""),"Assign team","OK"))))))))</f>
        <v/>
      </c>
    </row>
    <row r="254">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f>IF(I254="","",IF(AND(I254="Fail",K254=""),"Classify Issue Source",IF(AND(I254="Fail",W254=""),"Set Confidence",IF(AND(K254="Unknown",W254&lt;&gt;"Low"),"Unknown must be Low confidence",IF(AND(OR(K254="Backend",K254="SAP"),N254=""),"Add HTTP status + endpoint",IF(AND(OR(K254="Backend",K254="SAP",K254="Network"),P254=""),"Add Correlation ID",IF(AND(I254="Fail",T254=""),"Write Root Cause / evidence gap",IF(AND(I254="Fail",V254=""),"Assign team","OK"))))))))</f>
        <v/>
      </c>
    </row>
    <row r="255">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f>IF(I255="","",IF(AND(I255="Fail",K255=""),"Classify Issue Source",IF(AND(I255="Fail",W255=""),"Set Confidence",IF(AND(K255="Unknown",W255&lt;&gt;"Low"),"Unknown must be Low confidence",IF(AND(OR(K255="Backend",K255="SAP"),N255=""),"Add HTTP status + endpoint",IF(AND(OR(K255="Backend",K255="SAP",K255="Network"),P255=""),"Add Correlation ID",IF(AND(I255="Fail",T255=""),"Write Root Cause / evidence gap",IF(AND(I255="Fail",V255=""),"Assign team","OK"))))))))</f>
        <v/>
      </c>
    </row>
    <row r="256">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f>IF(I256="","",IF(AND(I256="Fail",K256=""),"Classify Issue Source",IF(AND(I256="Fail",W256=""),"Set Confidence",IF(AND(K256="Unknown",W256&lt;&gt;"Low"),"Unknown must be Low confidence",IF(AND(OR(K256="Backend",K256="SAP"),N256=""),"Add HTTP status + endpoint",IF(AND(OR(K256="Backend",K256="SAP",K256="Network"),P256=""),"Add Correlation ID",IF(AND(I256="Fail",T256=""),"Write Root Cause / evidence gap",IF(AND(I256="Fail",V256=""),"Assign team","OK"))))))))</f>
        <v/>
      </c>
    </row>
    <row r="257">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f>IF(I257="","",IF(AND(I257="Fail",K257=""),"Classify Issue Source",IF(AND(I257="Fail",W257=""),"Set Confidence",IF(AND(K257="Unknown",W257&lt;&gt;"Low"),"Unknown must be Low confidence",IF(AND(OR(K257="Backend",K257="SAP"),N257=""),"Add HTTP status + endpoint",IF(AND(OR(K257="Backend",K257="SAP",K257="Network"),P257=""),"Add Correlation ID",IF(AND(I257="Fail",T257=""),"Write Root Cause / evidence gap",IF(AND(I257="Fail",V257=""),"Assign team","OK"))))))))</f>
        <v/>
      </c>
    </row>
    <row r="258">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f>IF(I258="","",IF(AND(I258="Fail",K258=""),"Classify Issue Source",IF(AND(I258="Fail",W258=""),"Set Confidence",IF(AND(K258="Unknown",W258&lt;&gt;"Low"),"Unknown must be Low confidence",IF(AND(OR(K258="Backend",K258="SAP"),N258=""),"Add HTTP status + endpoint",IF(AND(OR(K258="Backend",K258="SAP",K258="Network"),P258=""),"Add Correlation ID",IF(AND(I258="Fail",T258=""),"Write Root Cause / evidence gap",IF(AND(I258="Fail",V258=""),"Assign team","OK"))))))))</f>
        <v/>
      </c>
    </row>
    <row r="25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f>IF(I259="","",IF(AND(I259="Fail",K259=""),"Classify Issue Source",IF(AND(I259="Fail",W259=""),"Set Confidence",IF(AND(K259="Unknown",W259&lt;&gt;"Low"),"Unknown must be Low confidence",IF(AND(OR(K259="Backend",K259="SAP"),N259=""),"Add HTTP status + endpoint",IF(AND(OR(K259="Backend",K259="SAP",K259="Network"),P259=""),"Add Correlation ID",IF(AND(I259="Fail",T259=""),"Write Root Cause / evidence gap",IF(AND(I259="Fail",V259=""),"Assign team","OK"))))))))</f>
        <v/>
      </c>
    </row>
    <row r="260">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f>IF(I260="","",IF(AND(I260="Fail",K260=""),"Classify Issue Source",IF(AND(I260="Fail",W260=""),"Set Confidence",IF(AND(K260="Unknown",W260&lt;&gt;"Low"),"Unknown must be Low confidence",IF(AND(OR(K260="Backend",K260="SAP"),N260=""),"Add HTTP status + endpoint",IF(AND(OR(K260="Backend",K260="SAP",K260="Network"),P260=""),"Add Correlation ID",IF(AND(I260="Fail",T260=""),"Write Root Cause / evidence gap",IF(AND(I260="Fail",V260=""),"Assign team","OK"))))))))</f>
        <v/>
      </c>
    </row>
    <row r="261">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f>IF(I261="","",IF(AND(I261="Fail",K261=""),"Classify Issue Source",IF(AND(I261="Fail",W261=""),"Set Confidence",IF(AND(K261="Unknown",W261&lt;&gt;"Low"),"Unknown must be Low confidence",IF(AND(OR(K261="Backend",K261="SAP"),N261=""),"Add HTTP status + endpoint",IF(AND(OR(K261="Backend",K261="SAP",K261="Network"),P261=""),"Add Correlation ID",IF(AND(I261="Fail",T261=""),"Write Root Cause / evidence gap",IF(AND(I261="Fail",V261=""),"Assign team","OK"))))))))</f>
        <v/>
      </c>
    </row>
    <row r="262">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f>IF(I262="","",IF(AND(I262="Fail",K262=""),"Classify Issue Source",IF(AND(I262="Fail",W262=""),"Set Confidence",IF(AND(K262="Unknown",W262&lt;&gt;"Low"),"Unknown must be Low confidence",IF(AND(OR(K262="Backend",K262="SAP"),N262=""),"Add HTTP status + endpoint",IF(AND(OR(K262="Backend",K262="SAP",K262="Network"),P262=""),"Add Correlation ID",IF(AND(I262="Fail",T262=""),"Write Root Cause / evidence gap",IF(AND(I262="Fail",V262=""),"Assign team","OK"))))))))</f>
        <v/>
      </c>
    </row>
    <row r="263">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f>IF(I263="","",IF(AND(I263="Fail",K263=""),"Classify Issue Source",IF(AND(I263="Fail",W263=""),"Set Confidence",IF(AND(K263="Unknown",W263&lt;&gt;"Low"),"Unknown must be Low confidence",IF(AND(OR(K263="Backend",K263="SAP"),N263=""),"Add HTTP status + endpoint",IF(AND(OR(K263="Backend",K263="SAP",K263="Network"),P263=""),"Add Correlation ID",IF(AND(I263="Fail",T263=""),"Write Root Cause / evidence gap",IF(AND(I263="Fail",V263=""),"Assign team","OK"))))))))</f>
        <v/>
      </c>
    </row>
    <row r="264">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f>IF(I264="","",IF(AND(I264="Fail",K264=""),"Classify Issue Source",IF(AND(I264="Fail",W264=""),"Set Confidence",IF(AND(K264="Unknown",W264&lt;&gt;"Low"),"Unknown must be Low confidence",IF(AND(OR(K264="Backend",K264="SAP"),N264=""),"Add HTTP status + endpoint",IF(AND(OR(K264="Backend",K264="SAP",K264="Network"),P264=""),"Add Correlation ID",IF(AND(I264="Fail",T264=""),"Write Root Cause / evidence gap",IF(AND(I264="Fail",V264=""),"Assign team","OK"))))))))</f>
        <v/>
      </c>
    </row>
    <row r="265">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f>IF(I265="","",IF(AND(I265="Fail",K265=""),"Classify Issue Source",IF(AND(I265="Fail",W265=""),"Set Confidence",IF(AND(K265="Unknown",W265&lt;&gt;"Low"),"Unknown must be Low confidence",IF(AND(OR(K265="Backend",K265="SAP"),N265=""),"Add HTTP status + endpoint",IF(AND(OR(K265="Backend",K265="SAP",K265="Network"),P265=""),"Add Correlation ID",IF(AND(I265="Fail",T265=""),"Write Root Cause / evidence gap",IF(AND(I265="Fail",V265=""),"Assign team","OK"))))))))</f>
        <v/>
      </c>
    </row>
    <row r="266">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f>IF(I266="","",IF(AND(I266="Fail",K266=""),"Classify Issue Source",IF(AND(I266="Fail",W266=""),"Set Confidence",IF(AND(K266="Unknown",W266&lt;&gt;"Low"),"Unknown must be Low confidence",IF(AND(OR(K266="Backend",K266="SAP"),N266=""),"Add HTTP status + endpoint",IF(AND(OR(K266="Backend",K266="SAP",K266="Network"),P266=""),"Add Correlation ID",IF(AND(I266="Fail",T266=""),"Write Root Cause / evidence gap",IF(AND(I266="Fail",V266=""),"Assign team","OK"))))))))</f>
        <v/>
      </c>
    </row>
    <row r="267">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f>IF(I267="","",IF(AND(I267="Fail",K267=""),"Classify Issue Source",IF(AND(I267="Fail",W267=""),"Set Confidence",IF(AND(K267="Unknown",W267&lt;&gt;"Low"),"Unknown must be Low confidence",IF(AND(OR(K267="Backend",K267="SAP"),N267=""),"Add HTTP status + endpoint",IF(AND(OR(K267="Backend",K267="SAP",K267="Network"),P267=""),"Add Correlation ID",IF(AND(I267="Fail",T267=""),"Write Root Cause / evidence gap",IF(AND(I267="Fail",V267=""),"Assign team","OK"))))))))</f>
        <v/>
      </c>
    </row>
    <row r="268">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f>IF(I268="","",IF(AND(I268="Fail",K268=""),"Classify Issue Source",IF(AND(I268="Fail",W268=""),"Set Confidence",IF(AND(K268="Unknown",W268&lt;&gt;"Low"),"Unknown must be Low confidence",IF(AND(OR(K268="Backend",K268="SAP"),N268=""),"Add HTTP status + endpoint",IF(AND(OR(K268="Backend",K268="SAP",K268="Network"),P268=""),"Add Correlation ID",IF(AND(I268="Fail",T268=""),"Write Root Cause / evidence gap",IF(AND(I268="Fail",V268=""),"Assign team","OK"))))))))</f>
        <v/>
      </c>
    </row>
    <row r="26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f>IF(I269="","",IF(AND(I269="Fail",K269=""),"Classify Issue Source",IF(AND(I269="Fail",W269=""),"Set Confidence",IF(AND(K269="Unknown",W269&lt;&gt;"Low"),"Unknown must be Low confidence",IF(AND(OR(K269="Backend",K269="SAP"),N269=""),"Add HTTP status + endpoint",IF(AND(OR(K269="Backend",K269="SAP",K269="Network"),P269=""),"Add Correlation ID",IF(AND(I269="Fail",T269=""),"Write Root Cause / evidence gap",IF(AND(I269="Fail",V269=""),"Assign team","OK"))))))))</f>
        <v/>
      </c>
    </row>
    <row r="270">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f>IF(I270="","",IF(AND(I270="Fail",K270=""),"Classify Issue Source",IF(AND(I270="Fail",W270=""),"Set Confidence",IF(AND(K270="Unknown",W270&lt;&gt;"Low"),"Unknown must be Low confidence",IF(AND(OR(K270="Backend",K270="SAP"),N270=""),"Add HTTP status + endpoint",IF(AND(OR(K270="Backend",K270="SAP",K270="Network"),P270=""),"Add Correlation ID",IF(AND(I270="Fail",T270=""),"Write Root Cause / evidence gap",IF(AND(I270="Fail",V270=""),"Assign team","OK"))))))))</f>
        <v/>
      </c>
    </row>
    <row r="271">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f>IF(I271="","",IF(AND(I271="Fail",K271=""),"Classify Issue Source",IF(AND(I271="Fail",W271=""),"Set Confidence",IF(AND(K271="Unknown",W271&lt;&gt;"Low"),"Unknown must be Low confidence",IF(AND(OR(K271="Backend",K271="SAP"),N271=""),"Add HTTP status + endpoint",IF(AND(OR(K271="Backend",K271="SAP",K271="Network"),P271=""),"Add Correlation ID",IF(AND(I271="Fail",T271=""),"Write Root Cause / evidence gap",IF(AND(I271="Fail",V271=""),"Assign team","OK"))))))))</f>
        <v/>
      </c>
    </row>
    <row r="272">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f>IF(I272="","",IF(AND(I272="Fail",K272=""),"Classify Issue Source",IF(AND(I272="Fail",W272=""),"Set Confidence",IF(AND(K272="Unknown",W272&lt;&gt;"Low"),"Unknown must be Low confidence",IF(AND(OR(K272="Backend",K272="SAP"),N272=""),"Add HTTP status + endpoint",IF(AND(OR(K272="Backend",K272="SAP",K272="Network"),P272=""),"Add Correlation ID",IF(AND(I272="Fail",T272=""),"Write Root Cause / evidence gap",IF(AND(I272="Fail",V272=""),"Assign team","OK"))))))))</f>
        <v/>
      </c>
    </row>
    <row r="273">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f>IF(I273="","",IF(AND(I273="Fail",K273=""),"Classify Issue Source",IF(AND(I273="Fail",W273=""),"Set Confidence",IF(AND(K273="Unknown",W273&lt;&gt;"Low"),"Unknown must be Low confidence",IF(AND(OR(K273="Backend",K273="SAP"),N273=""),"Add HTTP status + endpoint",IF(AND(OR(K273="Backend",K273="SAP",K273="Network"),P273=""),"Add Correlation ID",IF(AND(I273="Fail",T273=""),"Write Root Cause / evidence gap",IF(AND(I273="Fail",V273=""),"Assign team","OK"))))))))</f>
        <v/>
      </c>
    </row>
    <row r="274">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f>IF(I274="","",IF(AND(I274="Fail",K274=""),"Classify Issue Source",IF(AND(I274="Fail",W274=""),"Set Confidence",IF(AND(K274="Unknown",W274&lt;&gt;"Low"),"Unknown must be Low confidence",IF(AND(OR(K274="Backend",K274="SAP"),N274=""),"Add HTTP status + endpoint",IF(AND(OR(K274="Backend",K274="SAP",K274="Network"),P274=""),"Add Correlation ID",IF(AND(I274="Fail",T274=""),"Write Root Cause / evidence gap",IF(AND(I274="Fail",V274=""),"Assign team","OK"))))))))</f>
        <v/>
      </c>
    </row>
    <row r="275">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f>IF(I275="","",IF(AND(I275="Fail",K275=""),"Classify Issue Source",IF(AND(I275="Fail",W275=""),"Set Confidence",IF(AND(K275="Unknown",W275&lt;&gt;"Low"),"Unknown must be Low confidence",IF(AND(OR(K275="Backend",K275="SAP"),N275=""),"Add HTTP status + endpoint",IF(AND(OR(K275="Backend",K275="SAP",K275="Network"),P275=""),"Add Correlation ID",IF(AND(I275="Fail",T275=""),"Write Root Cause / evidence gap",IF(AND(I275="Fail",V275=""),"Assign team","OK"))))))))</f>
        <v/>
      </c>
    </row>
    <row r="276">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f>IF(I276="","",IF(AND(I276="Fail",K276=""),"Classify Issue Source",IF(AND(I276="Fail",W276=""),"Set Confidence",IF(AND(K276="Unknown",W276&lt;&gt;"Low"),"Unknown must be Low confidence",IF(AND(OR(K276="Backend",K276="SAP"),N276=""),"Add HTTP status + endpoint",IF(AND(OR(K276="Backend",K276="SAP",K276="Network"),P276=""),"Add Correlation ID",IF(AND(I276="Fail",T276=""),"Write Root Cause / evidence gap",IF(AND(I276="Fail",V276=""),"Assign team","OK"))))))))</f>
        <v/>
      </c>
    </row>
    <row r="277">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f>IF(I277="","",IF(AND(I277="Fail",K277=""),"Classify Issue Source",IF(AND(I277="Fail",W277=""),"Set Confidence",IF(AND(K277="Unknown",W277&lt;&gt;"Low"),"Unknown must be Low confidence",IF(AND(OR(K277="Backend",K277="SAP"),N277=""),"Add HTTP status + endpoint",IF(AND(OR(K277="Backend",K277="SAP",K277="Network"),P277=""),"Add Correlation ID",IF(AND(I277="Fail",T277=""),"Write Root Cause / evidence gap",IF(AND(I277="Fail",V277=""),"Assign team","OK"))))))))</f>
        <v/>
      </c>
    </row>
    <row r="278">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f>IF(I278="","",IF(AND(I278="Fail",K278=""),"Classify Issue Source",IF(AND(I278="Fail",W278=""),"Set Confidence",IF(AND(K278="Unknown",W278&lt;&gt;"Low"),"Unknown must be Low confidence",IF(AND(OR(K278="Backend",K278="SAP"),N278=""),"Add HTTP status + endpoint",IF(AND(OR(K278="Backend",K278="SAP",K278="Network"),P278=""),"Add Correlation ID",IF(AND(I278="Fail",T278=""),"Write Root Cause / evidence gap",IF(AND(I278="Fail",V278=""),"Assign team","OK"))))))))</f>
        <v/>
      </c>
    </row>
    <row r="2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f>IF(I279="","",IF(AND(I279="Fail",K279=""),"Classify Issue Source",IF(AND(I279="Fail",W279=""),"Set Confidence",IF(AND(K279="Unknown",W279&lt;&gt;"Low"),"Unknown must be Low confidence",IF(AND(OR(K279="Backend",K279="SAP"),N279=""),"Add HTTP status + endpoint",IF(AND(OR(K279="Backend",K279="SAP",K279="Network"),P279=""),"Add Correlation ID",IF(AND(I279="Fail",T279=""),"Write Root Cause / evidence gap",IF(AND(I279="Fail",V279=""),"Assign team","OK"))))))))</f>
        <v/>
      </c>
    </row>
    <row r="280">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f>IF(I280="","",IF(AND(I280="Fail",K280=""),"Classify Issue Source",IF(AND(I280="Fail",W280=""),"Set Confidence",IF(AND(K280="Unknown",W280&lt;&gt;"Low"),"Unknown must be Low confidence",IF(AND(OR(K280="Backend",K280="SAP"),N280=""),"Add HTTP status + endpoint",IF(AND(OR(K280="Backend",K280="SAP",K280="Network"),P280=""),"Add Correlation ID",IF(AND(I280="Fail",T280=""),"Write Root Cause / evidence gap",IF(AND(I280="Fail",V280=""),"Assign team","OK"))))))))</f>
        <v/>
      </c>
    </row>
    <row r="281">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f>IF(I281="","",IF(AND(I281="Fail",K281=""),"Classify Issue Source",IF(AND(I281="Fail",W281=""),"Set Confidence",IF(AND(K281="Unknown",W281&lt;&gt;"Low"),"Unknown must be Low confidence",IF(AND(OR(K281="Backend",K281="SAP"),N281=""),"Add HTTP status + endpoint",IF(AND(OR(K281="Backend",K281="SAP",K281="Network"),P281=""),"Add Correlation ID",IF(AND(I281="Fail",T281=""),"Write Root Cause / evidence gap",IF(AND(I281="Fail",V281=""),"Assign team","OK"))))))))</f>
        <v/>
      </c>
    </row>
    <row r="282">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f>IF(I282="","",IF(AND(I282="Fail",K282=""),"Classify Issue Source",IF(AND(I282="Fail",W282=""),"Set Confidence",IF(AND(K282="Unknown",W282&lt;&gt;"Low"),"Unknown must be Low confidence",IF(AND(OR(K282="Backend",K282="SAP"),N282=""),"Add HTTP status + endpoint",IF(AND(OR(K282="Backend",K282="SAP",K282="Network"),P282=""),"Add Correlation ID",IF(AND(I282="Fail",T282=""),"Write Root Cause / evidence gap",IF(AND(I282="Fail",V282=""),"Assign team","OK"))))))))</f>
        <v/>
      </c>
    </row>
    <row r="283">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f>IF(I283="","",IF(AND(I283="Fail",K283=""),"Classify Issue Source",IF(AND(I283="Fail",W283=""),"Set Confidence",IF(AND(K283="Unknown",W283&lt;&gt;"Low"),"Unknown must be Low confidence",IF(AND(OR(K283="Backend",K283="SAP"),N283=""),"Add HTTP status + endpoint",IF(AND(OR(K283="Backend",K283="SAP",K283="Network"),P283=""),"Add Correlation ID",IF(AND(I283="Fail",T283=""),"Write Root Cause / evidence gap",IF(AND(I283="Fail",V283=""),"Assign team","OK"))))))))</f>
        <v/>
      </c>
    </row>
    <row r="284">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f>IF(I284="","",IF(AND(I284="Fail",K284=""),"Classify Issue Source",IF(AND(I284="Fail",W284=""),"Set Confidence",IF(AND(K284="Unknown",W284&lt;&gt;"Low"),"Unknown must be Low confidence",IF(AND(OR(K284="Backend",K284="SAP"),N284=""),"Add HTTP status + endpoint",IF(AND(OR(K284="Backend",K284="SAP",K284="Network"),P284=""),"Add Correlation ID",IF(AND(I284="Fail",T284=""),"Write Root Cause / evidence gap",IF(AND(I284="Fail",V284=""),"Assign team","OK"))))))))</f>
        <v/>
      </c>
    </row>
    <row r="285">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f>IF(I285="","",IF(AND(I285="Fail",K285=""),"Classify Issue Source",IF(AND(I285="Fail",W285=""),"Set Confidence",IF(AND(K285="Unknown",W285&lt;&gt;"Low"),"Unknown must be Low confidence",IF(AND(OR(K285="Backend",K285="SAP"),N285=""),"Add HTTP status + endpoint",IF(AND(OR(K285="Backend",K285="SAP",K285="Network"),P285=""),"Add Correlation ID",IF(AND(I285="Fail",T285=""),"Write Root Cause / evidence gap",IF(AND(I285="Fail",V285=""),"Assign team","OK"))))))))</f>
        <v/>
      </c>
    </row>
    <row r="286">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f>IF(I286="","",IF(AND(I286="Fail",K286=""),"Classify Issue Source",IF(AND(I286="Fail",W286=""),"Set Confidence",IF(AND(K286="Unknown",W286&lt;&gt;"Low"),"Unknown must be Low confidence",IF(AND(OR(K286="Backend",K286="SAP"),N286=""),"Add HTTP status + endpoint",IF(AND(OR(K286="Backend",K286="SAP",K286="Network"),P286=""),"Add Correlation ID",IF(AND(I286="Fail",T286=""),"Write Root Cause / evidence gap",IF(AND(I286="Fail",V286=""),"Assign team","OK"))))))))</f>
        <v/>
      </c>
    </row>
    <row r="287">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f>IF(I287="","",IF(AND(I287="Fail",K287=""),"Classify Issue Source",IF(AND(I287="Fail",W287=""),"Set Confidence",IF(AND(K287="Unknown",W287&lt;&gt;"Low"),"Unknown must be Low confidence",IF(AND(OR(K287="Backend",K287="SAP"),N287=""),"Add HTTP status + endpoint",IF(AND(OR(K287="Backend",K287="SAP",K287="Network"),P287=""),"Add Correlation ID",IF(AND(I287="Fail",T287=""),"Write Root Cause / evidence gap",IF(AND(I287="Fail",V287=""),"Assign team","OK"))))))))</f>
        <v/>
      </c>
    </row>
    <row r="288">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f>IF(I288="","",IF(AND(I288="Fail",K288=""),"Classify Issue Source",IF(AND(I288="Fail",W288=""),"Set Confidence",IF(AND(K288="Unknown",W288&lt;&gt;"Low"),"Unknown must be Low confidence",IF(AND(OR(K288="Backend",K288="SAP"),N288=""),"Add HTTP status + endpoint",IF(AND(OR(K288="Backend",K288="SAP",K288="Network"),P288=""),"Add Correlation ID",IF(AND(I288="Fail",T288=""),"Write Root Cause / evidence gap",IF(AND(I288="Fail",V288=""),"Assign team","OK"))))))))</f>
        <v/>
      </c>
    </row>
    <row r="28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f>IF(I289="","",IF(AND(I289="Fail",K289=""),"Classify Issue Source",IF(AND(I289="Fail",W289=""),"Set Confidence",IF(AND(K289="Unknown",W289&lt;&gt;"Low"),"Unknown must be Low confidence",IF(AND(OR(K289="Backend",K289="SAP"),N289=""),"Add HTTP status + endpoint",IF(AND(OR(K289="Backend",K289="SAP",K289="Network"),P289=""),"Add Correlation ID",IF(AND(I289="Fail",T289=""),"Write Root Cause / evidence gap",IF(AND(I289="Fail",V289=""),"Assign team","OK"))))))))</f>
        <v/>
      </c>
    </row>
    <row r="290">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f>IF(I290="","",IF(AND(I290="Fail",K290=""),"Classify Issue Source",IF(AND(I290="Fail",W290=""),"Set Confidence",IF(AND(K290="Unknown",W290&lt;&gt;"Low"),"Unknown must be Low confidence",IF(AND(OR(K290="Backend",K290="SAP"),N290=""),"Add HTTP status + endpoint",IF(AND(OR(K290="Backend",K290="SAP",K290="Network"),P290=""),"Add Correlation ID",IF(AND(I290="Fail",T290=""),"Write Root Cause / evidence gap",IF(AND(I290="Fail",V290=""),"Assign team","OK"))))))))</f>
        <v/>
      </c>
    </row>
    <row r="291">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f>IF(I291="","",IF(AND(I291="Fail",K291=""),"Classify Issue Source",IF(AND(I291="Fail",W291=""),"Set Confidence",IF(AND(K291="Unknown",W291&lt;&gt;"Low"),"Unknown must be Low confidence",IF(AND(OR(K291="Backend",K291="SAP"),N291=""),"Add HTTP status + endpoint",IF(AND(OR(K291="Backend",K291="SAP",K291="Network"),P291=""),"Add Correlation ID",IF(AND(I291="Fail",T291=""),"Write Root Cause / evidence gap",IF(AND(I291="Fail",V291=""),"Assign team","OK"))))))))</f>
        <v/>
      </c>
    </row>
    <row r="292">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f>IF(I292="","",IF(AND(I292="Fail",K292=""),"Classify Issue Source",IF(AND(I292="Fail",W292=""),"Set Confidence",IF(AND(K292="Unknown",W292&lt;&gt;"Low"),"Unknown must be Low confidence",IF(AND(OR(K292="Backend",K292="SAP"),N292=""),"Add HTTP status + endpoint",IF(AND(OR(K292="Backend",K292="SAP",K292="Network"),P292=""),"Add Correlation ID",IF(AND(I292="Fail",T292=""),"Write Root Cause / evidence gap",IF(AND(I292="Fail",V292=""),"Assign team","OK"))))))))</f>
        <v/>
      </c>
    </row>
    <row r="293">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f>IF(I293="","",IF(AND(I293="Fail",K293=""),"Classify Issue Source",IF(AND(I293="Fail",W293=""),"Set Confidence",IF(AND(K293="Unknown",W293&lt;&gt;"Low"),"Unknown must be Low confidence",IF(AND(OR(K293="Backend",K293="SAP"),N293=""),"Add HTTP status + endpoint",IF(AND(OR(K293="Backend",K293="SAP",K293="Network"),P293=""),"Add Correlation ID",IF(AND(I293="Fail",T293=""),"Write Root Cause / evidence gap",IF(AND(I293="Fail",V293=""),"Assign team","OK"))))))))</f>
        <v/>
      </c>
    </row>
    <row r="294">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f>IF(I294="","",IF(AND(I294="Fail",K294=""),"Classify Issue Source",IF(AND(I294="Fail",W294=""),"Set Confidence",IF(AND(K294="Unknown",W294&lt;&gt;"Low"),"Unknown must be Low confidence",IF(AND(OR(K294="Backend",K294="SAP"),N294=""),"Add HTTP status + endpoint",IF(AND(OR(K294="Backend",K294="SAP",K294="Network"),P294=""),"Add Correlation ID",IF(AND(I294="Fail",T294=""),"Write Root Cause / evidence gap",IF(AND(I294="Fail",V294=""),"Assign team","OK"))))))))</f>
        <v/>
      </c>
    </row>
    <row r="295">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f>IF(I295="","",IF(AND(I295="Fail",K295=""),"Classify Issue Source",IF(AND(I295="Fail",W295=""),"Set Confidence",IF(AND(K295="Unknown",W295&lt;&gt;"Low"),"Unknown must be Low confidence",IF(AND(OR(K295="Backend",K295="SAP"),N295=""),"Add HTTP status + endpoint",IF(AND(OR(K295="Backend",K295="SAP",K295="Network"),P295=""),"Add Correlation ID",IF(AND(I295="Fail",T295=""),"Write Root Cause / evidence gap",IF(AND(I295="Fail",V295=""),"Assign team","OK"))))))))</f>
        <v/>
      </c>
    </row>
    <row r="296">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f>IF(I296="","",IF(AND(I296="Fail",K296=""),"Classify Issue Source",IF(AND(I296="Fail",W296=""),"Set Confidence",IF(AND(K296="Unknown",W296&lt;&gt;"Low"),"Unknown must be Low confidence",IF(AND(OR(K296="Backend",K296="SAP"),N296=""),"Add HTTP status + endpoint",IF(AND(OR(K296="Backend",K296="SAP",K296="Network"),P296=""),"Add Correlation ID",IF(AND(I296="Fail",T296=""),"Write Root Cause / evidence gap",IF(AND(I296="Fail",V296=""),"Assign team","OK"))))))))</f>
        <v/>
      </c>
    </row>
    <row r="297">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f>IF(I297="","",IF(AND(I297="Fail",K297=""),"Classify Issue Source",IF(AND(I297="Fail",W297=""),"Set Confidence",IF(AND(K297="Unknown",W297&lt;&gt;"Low"),"Unknown must be Low confidence",IF(AND(OR(K297="Backend",K297="SAP"),N297=""),"Add HTTP status + endpoint",IF(AND(OR(K297="Backend",K297="SAP",K297="Network"),P297=""),"Add Correlation ID",IF(AND(I297="Fail",T297=""),"Write Root Cause / evidence gap",IF(AND(I297="Fail",V297=""),"Assign team","OK"))))))))</f>
        <v/>
      </c>
    </row>
    <row r="298">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f>IF(I298="","",IF(AND(I298="Fail",K298=""),"Classify Issue Source",IF(AND(I298="Fail",W298=""),"Set Confidence",IF(AND(K298="Unknown",W298&lt;&gt;"Low"),"Unknown must be Low confidence",IF(AND(OR(K298="Backend",K298="SAP"),N298=""),"Add HTTP status + endpoint",IF(AND(OR(K298="Backend",K298="SAP",K298="Network"),P298=""),"Add Correlation ID",IF(AND(I298="Fail",T298=""),"Write Root Cause / evidence gap",IF(AND(I298="Fail",V298=""),"Assign team","OK"))))))))</f>
        <v/>
      </c>
    </row>
    <row r="299">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f>IF(I299="","",IF(AND(I299="Fail",K299=""),"Classify Issue Source",IF(AND(I299="Fail",W299=""),"Set Confidence",IF(AND(K299="Unknown",W299&lt;&gt;"Low"),"Unknown must be Low confidence",IF(AND(OR(K299="Backend",K299="SAP"),N299=""),"Add HTTP status + endpoint",IF(AND(OR(K299="Backend",K299="SAP",K299="Network"),P299=""),"Add Correlation ID",IF(AND(I299="Fail",T299=""),"Write Root Cause / evidence gap",IF(AND(I299="Fail",V299=""),"Assign team","OK"))))))))</f>
        <v/>
      </c>
    </row>
    <row r="300">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f>IF(I300="","",IF(AND(I300="Fail",K300=""),"Classify Issue Source",IF(AND(I300="Fail",W300=""),"Set Confidence",IF(AND(K300="Unknown",W300&lt;&gt;"Low"),"Unknown must be Low confidence",IF(AND(OR(K300="Backend",K300="SAP"),N300=""),"Add HTTP status + endpoint",IF(AND(OR(K300="Backend",K300="SAP",K300="Network"),P300=""),"Add Correlation ID",IF(AND(I300="Fail",T300=""),"Write Root Cause / evidence gap",IF(AND(I300="Fail",V300=""),"Assign team","OK"))))))))</f>
        <v/>
      </c>
    </row>
    <row r="301">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f>IF(I301="","",IF(AND(I301="Fail",K301=""),"Classify Issue Source",IF(AND(I301="Fail",W301=""),"Set Confidence",IF(AND(K301="Unknown",W301&lt;&gt;"Low"),"Unknown must be Low confidence",IF(AND(OR(K301="Backend",K301="SAP"),N301=""),"Add HTTP status + endpoint",IF(AND(OR(K301="Backend",K301="SAP",K301="Network"),P301=""),"Add Correlation ID",IF(AND(I301="Fail",T301=""),"Write Root Cause / evidence gap",IF(AND(I301="Fail",V301=""),"Assign team","OK"))))))))</f>
        <v/>
      </c>
    </row>
    <row r="302">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f>IF(I302="","",IF(AND(I302="Fail",K302=""),"Classify Issue Source",IF(AND(I302="Fail",W302=""),"Set Confidence",IF(AND(K302="Unknown",W302&lt;&gt;"Low"),"Unknown must be Low confidence",IF(AND(OR(K302="Backend",K302="SAP"),N302=""),"Add HTTP status + endpoint",IF(AND(OR(K302="Backend",K302="SAP",K302="Network"),P302=""),"Add Correlation ID",IF(AND(I302="Fail",T302=""),"Write Root Cause / evidence gap",IF(AND(I302="Fail",V302=""),"Assign team","OK"))))))))</f>
        <v/>
      </c>
    </row>
    <row r="303">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f>IF(I303="","",IF(AND(I303="Fail",K303=""),"Classify Issue Source",IF(AND(I303="Fail",W303=""),"Set Confidence",IF(AND(K303="Unknown",W303&lt;&gt;"Low"),"Unknown must be Low confidence",IF(AND(OR(K303="Backend",K303="SAP"),N303=""),"Add HTTP status + endpoint",IF(AND(OR(K303="Backend",K303="SAP",K303="Network"),P303=""),"Add Correlation ID",IF(AND(I303="Fail",T303=""),"Write Root Cause / evidence gap",IF(AND(I303="Fail",V303=""),"Assign team","OK"))))))))</f>
        <v/>
      </c>
    </row>
    <row r="304">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f>IF(I304="","",IF(AND(I304="Fail",K304=""),"Classify Issue Source",IF(AND(I304="Fail",W304=""),"Set Confidence",IF(AND(K304="Unknown",W304&lt;&gt;"Low"),"Unknown must be Low confidence",IF(AND(OR(K304="Backend",K304="SAP"),N304=""),"Add HTTP status + endpoint",IF(AND(OR(K304="Backend",K304="SAP",K304="Network"),P304=""),"Add Correlation ID",IF(AND(I304="Fail",T304=""),"Write Root Cause / evidence gap",IF(AND(I304="Fail",V304=""),"Assign team","OK"))))))))</f>
        <v/>
      </c>
    </row>
    <row r="305">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f>IF(I305="","",IF(AND(I305="Fail",K305=""),"Classify Issue Source",IF(AND(I305="Fail",W305=""),"Set Confidence",IF(AND(K305="Unknown",W305&lt;&gt;"Low"),"Unknown must be Low confidence",IF(AND(OR(K305="Backend",K305="SAP"),N305=""),"Add HTTP status + endpoint",IF(AND(OR(K305="Backend",K305="SAP",K305="Network"),P305=""),"Add Correlation ID",IF(AND(I305="Fail",T305=""),"Write Root Cause / evidence gap",IF(AND(I305="Fail",V305=""),"Assign team","OK"))))))))</f>
        <v/>
      </c>
    </row>
    <row r="306">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f>IF(I306="","",IF(AND(I306="Fail",K306=""),"Classify Issue Source",IF(AND(I306="Fail",W306=""),"Set Confidence",IF(AND(K306="Unknown",W306&lt;&gt;"Low"),"Unknown must be Low confidence",IF(AND(OR(K306="Backend",K306="SAP"),N306=""),"Add HTTP status + endpoint",IF(AND(OR(K306="Backend",K306="SAP",K306="Network"),P306=""),"Add Correlation ID",IF(AND(I306="Fail",T306=""),"Write Root Cause / evidence gap",IF(AND(I306="Fail",V306=""),"Assign team","OK"))))))))</f>
        <v/>
      </c>
    </row>
    <row r="307">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f>IF(I307="","",IF(AND(I307="Fail",K307=""),"Classify Issue Source",IF(AND(I307="Fail",W307=""),"Set Confidence",IF(AND(K307="Unknown",W307&lt;&gt;"Low"),"Unknown must be Low confidence",IF(AND(OR(K307="Backend",K307="SAP"),N307=""),"Add HTTP status + endpoint",IF(AND(OR(K307="Backend",K307="SAP",K307="Network"),P307=""),"Add Correlation ID",IF(AND(I307="Fail",T307=""),"Write Root Cause / evidence gap",IF(AND(I307="Fail",V307=""),"Assign team","OK"))))))))</f>
        <v/>
      </c>
    </row>
    <row r="308">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f>IF(I308="","",IF(AND(I308="Fail",K308=""),"Classify Issue Source",IF(AND(I308="Fail",W308=""),"Set Confidence",IF(AND(K308="Unknown",W308&lt;&gt;"Low"),"Unknown must be Low confidence",IF(AND(OR(K308="Backend",K308="SAP"),N308=""),"Add HTTP status + endpoint",IF(AND(OR(K308="Backend",K308="SAP",K308="Network"),P308=""),"Add Correlation ID",IF(AND(I308="Fail",T308=""),"Write Root Cause / evidence gap",IF(AND(I308="Fail",V308=""),"Assign team","OK"))))))))</f>
        <v/>
      </c>
    </row>
    <row r="309">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f>IF(I309="","",IF(AND(I309="Fail",K309=""),"Classify Issue Source",IF(AND(I309="Fail",W309=""),"Set Confidence",IF(AND(K309="Unknown",W309&lt;&gt;"Low"),"Unknown must be Low confidence",IF(AND(OR(K309="Backend",K309="SAP"),N309=""),"Add HTTP status + endpoint",IF(AND(OR(K309="Backend",K309="SAP",K309="Network"),P309=""),"Add Correlation ID",IF(AND(I309="Fail",T309=""),"Write Root Cause / evidence gap",IF(AND(I309="Fail",V309=""),"Assign team","OK"))))))))</f>
        <v/>
      </c>
    </row>
    <row r="310">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f>IF(I310="","",IF(AND(I310="Fail",K310=""),"Classify Issue Source",IF(AND(I310="Fail",W310=""),"Set Confidence",IF(AND(K310="Unknown",W310&lt;&gt;"Low"),"Unknown must be Low confidence",IF(AND(OR(K310="Backend",K310="SAP"),N310=""),"Add HTTP status + endpoint",IF(AND(OR(K310="Backend",K310="SAP",K310="Network"),P310=""),"Add Correlation ID",IF(AND(I310="Fail",T310=""),"Write Root Cause / evidence gap",IF(AND(I310="Fail",V310=""),"Assign team","OK"))))))))</f>
        <v/>
      </c>
    </row>
    <row r="311">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f>IF(I311="","",IF(AND(I311="Fail",K311=""),"Classify Issue Source",IF(AND(I311="Fail",W311=""),"Set Confidence",IF(AND(K311="Unknown",W311&lt;&gt;"Low"),"Unknown must be Low confidence",IF(AND(OR(K311="Backend",K311="SAP"),N311=""),"Add HTTP status + endpoint",IF(AND(OR(K311="Backend",K311="SAP",K311="Network"),P311=""),"Add Correlation ID",IF(AND(I311="Fail",T311=""),"Write Root Cause / evidence gap",IF(AND(I311="Fail",V311=""),"Assign team","OK"))))))))</f>
        <v/>
      </c>
    </row>
    <row r="312">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f>IF(I312="","",IF(AND(I312="Fail",K312=""),"Classify Issue Source",IF(AND(I312="Fail",W312=""),"Set Confidence",IF(AND(K312="Unknown",W312&lt;&gt;"Low"),"Unknown must be Low confidence",IF(AND(OR(K312="Backend",K312="SAP"),N312=""),"Add HTTP status + endpoint",IF(AND(OR(K312="Backend",K312="SAP",K312="Network"),P312=""),"Add Correlation ID",IF(AND(I312="Fail",T312=""),"Write Root Cause / evidence gap",IF(AND(I312="Fail",V312=""),"Assign team","OK"))))))))</f>
        <v/>
      </c>
    </row>
    <row r="313">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f>IF(I313="","",IF(AND(I313="Fail",K313=""),"Classify Issue Source",IF(AND(I313="Fail",W313=""),"Set Confidence",IF(AND(K313="Unknown",W313&lt;&gt;"Low"),"Unknown must be Low confidence",IF(AND(OR(K313="Backend",K313="SAP"),N313=""),"Add HTTP status + endpoint",IF(AND(OR(K313="Backend",K313="SAP",K313="Network"),P313=""),"Add Correlation ID",IF(AND(I313="Fail",T313=""),"Write Root Cause / evidence gap",IF(AND(I313="Fail",V313=""),"Assign team","OK"))))))))</f>
        <v/>
      </c>
    </row>
    <row r="314">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f>IF(I314="","",IF(AND(I314="Fail",K314=""),"Classify Issue Source",IF(AND(I314="Fail",W314=""),"Set Confidence",IF(AND(K314="Unknown",W314&lt;&gt;"Low"),"Unknown must be Low confidence",IF(AND(OR(K314="Backend",K314="SAP"),N314=""),"Add HTTP status + endpoint",IF(AND(OR(K314="Backend",K314="SAP",K314="Network"),P314=""),"Add Correlation ID",IF(AND(I314="Fail",T314=""),"Write Root Cause / evidence gap",IF(AND(I314="Fail",V314=""),"Assign team","OK"))))))))</f>
        <v/>
      </c>
    </row>
    <row r="315">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f>IF(I315="","",IF(AND(I315="Fail",K315=""),"Classify Issue Source",IF(AND(I315="Fail",W315=""),"Set Confidence",IF(AND(K315="Unknown",W315&lt;&gt;"Low"),"Unknown must be Low confidence",IF(AND(OR(K315="Backend",K315="SAP"),N315=""),"Add HTTP status + endpoint",IF(AND(OR(K315="Backend",K315="SAP",K315="Network"),P315=""),"Add Correlation ID",IF(AND(I315="Fail",T315=""),"Write Root Cause / evidence gap",IF(AND(I315="Fail",V315=""),"Assign team","OK"))))))))</f>
        <v/>
      </c>
    </row>
    <row r="316">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f>IF(I316="","",IF(AND(I316="Fail",K316=""),"Classify Issue Source",IF(AND(I316="Fail",W316=""),"Set Confidence",IF(AND(K316="Unknown",W316&lt;&gt;"Low"),"Unknown must be Low confidence",IF(AND(OR(K316="Backend",K316="SAP"),N316=""),"Add HTTP status + endpoint",IF(AND(OR(K316="Backend",K316="SAP",K316="Network"),P316=""),"Add Correlation ID",IF(AND(I316="Fail",T316=""),"Write Root Cause / evidence gap",IF(AND(I316="Fail",V316=""),"Assign team","OK"))))))))</f>
        <v/>
      </c>
    </row>
    <row r="317">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f>IF(I317="","",IF(AND(I317="Fail",K317=""),"Classify Issue Source",IF(AND(I317="Fail",W317=""),"Set Confidence",IF(AND(K317="Unknown",W317&lt;&gt;"Low"),"Unknown must be Low confidence",IF(AND(OR(K317="Backend",K317="SAP"),N317=""),"Add HTTP status + endpoint",IF(AND(OR(K317="Backend",K317="SAP",K317="Network"),P317=""),"Add Correlation ID",IF(AND(I317="Fail",T317=""),"Write Root Cause / evidence gap",IF(AND(I317="Fail",V317=""),"Assign team","OK"))))))))</f>
        <v/>
      </c>
    </row>
    <row r="318">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f>IF(I318="","",IF(AND(I318="Fail",K318=""),"Classify Issue Source",IF(AND(I318="Fail",W318=""),"Set Confidence",IF(AND(K318="Unknown",W318&lt;&gt;"Low"),"Unknown must be Low confidence",IF(AND(OR(K318="Backend",K318="SAP"),N318=""),"Add HTTP status + endpoint",IF(AND(OR(K318="Backend",K318="SAP",K318="Network"),P318=""),"Add Correlation ID",IF(AND(I318="Fail",T318=""),"Write Root Cause / evidence gap",IF(AND(I318="Fail",V318=""),"Assign team","OK"))))))))</f>
        <v/>
      </c>
    </row>
    <row r="319">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f>IF(I319="","",IF(AND(I319="Fail",K319=""),"Classify Issue Source",IF(AND(I319="Fail",W319=""),"Set Confidence",IF(AND(K319="Unknown",W319&lt;&gt;"Low"),"Unknown must be Low confidence",IF(AND(OR(K319="Backend",K319="SAP"),N319=""),"Add HTTP status + endpoint",IF(AND(OR(K319="Backend",K319="SAP",K319="Network"),P319=""),"Add Correlation ID",IF(AND(I319="Fail",T319=""),"Write Root Cause / evidence gap",IF(AND(I319="Fail",V319=""),"Assign team","OK"))))))))</f>
        <v/>
      </c>
    </row>
    <row r="320">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f>IF(I320="","",IF(AND(I320="Fail",K320=""),"Classify Issue Source",IF(AND(I320="Fail",W320=""),"Set Confidence",IF(AND(K320="Unknown",W320&lt;&gt;"Low"),"Unknown must be Low confidence",IF(AND(OR(K320="Backend",K320="SAP"),N320=""),"Add HTTP status + endpoint",IF(AND(OR(K320="Backend",K320="SAP",K320="Network"),P320=""),"Add Correlation ID",IF(AND(I320="Fail",T320=""),"Write Root Cause / evidence gap",IF(AND(I320="Fail",V320=""),"Assign team","OK"))))))))</f>
        <v/>
      </c>
    </row>
    <row r="321">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f>IF(I321="","",IF(AND(I321="Fail",K321=""),"Classify Issue Source",IF(AND(I321="Fail",W321=""),"Set Confidence",IF(AND(K321="Unknown",W321&lt;&gt;"Low"),"Unknown must be Low confidence",IF(AND(OR(K321="Backend",K321="SAP"),N321=""),"Add HTTP status + endpoint",IF(AND(OR(K321="Backend",K321="SAP",K321="Network"),P321=""),"Add Correlation ID",IF(AND(I321="Fail",T321=""),"Write Root Cause / evidence gap",IF(AND(I321="Fail",V321=""),"Assign team","OK"))))))))</f>
        <v/>
      </c>
    </row>
    <row r="322">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f>IF(I322="","",IF(AND(I322="Fail",K322=""),"Classify Issue Source",IF(AND(I322="Fail",W322=""),"Set Confidence",IF(AND(K322="Unknown",W322&lt;&gt;"Low"),"Unknown must be Low confidence",IF(AND(OR(K322="Backend",K322="SAP"),N322=""),"Add HTTP status + endpoint",IF(AND(OR(K322="Backend",K322="SAP",K322="Network"),P322=""),"Add Correlation ID",IF(AND(I322="Fail",T322=""),"Write Root Cause / evidence gap",IF(AND(I322="Fail",V322=""),"Assign team","OK"))))))))</f>
        <v/>
      </c>
    </row>
    <row r="323">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f>IF(I323="","",IF(AND(I323="Fail",K323=""),"Classify Issue Source",IF(AND(I323="Fail",W323=""),"Set Confidence",IF(AND(K323="Unknown",W323&lt;&gt;"Low"),"Unknown must be Low confidence",IF(AND(OR(K323="Backend",K323="SAP"),N323=""),"Add HTTP status + endpoint",IF(AND(OR(K323="Backend",K323="SAP",K323="Network"),P323=""),"Add Correlation ID",IF(AND(I323="Fail",T323=""),"Write Root Cause / evidence gap",IF(AND(I323="Fail",V323=""),"Assign team","OK"))))))))</f>
        <v/>
      </c>
    </row>
    <row r="324">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f>IF(I324="","",IF(AND(I324="Fail",K324=""),"Classify Issue Source",IF(AND(I324="Fail",W324=""),"Set Confidence",IF(AND(K324="Unknown",W324&lt;&gt;"Low"),"Unknown must be Low confidence",IF(AND(OR(K324="Backend",K324="SAP"),N324=""),"Add HTTP status + endpoint",IF(AND(OR(K324="Backend",K324="SAP",K324="Network"),P324=""),"Add Correlation ID",IF(AND(I324="Fail",T324=""),"Write Root Cause / evidence gap",IF(AND(I324="Fail",V324=""),"Assign team","OK"))))))))</f>
        <v/>
      </c>
    </row>
    <row r="325">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f>IF(I325="","",IF(AND(I325="Fail",K325=""),"Classify Issue Source",IF(AND(I325="Fail",W325=""),"Set Confidence",IF(AND(K325="Unknown",W325&lt;&gt;"Low"),"Unknown must be Low confidence",IF(AND(OR(K325="Backend",K325="SAP"),N325=""),"Add HTTP status + endpoint",IF(AND(OR(K325="Backend",K325="SAP",K325="Network"),P325=""),"Add Correlation ID",IF(AND(I325="Fail",T325=""),"Write Root Cause / evidence gap",IF(AND(I325="Fail",V325=""),"Assign team","OK"))))))))</f>
        <v/>
      </c>
    </row>
    <row r="326">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f>IF(I326="","",IF(AND(I326="Fail",K326=""),"Classify Issue Source",IF(AND(I326="Fail",W326=""),"Set Confidence",IF(AND(K326="Unknown",W326&lt;&gt;"Low"),"Unknown must be Low confidence",IF(AND(OR(K326="Backend",K326="SAP"),N326=""),"Add HTTP status + endpoint",IF(AND(OR(K326="Backend",K326="SAP",K326="Network"),P326=""),"Add Correlation ID",IF(AND(I326="Fail",T326=""),"Write Root Cause / evidence gap",IF(AND(I326="Fail",V326=""),"Assign team","OK"))))))))</f>
        <v/>
      </c>
    </row>
    <row r="327">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f>IF(I327="","",IF(AND(I327="Fail",K327=""),"Classify Issue Source",IF(AND(I327="Fail",W327=""),"Set Confidence",IF(AND(K327="Unknown",W327&lt;&gt;"Low"),"Unknown must be Low confidence",IF(AND(OR(K327="Backend",K327="SAP"),N327=""),"Add HTTP status + endpoint",IF(AND(OR(K327="Backend",K327="SAP",K327="Network"),P327=""),"Add Correlation ID",IF(AND(I327="Fail",T327=""),"Write Root Cause / evidence gap",IF(AND(I327="Fail",V327=""),"Assign team","OK"))))))))</f>
        <v/>
      </c>
    </row>
    <row r="328">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f>IF(I328="","",IF(AND(I328="Fail",K328=""),"Classify Issue Source",IF(AND(I328="Fail",W328=""),"Set Confidence",IF(AND(K328="Unknown",W328&lt;&gt;"Low"),"Unknown must be Low confidence",IF(AND(OR(K328="Backend",K328="SAP"),N328=""),"Add HTTP status + endpoint",IF(AND(OR(K328="Backend",K328="SAP",K328="Network"),P328=""),"Add Correlation ID",IF(AND(I328="Fail",T328=""),"Write Root Cause / evidence gap",IF(AND(I328="Fail",V328=""),"Assign team","OK"))))))))</f>
        <v/>
      </c>
    </row>
    <row r="32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f>IF(I329="","",IF(AND(I329="Fail",K329=""),"Classify Issue Source",IF(AND(I329="Fail",W329=""),"Set Confidence",IF(AND(K329="Unknown",W329&lt;&gt;"Low"),"Unknown must be Low confidence",IF(AND(OR(K329="Backend",K329="SAP"),N329=""),"Add HTTP status + endpoint",IF(AND(OR(K329="Backend",K329="SAP",K329="Network"),P329=""),"Add Correlation ID",IF(AND(I329="Fail",T329=""),"Write Root Cause / evidence gap",IF(AND(I329="Fail",V329=""),"Assign team","OK"))))))))</f>
        <v/>
      </c>
    </row>
    <row r="330">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f>IF(I330="","",IF(AND(I330="Fail",K330=""),"Classify Issue Source",IF(AND(I330="Fail",W330=""),"Set Confidence",IF(AND(K330="Unknown",W330&lt;&gt;"Low"),"Unknown must be Low confidence",IF(AND(OR(K330="Backend",K330="SAP"),N330=""),"Add HTTP status + endpoint",IF(AND(OR(K330="Backend",K330="SAP",K330="Network"),P330=""),"Add Correlation ID",IF(AND(I330="Fail",T330=""),"Write Root Cause / evidence gap",IF(AND(I330="Fail",V330=""),"Assign team","OK"))))))))</f>
        <v/>
      </c>
    </row>
    <row r="331">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f>IF(I331="","",IF(AND(I331="Fail",K331=""),"Classify Issue Source",IF(AND(I331="Fail",W331=""),"Set Confidence",IF(AND(K331="Unknown",W331&lt;&gt;"Low"),"Unknown must be Low confidence",IF(AND(OR(K331="Backend",K331="SAP"),N331=""),"Add HTTP status + endpoint",IF(AND(OR(K331="Backend",K331="SAP",K331="Network"),P331=""),"Add Correlation ID",IF(AND(I331="Fail",T331=""),"Write Root Cause / evidence gap",IF(AND(I331="Fail",V331=""),"Assign team","OK"))))))))</f>
        <v/>
      </c>
    </row>
    <row r="332">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f>IF(I332="","",IF(AND(I332="Fail",K332=""),"Classify Issue Source",IF(AND(I332="Fail",W332=""),"Set Confidence",IF(AND(K332="Unknown",W332&lt;&gt;"Low"),"Unknown must be Low confidence",IF(AND(OR(K332="Backend",K332="SAP"),N332=""),"Add HTTP status + endpoint",IF(AND(OR(K332="Backend",K332="SAP",K332="Network"),P332=""),"Add Correlation ID",IF(AND(I332="Fail",T332=""),"Write Root Cause / evidence gap",IF(AND(I332="Fail",V332=""),"Assign team","OK"))))))))</f>
        <v/>
      </c>
    </row>
    <row r="333">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f>IF(I333="","",IF(AND(I333="Fail",K333=""),"Classify Issue Source",IF(AND(I333="Fail",W333=""),"Set Confidence",IF(AND(K333="Unknown",W333&lt;&gt;"Low"),"Unknown must be Low confidence",IF(AND(OR(K333="Backend",K333="SAP"),N333=""),"Add HTTP status + endpoint",IF(AND(OR(K333="Backend",K333="SAP",K333="Network"),P333=""),"Add Correlation ID",IF(AND(I333="Fail",T333=""),"Write Root Cause / evidence gap",IF(AND(I333="Fail",V333=""),"Assign team","OK"))))))))</f>
        <v/>
      </c>
    </row>
    <row r="334">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f>IF(I334="","",IF(AND(I334="Fail",K334=""),"Classify Issue Source",IF(AND(I334="Fail",W334=""),"Set Confidence",IF(AND(K334="Unknown",W334&lt;&gt;"Low"),"Unknown must be Low confidence",IF(AND(OR(K334="Backend",K334="SAP"),N334=""),"Add HTTP status + endpoint",IF(AND(OR(K334="Backend",K334="SAP",K334="Network"),P334=""),"Add Correlation ID",IF(AND(I334="Fail",T334=""),"Write Root Cause / evidence gap",IF(AND(I334="Fail",V334=""),"Assign team","OK"))))))))</f>
        <v/>
      </c>
    </row>
    <row r="335">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f>IF(I335="","",IF(AND(I335="Fail",K335=""),"Classify Issue Source",IF(AND(I335="Fail",W335=""),"Set Confidence",IF(AND(K335="Unknown",W335&lt;&gt;"Low"),"Unknown must be Low confidence",IF(AND(OR(K335="Backend",K335="SAP"),N335=""),"Add HTTP status + endpoint",IF(AND(OR(K335="Backend",K335="SAP",K335="Network"),P335=""),"Add Correlation ID",IF(AND(I335="Fail",T335=""),"Write Root Cause / evidence gap",IF(AND(I335="Fail",V335=""),"Assign team","OK"))))))))</f>
        <v/>
      </c>
    </row>
    <row r="336">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f>IF(I336="","",IF(AND(I336="Fail",K336=""),"Classify Issue Source",IF(AND(I336="Fail",W336=""),"Set Confidence",IF(AND(K336="Unknown",W336&lt;&gt;"Low"),"Unknown must be Low confidence",IF(AND(OR(K336="Backend",K336="SAP"),N336=""),"Add HTTP status + endpoint",IF(AND(OR(K336="Backend",K336="SAP",K336="Network"),P336=""),"Add Correlation ID",IF(AND(I336="Fail",T336=""),"Write Root Cause / evidence gap",IF(AND(I336="Fail",V336=""),"Assign team","OK"))))))))</f>
        <v/>
      </c>
    </row>
    <row r="337">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f>IF(I337="","",IF(AND(I337="Fail",K337=""),"Classify Issue Source",IF(AND(I337="Fail",W337=""),"Set Confidence",IF(AND(K337="Unknown",W337&lt;&gt;"Low"),"Unknown must be Low confidence",IF(AND(OR(K337="Backend",K337="SAP"),N337=""),"Add HTTP status + endpoint",IF(AND(OR(K337="Backend",K337="SAP",K337="Network"),P337=""),"Add Correlation ID",IF(AND(I337="Fail",T337=""),"Write Root Cause / evidence gap",IF(AND(I337="Fail",V337=""),"Assign team","OK"))))))))</f>
        <v/>
      </c>
    </row>
    <row r="338">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f>IF(I338="","",IF(AND(I338="Fail",K338=""),"Classify Issue Source",IF(AND(I338="Fail",W338=""),"Set Confidence",IF(AND(K338="Unknown",W338&lt;&gt;"Low"),"Unknown must be Low confidence",IF(AND(OR(K338="Backend",K338="SAP"),N338=""),"Add HTTP status + endpoint",IF(AND(OR(K338="Backend",K338="SAP",K338="Network"),P338=""),"Add Correlation ID",IF(AND(I338="Fail",T338=""),"Write Root Cause / evidence gap",IF(AND(I338="Fail",V338=""),"Assign team","OK"))))))))</f>
        <v/>
      </c>
    </row>
    <row r="33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f>IF(I339="","",IF(AND(I339="Fail",K339=""),"Classify Issue Source",IF(AND(I339="Fail",W339=""),"Set Confidence",IF(AND(K339="Unknown",W339&lt;&gt;"Low"),"Unknown must be Low confidence",IF(AND(OR(K339="Backend",K339="SAP"),N339=""),"Add HTTP status + endpoint",IF(AND(OR(K339="Backend",K339="SAP",K339="Network"),P339=""),"Add Correlation ID",IF(AND(I339="Fail",T339=""),"Write Root Cause / evidence gap",IF(AND(I339="Fail",V339=""),"Assign team","OK"))))))))</f>
        <v/>
      </c>
    </row>
    <row r="340">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f>IF(I340="","",IF(AND(I340="Fail",K340=""),"Classify Issue Source",IF(AND(I340="Fail",W340=""),"Set Confidence",IF(AND(K340="Unknown",W340&lt;&gt;"Low"),"Unknown must be Low confidence",IF(AND(OR(K340="Backend",K340="SAP"),N340=""),"Add HTTP status + endpoint",IF(AND(OR(K340="Backend",K340="SAP",K340="Network"),P340=""),"Add Correlation ID",IF(AND(I340="Fail",T340=""),"Write Root Cause / evidence gap",IF(AND(I340="Fail",V340=""),"Assign team","OK"))))))))</f>
        <v/>
      </c>
    </row>
    <row r="341">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f>IF(I341="","",IF(AND(I341="Fail",K341=""),"Classify Issue Source",IF(AND(I341="Fail",W341=""),"Set Confidence",IF(AND(K341="Unknown",W341&lt;&gt;"Low"),"Unknown must be Low confidence",IF(AND(OR(K341="Backend",K341="SAP"),N341=""),"Add HTTP status + endpoint",IF(AND(OR(K341="Backend",K341="SAP",K341="Network"),P341=""),"Add Correlation ID",IF(AND(I341="Fail",T341=""),"Write Root Cause / evidence gap",IF(AND(I341="Fail",V341=""),"Assign team","OK"))))))))</f>
        <v/>
      </c>
    </row>
    <row r="342">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f>IF(I342="","",IF(AND(I342="Fail",K342=""),"Classify Issue Source",IF(AND(I342="Fail",W342=""),"Set Confidence",IF(AND(K342="Unknown",W342&lt;&gt;"Low"),"Unknown must be Low confidence",IF(AND(OR(K342="Backend",K342="SAP"),N342=""),"Add HTTP status + endpoint",IF(AND(OR(K342="Backend",K342="SAP",K342="Network"),P342=""),"Add Correlation ID",IF(AND(I342="Fail",T342=""),"Write Root Cause / evidence gap",IF(AND(I342="Fail",V342=""),"Assign team","OK"))))))))</f>
        <v/>
      </c>
    </row>
    <row r="343">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f>IF(I343="","",IF(AND(I343="Fail",K343=""),"Classify Issue Source",IF(AND(I343="Fail",W343=""),"Set Confidence",IF(AND(K343="Unknown",W343&lt;&gt;"Low"),"Unknown must be Low confidence",IF(AND(OR(K343="Backend",K343="SAP"),N343=""),"Add HTTP status + endpoint",IF(AND(OR(K343="Backend",K343="SAP",K343="Network"),P343=""),"Add Correlation ID",IF(AND(I343="Fail",T343=""),"Write Root Cause / evidence gap",IF(AND(I343="Fail",V343=""),"Assign team","OK"))))))))</f>
        <v/>
      </c>
    </row>
    <row r="344">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f>IF(I344="","",IF(AND(I344="Fail",K344=""),"Classify Issue Source",IF(AND(I344="Fail",W344=""),"Set Confidence",IF(AND(K344="Unknown",W344&lt;&gt;"Low"),"Unknown must be Low confidence",IF(AND(OR(K344="Backend",K344="SAP"),N344=""),"Add HTTP status + endpoint",IF(AND(OR(K344="Backend",K344="SAP",K344="Network"),P344=""),"Add Correlation ID",IF(AND(I344="Fail",T344=""),"Write Root Cause / evidence gap",IF(AND(I344="Fail",V344=""),"Assign team","OK"))))))))</f>
        <v/>
      </c>
    </row>
    <row r="345">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f>IF(I345="","",IF(AND(I345="Fail",K345=""),"Classify Issue Source",IF(AND(I345="Fail",W345=""),"Set Confidence",IF(AND(K345="Unknown",W345&lt;&gt;"Low"),"Unknown must be Low confidence",IF(AND(OR(K345="Backend",K345="SAP"),N345=""),"Add HTTP status + endpoint",IF(AND(OR(K345="Backend",K345="SAP",K345="Network"),P345=""),"Add Correlation ID",IF(AND(I345="Fail",T345=""),"Write Root Cause / evidence gap",IF(AND(I345="Fail",V345=""),"Assign team","OK"))))))))</f>
        <v/>
      </c>
    </row>
    <row r="346">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f>IF(I346="","",IF(AND(I346="Fail",K346=""),"Classify Issue Source",IF(AND(I346="Fail",W346=""),"Set Confidence",IF(AND(K346="Unknown",W346&lt;&gt;"Low"),"Unknown must be Low confidence",IF(AND(OR(K346="Backend",K346="SAP"),N346=""),"Add HTTP status + endpoint",IF(AND(OR(K346="Backend",K346="SAP",K346="Network"),P346=""),"Add Correlation ID",IF(AND(I346="Fail",T346=""),"Write Root Cause / evidence gap",IF(AND(I346="Fail",V346=""),"Assign team","OK"))))))))</f>
        <v/>
      </c>
    </row>
    <row r="347">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f>IF(I347="","",IF(AND(I347="Fail",K347=""),"Classify Issue Source",IF(AND(I347="Fail",W347=""),"Set Confidence",IF(AND(K347="Unknown",W347&lt;&gt;"Low"),"Unknown must be Low confidence",IF(AND(OR(K347="Backend",K347="SAP"),N347=""),"Add HTTP status + endpoint",IF(AND(OR(K347="Backend",K347="SAP",K347="Network"),P347=""),"Add Correlation ID",IF(AND(I347="Fail",T347=""),"Write Root Cause / evidence gap",IF(AND(I347="Fail",V347=""),"Assign team","OK"))))))))</f>
        <v/>
      </c>
    </row>
    <row r="348">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f>IF(I348="","",IF(AND(I348="Fail",K348=""),"Classify Issue Source",IF(AND(I348="Fail",W348=""),"Set Confidence",IF(AND(K348="Unknown",W348&lt;&gt;"Low"),"Unknown must be Low confidence",IF(AND(OR(K348="Backend",K348="SAP"),N348=""),"Add HTTP status + endpoint",IF(AND(OR(K348="Backend",K348="SAP",K348="Network"),P348=""),"Add Correlation ID",IF(AND(I348="Fail",T348=""),"Write Root Cause / evidence gap",IF(AND(I348="Fail",V348=""),"Assign team","OK"))))))))</f>
        <v/>
      </c>
    </row>
    <row r="34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f>IF(I349="","",IF(AND(I349="Fail",K349=""),"Classify Issue Source",IF(AND(I349="Fail",W349=""),"Set Confidence",IF(AND(K349="Unknown",W349&lt;&gt;"Low"),"Unknown must be Low confidence",IF(AND(OR(K349="Backend",K349="SAP"),N349=""),"Add HTTP status + endpoint",IF(AND(OR(K349="Backend",K349="SAP",K349="Network"),P349=""),"Add Correlation ID",IF(AND(I349="Fail",T349=""),"Write Root Cause / evidence gap",IF(AND(I349="Fail",V349=""),"Assign team","OK"))))))))</f>
        <v/>
      </c>
    </row>
    <row r="350">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f>IF(I350="","",IF(AND(I350="Fail",K350=""),"Classify Issue Source",IF(AND(I350="Fail",W350=""),"Set Confidence",IF(AND(K350="Unknown",W350&lt;&gt;"Low"),"Unknown must be Low confidence",IF(AND(OR(K350="Backend",K350="SAP"),N350=""),"Add HTTP status + endpoint",IF(AND(OR(K350="Backend",K350="SAP",K350="Network"),P350=""),"Add Correlation ID",IF(AND(I350="Fail",T350=""),"Write Root Cause / evidence gap",IF(AND(I350="Fail",V350=""),"Assign team","OK"))))))))</f>
        <v/>
      </c>
    </row>
    <row r="351">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f>IF(I351="","",IF(AND(I351="Fail",K351=""),"Classify Issue Source",IF(AND(I351="Fail",W351=""),"Set Confidence",IF(AND(K351="Unknown",W351&lt;&gt;"Low"),"Unknown must be Low confidence",IF(AND(OR(K351="Backend",K351="SAP"),N351=""),"Add HTTP status + endpoint",IF(AND(OR(K351="Backend",K351="SAP",K351="Network"),P351=""),"Add Correlation ID",IF(AND(I351="Fail",T351=""),"Write Root Cause / evidence gap",IF(AND(I351="Fail",V351=""),"Assign team","OK"))))))))</f>
        <v/>
      </c>
    </row>
    <row r="352">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f>IF(I352="","",IF(AND(I352="Fail",K352=""),"Classify Issue Source",IF(AND(I352="Fail",W352=""),"Set Confidence",IF(AND(K352="Unknown",W352&lt;&gt;"Low"),"Unknown must be Low confidence",IF(AND(OR(K352="Backend",K352="SAP"),N352=""),"Add HTTP status + endpoint",IF(AND(OR(K352="Backend",K352="SAP",K352="Network"),P352=""),"Add Correlation ID",IF(AND(I352="Fail",T352=""),"Write Root Cause / evidence gap",IF(AND(I352="Fail",V352=""),"Assign team","OK"))))))))</f>
        <v/>
      </c>
    </row>
    <row r="353">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f>IF(I353="","",IF(AND(I353="Fail",K353=""),"Classify Issue Source",IF(AND(I353="Fail",W353=""),"Set Confidence",IF(AND(K353="Unknown",W353&lt;&gt;"Low"),"Unknown must be Low confidence",IF(AND(OR(K353="Backend",K353="SAP"),N353=""),"Add HTTP status + endpoint",IF(AND(OR(K353="Backend",K353="SAP",K353="Network"),P353=""),"Add Correlation ID",IF(AND(I353="Fail",T353=""),"Write Root Cause / evidence gap",IF(AND(I353="Fail",V353=""),"Assign team","OK"))))))))</f>
        <v/>
      </c>
    </row>
    <row r="354">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f>IF(I354="","",IF(AND(I354="Fail",K354=""),"Classify Issue Source",IF(AND(I354="Fail",W354=""),"Set Confidence",IF(AND(K354="Unknown",W354&lt;&gt;"Low"),"Unknown must be Low confidence",IF(AND(OR(K354="Backend",K354="SAP"),N354=""),"Add HTTP status + endpoint",IF(AND(OR(K354="Backend",K354="SAP",K354="Network"),P354=""),"Add Correlation ID",IF(AND(I354="Fail",T354=""),"Write Root Cause / evidence gap",IF(AND(I354="Fail",V354=""),"Assign team","OK"))))))))</f>
        <v/>
      </c>
    </row>
    <row r="355">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f>IF(I355="","",IF(AND(I355="Fail",K355=""),"Classify Issue Source",IF(AND(I355="Fail",W355=""),"Set Confidence",IF(AND(K355="Unknown",W355&lt;&gt;"Low"),"Unknown must be Low confidence",IF(AND(OR(K355="Backend",K355="SAP"),N355=""),"Add HTTP status + endpoint",IF(AND(OR(K355="Backend",K355="SAP",K355="Network"),P355=""),"Add Correlation ID",IF(AND(I355="Fail",T355=""),"Write Root Cause / evidence gap",IF(AND(I355="Fail",V355=""),"Assign team","OK"))))))))</f>
        <v/>
      </c>
    </row>
    <row r="356">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f>IF(I356="","",IF(AND(I356="Fail",K356=""),"Classify Issue Source",IF(AND(I356="Fail",W356=""),"Set Confidence",IF(AND(K356="Unknown",W356&lt;&gt;"Low"),"Unknown must be Low confidence",IF(AND(OR(K356="Backend",K356="SAP"),N356=""),"Add HTTP status + endpoint",IF(AND(OR(K356="Backend",K356="SAP",K356="Network"),P356=""),"Add Correlation ID",IF(AND(I356="Fail",T356=""),"Write Root Cause / evidence gap",IF(AND(I356="Fail",V356=""),"Assign team","OK"))))))))</f>
        <v/>
      </c>
    </row>
    <row r="357">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f>IF(I357="","",IF(AND(I357="Fail",K357=""),"Classify Issue Source",IF(AND(I357="Fail",W357=""),"Set Confidence",IF(AND(K357="Unknown",W357&lt;&gt;"Low"),"Unknown must be Low confidence",IF(AND(OR(K357="Backend",K357="SAP"),N357=""),"Add HTTP status + endpoint",IF(AND(OR(K357="Backend",K357="SAP",K357="Network"),P357=""),"Add Correlation ID",IF(AND(I357="Fail",T357=""),"Write Root Cause / evidence gap",IF(AND(I357="Fail",V357=""),"Assign team","OK"))))))))</f>
        <v/>
      </c>
    </row>
    <row r="358">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f>IF(I358="","",IF(AND(I358="Fail",K358=""),"Classify Issue Source",IF(AND(I358="Fail",W358=""),"Set Confidence",IF(AND(K358="Unknown",W358&lt;&gt;"Low"),"Unknown must be Low confidence",IF(AND(OR(K358="Backend",K358="SAP"),N358=""),"Add HTTP status + endpoint",IF(AND(OR(K358="Backend",K358="SAP",K358="Network"),P358=""),"Add Correlation ID",IF(AND(I358="Fail",T358=""),"Write Root Cause / evidence gap",IF(AND(I358="Fail",V358=""),"Assign team","OK"))))))))</f>
        <v/>
      </c>
    </row>
    <row r="35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f>IF(I359="","",IF(AND(I359="Fail",K359=""),"Classify Issue Source",IF(AND(I359="Fail",W359=""),"Set Confidence",IF(AND(K359="Unknown",W359&lt;&gt;"Low"),"Unknown must be Low confidence",IF(AND(OR(K359="Backend",K359="SAP"),N359=""),"Add HTTP status + endpoint",IF(AND(OR(K359="Backend",K359="SAP",K359="Network"),P359=""),"Add Correlation ID",IF(AND(I359="Fail",T359=""),"Write Root Cause / evidence gap",IF(AND(I359="Fail",V359=""),"Assign team","OK"))))))))</f>
        <v/>
      </c>
    </row>
    <row r="360">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f>IF(I360="","",IF(AND(I360="Fail",K360=""),"Classify Issue Source",IF(AND(I360="Fail",W360=""),"Set Confidence",IF(AND(K360="Unknown",W360&lt;&gt;"Low"),"Unknown must be Low confidence",IF(AND(OR(K360="Backend",K360="SAP"),N360=""),"Add HTTP status + endpoint",IF(AND(OR(K360="Backend",K360="SAP",K360="Network"),P360=""),"Add Correlation ID",IF(AND(I360="Fail",T360=""),"Write Root Cause / evidence gap",IF(AND(I360="Fail",V360=""),"Assign team","OK"))))))))</f>
        <v/>
      </c>
    </row>
    <row r="361">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f>IF(I361="","",IF(AND(I361="Fail",K361=""),"Classify Issue Source",IF(AND(I361="Fail",W361=""),"Set Confidence",IF(AND(K361="Unknown",W361&lt;&gt;"Low"),"Unknown must be Low confidence",IF(AND(OR(K361="Backend",K361="SAP"),N361=""),"Add HTTP status + endpoint",IF(AND(OR(K361="Backend",K361="SAP",K361="Network"),P361=""),"Add Correlation ID",IF(AND(I361="Fail",T361=""),"Write Root Cause / evidence gap",IF(AND(I361="Fail",V361=""),"Assign team","OK"))))))))</f>
        <v/>
      </c>
    </row>
    <row r="362">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f>IF(I362="","",IF(AND(I362="Fail",K362=""),"Classify Issue Source",IF(AND(I362="Fail",W362=""),"Set Confidence",IF(AND(K362="Unknown",W362&lt;&gt;"Low"),"Unknown must be Low confidence",IF(AND(OR(K362="Backend",K362="SAP"),N362=""),"Add HTTP status + endpoint",IF(AND(OR(K362="Backend",K362="SAP",K362="Network"),P362=""),"Add Correlation ID",IF(AND(I362="Fail",T362=""),"Write Root Cause / evidence gap",IF(AND(I362="Fail",V362=""),"Assign team","OK"))))))))</f>
        <v/>
      </c>
    </row>
    <row r="363">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f>IF(I363="","",IF(AND(I363="Fail",K363=""),"Classify Issue Source",IF(AND(I363="Fail",W363=""),"Set Confidence",IF(AND(K363="Unknown",W363&lt;&gt;"Low"),"Unknown must be Low confidence",IF(AND(OR(K363="Backend",K363="SAP"),N363=""),"Add HTTP status + endpoint",IF(AND(OR(K363="Backend",K363="SAP",K363="Network"),P363=""),"Add Correlation ID",IF(AND(I363="Fail",T363=""),"Write Root Cause / evidence gap",IF(AND(I363="Fail",V363=""),"Assign team","OK"))))))))</f>
        <v/>
      </c>
    </row>
    <row r="364">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f>IF(I364="","",IF(AND(I364="Fail",K364=""),"Classify Issue Source",IF(AND(I364="Fail",W364=""),"Set Confidence",IF(AND(K364="Unknown",W364&lt;&gt;"Low"),"Unknown must be Low confidence",IF(AND(OR(K364="Backend",K364="SAP"),N364=""),"Add HTTP status + endpoint",IF(AND(OR(K364="Backend",K364="SAP",K364="Network"),P364=""),"Add Correlation ID",IF(AND(I364="Fail",T364=""),"Write Root Cause / evidence gap",IF(AND(I364="Fail",V364=""),"Assign team","OK"))))))))</f>
        <v/>
      </c>
    </row>
    <row r="365">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f>IF(I365="","",IF(AND(I365="Fail",K365=""),"Classify Issue Source",IF(AND(I365="Fail",W365=""),"Set Confidence",IF(AND(K365="Unknown",W365&lt;&gt;"Low"),"Unknown must be Low confidence",IF(AND(OR(K365="Backend",K365="SAP"),N365=""),"Add HTTP status + endpoint",IF(AND(OR(K365="Backend",K365="SAP",K365="Network"),P365=""),"Add Correlation ID",IF(AND(I365="Fail",T365=""),"Write Root Cause / evidence gap",IF(AND(I365="Fail",V365=""),"Assign team","OK"))))))))</f>
        <v/>
      </c>
    </row>
    <row r="366">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f>IF(I366="","",IF(AND(I366="Fail",K366=""),"Classify Issue Source",IF(AND(I366="Fail",W366=""),"Set Confidence",IF(AND(K366="Unknown",W366&lt;&gt;"Low"),"Unknown must be Low confidence",IF(AND(OR(K366="Backend",K366="SAP"),N366=""),"Add HTTP status + endpoint",IF(AND(OR(K366="Backend",K366="SAP",K366="Network"),P366=""),"Add Correlation ID",IF(AND(I366="Fail",T366=""),"Write Root Cause / evidence gap",IF(AND(I366="Fail",V366=""),"Assign team","OK"))))))))</f>
        <v/>
      </c>
    </row>
    <row r="367">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f>IF(I367="","",IF(AND(I367="Fail",K367=""),"Classify Issue Source",IF(AND(I367="Fail",W367=""),"Set Confidence",IF(AND(K367="Unknown",W367&lt;&gt;"Low"),"Unknown must be Low confidence",IF(AND(OR(K367="Backend",K367="SAP"),N367=""),"Add HTTP status + endpoint",IF(AND(OR(K367="Backend",K367="SAP",K367="Network"),P367=""),"Add Correlation ID",IF(AND(I367="Fail",T367=""),"Write Root Cause / evidence gap",IF(AND(I367="Fail",V367=""),"Assign team","OK"))))))))</f>
        <v/>
      </c>
    </row>
    <row r="368">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f>IF(I368="","",IF(AND(I368="Fail",K368=""),"Classify Issue Source",IF(AND(I368="Fail",W368=""),"Set Confidence",IF(AND(K368="Unknown",W368&lt;&gt;"Low"),"Unknown must be Low confidence",IF(AND(OR(K368="Backend",K368="SAP"),N368=""),"Add HTTP status + endpoint",IF(AND(OR(K368="Backend",K368="SAP",K368="Network"),P368=""),"Add Correlation ID",IF(AND(I368="Fail",T368=""),"Write Root Cause / evidence gap",IF(AND(I368="Fail",V368=""),"Assign team","OK"))))))))</f>
        <v/>
      </c>
    </row>
    <row r="36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f>IF(I369="","",IF(AND(I369="Fail",K369=""),"Classify Issue Source",IF(AND(I369="Fail",W369=""),"Set Confidence",IF(AND(K369="Unknown",W369&lt;&gt;"Low"),"Unknown must be Low confidence",IF(AND(OR(K369="Backend",K369="SAP"),N369=""),"Add HTTP status + endpoint",IF(AND(OR(K369="Backend",K369="SAP",K369="Network"),P369=""),"Add Correlation ID",IF(AND(I369="Fail",T369=""),"Write Root Cause / evidence gap",IF(AND(I369="Fail",V369=""),"Assign team","OK"))))))))</f>
        <v/>
      </c>
    </row>
    <row r="370">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f>IF(I370="","",IF(AND(I370="Fail",K370=""),"Classify Issue Source",IF(AND(I370="Fail",W370=""),"Set Confidence",IF(AND(K370="Unknown",W370&lt;&gt;"Low"),"Unknown must be Low confidence",IF(AND(OR(K370="Backend",K370="SAP"),N370=""),"Add HTTP status + endpoint",IF(AND(OR(K370="Backend",K370="SAP",K370="Network"),P370=""),"Add Correlation ID",IF(AND(I370="Fail",T370=""),"Write Root Cause / evidence gap",IF(AND(I370="Fail",V370=""),"Assign team","OK"))))))))</f>
        <v/>
      </c>
    </row>
    <row r="371">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f>IF(I371="","",IF(AND(I371="Fail",K371=""),"Classify Issue Source",IF(AND(I371="Fail",W371=""),"Set Confidence",IF(AND(K371="Unknown",W371&lt;&gt;"Low"),"Unknown must be Low confidence",IF(AND(OR(K371="Backend",K371="SAP"),N371=""),"Add HTTP status + endpoint",IF(AND(OR(K371="Backend",K371="SAP",K371="Network"),P371=""),"Add Correlation ID",IF(AND(I371="Fail",T371=""),"Write Root Cause / evidence gap",IF(AND(I371="Fail",V371=""),"Assign team","OK"))))))))</f>
        <v/>
      </c>
    </row>
    <row r="372">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f>IF(I372="","",IF(AND(I372="Fail",K372=""),"Classify Issue Source",IF(AND(I372="Fail",W372=""),"Set Confidence",IF(AND(K372="Unknown",W372&lt;&gt;"Low"),"Unknown must be Low confidence",IF(AND(OR(K372="Backend",K372="SAP"),N372=""),"Add HTTP status + endpoint",IF(AND(OR(K372="Backend",K372="SAP",K372="Network"),P372=""),"Add Correlation ID",IF(AND(I372="Fail",T372=""),"Write Root Cause / evidence gap",IF(AND(I372="Fail",V372=""),"Assign team","OK"))))))))</f>
        <v/>
      </c>
    </row>
    <row r="373">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f>IF(I373="","",IF(AND(I373="Fail",K373=""),"Classify Issue Source",IF(AND(I373="Fail",W373=""),"Set Confidence",IF(AND(K373="Unknown",W373&lt;&gt;"Low"),"Unknown must be Low confidence",IF(AND(OR(K373="Backend",K373="SAP"),N373=""),"Add HTTP status + endpoint",IF(AND(OR(K373="Backend",K373="SAP",K373="Network"),P373=""),"Add Correlation ID",IF(AND(I373="Fail",T373=""),"Write Root Cause / evidence gap",IF(AND(I373="Fail",V373=""),"Assign team","OK"))))))))</f>
        <v/>
      </c>
    </row>
    <row r="374">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f>IF(I374="","",IF(AND(I374="Fail",K374=""),"Classify Issue Source",IF(AND(I374="Fail",W374=""),"Set Confidence",IF(AND(K374="Unknown",W374&lt;&gt;"Low"),"Unknown must be Low confidence",IF(AND(OR(K374="Backend",K374="SAP"),N374=""),"Add HTTP status + endpoint",IF(AND(OR(K374="Backend",K374="SAP",K374="Network"),P374=""),"Add Correlation ID",IF(AND(I374="Fail",T374=""),"Write Root Cause / evidence gap",IF(AND(I374="Fail",V374=""),"Assign team","OK"))))))))</f>
        <v/>
      </c>
    </row>
    <row r="375">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f>IF(I375="","",IF(AND(I375="Fail",K375=""),"Classify Issue Source",IF(AND(I375="Fail",W375=""),"Set Confidence",IF(AND(K375="Unknown",W375&lt;&gt;"Low"),"Unknown must be Low confidence",IF(AND(OR(K375="Backend",K375="SAP"),N375=""),"Add HTTP status + endpoint",IF(AND(OR(K375="Backend",K375="SAP",K375="Network"),P375=""),"Add Correlation ID",IF(AND(I375="Fail",T375=""),"Write Root Cause / evidence gap",IF(AND(I375="Fail",V375=""),"Assign team","OK"))))))))</f>
        <v/>
      </c>
    </row>
    <row r="376">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f>IF(I376="","",IF(AND(I376="Fail",K376=""),"Classify Issue Source",IF(AND(I376="Fail",W376=""),"Set Confidence",IF(AND(K376="Unknown",W376&lt;&gt;"Low"),"Unknown must be Low confidence",IF(AND(OR(K376="Backend",K376="SAP"),N376=""),"Add HTTP status + endpoint",IF(AND(OR(K376="Backend",K376="SAP",K376="Network"),P376=""),"Add Correlation ID",IF(AND(I376="Fail",T376=""),"Write Root Cause / evidence gap",IF(AND(I376="Fail",V376=""),"Assign team","OK"))))))))</f>
        <v/>
      </c>
    </row>
    <row r="377">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f>IF(I377="","",IF(AND(I377="Fail",K377=""),"Classify Issue Source",IF(AND(I377="Fail",W377=""),"Set Confidence",IF(AND(K377="Unknown",W377&lt;&gt;"Low"),"Unknown must be Low confidence",IF(AND(OR(K377="Backend",K377="SAP"),N377=""),"Add HTTP status + endpoint",IF(AND(OR(K377="Backend",K377="SAP",K377="Network"),P377=""),"Add Correlation ID",IF(AND(I377="Fail",T377=""),"Write Root Cause / evidence gap",IF(AND(I377="Fail",V377=""),"Assign team","OK"))))))))</f>
        <v/>
      </c>
    </row>
    <row r="378">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f>IF(I378="","",IF(AND(I378="Fail",K378=""),"Classify Issue Source",IF(AND(I378="Fail",W378=""),"Set Confidence",IF(AND(K378="Unknown",W378&lt;&gt;"Low"),"Unknown must be Low confidence",IF(AND(OR(K378="Backend",K378="SAP"),N378=""),"Add HTTP status + endpoint",IF(AND(OR(K378="Backend",K378="SAP",K378="Network"),P378=""),"Add Correlation ID",IF(AND(I378="Fail",T378=""),"Write Root Cause / evidence gap",IF(AND(I378="Fail",V378=""),"Assign team","OK"))))))))</f>
        <v/>
      </c>
    </row>
    <row r="3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f>IF(I379="","",IF(AND(I379="Fail",K379=""),"Classify Issue Source",IF(AND(I379="Fail",W379=""),"Set Confidence",IF(AND(K379="Unknown",W379&lt;&gt;"Low"),"Unknown must be Low confidence",IF(AND(OR(K379="Backend",K379="SAP"),N379=""),"Add HTTP status + endpoint",IF(AND(OR(K379="Backend",K379="SAP",K379="Network"),P379=""),"Add Correlation ID",IF(AND(I379="Fail",T379=""),"Write Root Cause / evidence gap",IF(AND(I379="Fail",V379=""),"Assign team","OK"))))))))</f>
        <v/>
      </c>
    </row>
    <row r="380">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f>IF(I380="","",IF(AND(I380="Fail",K380=""),"Classify Issue Source",IF(AND(I380="Fail",W380=""),"Set Confidence",IF(AND(K380="Unknown",W380&lt;&gt;"Low"),"Unknown must be Low confidence",IF(AND(OR(K380="Backend",K380="SAP"),N380=""),"Add HTTP status + endpoint",IF(AND(OR(K380="Backend",K380="SAP",K380="Network"),P380=""),"Add Correlation ID",IF(AND(I380="Fail",T380=""),"Write Root Cause / evidence gap",IF(AND(I380="Fail",V380=""),"Assign team","OK"))))))))</f>
        <v/>
      </c>
    </row>
    <row r="381">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f>IF(I381="","",IF(AND(I381="Fail",K381=""),"Classify Issue Source",IF(AND(I381="Fail",W381=""),"Set Confidence",IF(AND(K381="Unknown",W381&lt;&gt;"Low"),"Unknown must be Low confidence",IF(AND(OR(K381="Backend",K381="SAP"),N381=""),"Add HTTP status + endpoint",IF(AND(OR(K381="Backend",K381="SAP",K381="Network"),P381=""),"Add Correlation ID",IF(AND(I381="Fail",T381=""),"Write Root Cause / evidence gap",IF(AND(I381="Fail",V381=""),"Assign team","OK"))))))))</f>
        <v/>
      </c>
    </row>
    <row r="382">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f>IF(I382="","",IF(AND(I382="Fail",K382=""),"Classify Issue Source",IF(AND(I382="Fail",W382=""),"Set Confidence",IF(AND(K382="Unknown",W382&lt;&gt;"Low"),"Unknown must be Low confidence",IF(AND(OR(K382="Backend",K382="SAP"),N382=""),"Add HTTP status + endpoint",IF(AND(OR(K382="Backend",K382="SAP",K382="Network"),P382=""),"Add Correlation ID",IF(AND(I382="Fail",T382=""),"Write Root Cause / evidence gap",IF(AND(I382="Fail",V382=""),"Assign team","OK"))))))))</f>
        <v/>
      </c>
    </row>
    <row r="383">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f>IF(I383="","",IF(AND(I383="Fail",K383=""),"Classify Issue Source",IF(AND(I383="Fail",W383=""),"Set Confidence",IF(AND(K383="Unknown",W383&lt;&gt;"Low"),"Unknown must be Low confidence",IF(AND(OR(K383="Backend",K383="SAP"),N383=""),"Add HTTP status + endpoint",IF(AND(OR(K383="Backend",K383="SAP",K383="Network"),P383=""),"Add Correlation ID",IF(AND(I383="Fail",T383=""),"Write Root Cause / evidence gap",IF(AND(I383="Fail",V383=""),"Assign team","OK"))))))))</f>
        <v/>
      </c>
    </row>
    <row r="384">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f>IF(I384="","",IF(AND(I384="Fail",K384=""),"Classify Issue Source",IF(AND(I384="Fail",W384=""),"Set Confidence",IF(AND(K384="Unknown",W384&lt;&gt;"Low"),"Unknown must be Low confidence",IF(AND(OR(K384="Backend",K384="SAP"),N384=""),"Add HTTP status + endpoint",IF(AND(OR(K384="Backend",K384="SAP",K384="Network"),P384=""),"Add Correlation ID",IF(AND(I384="Fail",T384=""),"Write Root Cause / evidence gap",IF(AND(I384="Fail",V384=""),"Assign team","OK"))))))))</f>
        <v/>
      </c>
    </row>
    <row r="385">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f>IF(I385="","",IF(AND(I385="Fail",K385=""),"Classify Issue Source",IF(AND(I385="Fail",W385=""),"Set Confidence",IF(AND(K385="Unknown",W385&lt;&gt;"Low"),"Unknown must be Low confidence",IF(AND(OR(K385="Backend",K385="SAP"),N385=""),"Add HTTP status + endpoint",IF(AND(OR(K385="Backend",K385="SAP",K385="Network"),P385=""),"Add Correlation ID",IF(AND(I385="Fail",T385=""),"Write Root Cause / evidence gap",IF(AND(I385="Fail",V385=""),"Assign team","OK"))))))))</f>
        <v/>
      </c>
    </row>
    <row r="386">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f>IF(I386="","",IF(AND(I386="Fail",K386=""),"Classify Issue Source",IF(AND(I386="Fail",W386=""),"Set Confidence",IF(AND(K386="Unknown",W386&lt;&gt;"Low"),"Unknown must be Low confidence",IF(AND(OR(K386="Backend",K386="SAP"),N386=""),"Add HTTP status + endpoint",IF(AND(OR(K386="Backend",K386="SAP",K386="Network"),P386=""),"Add Correlation ID",IF(AND(I386="Fail",T386=""),"Write Root Cause / evidence gap",IF(AND(I386="Fail",V386=""),"Assign team","OK"))))))))</f>
        <v/>
      </c>
    </row>
    <row r="387">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f>IF(I387="","",IF(AND(I387="Fail",K387=""),"Classify Issue Source",IF(AND(I387="Fail",W387=""),"Set Confidence",IF(AND(K387="Unknown",W387&lt;&gt;"Low"),"Unknown must be Low confidence",IF(AND(OR(K387="Backend",K387="SAP"),N387=""),"Add HTTP status + endpoint",IF(AND(OR(K387="Backend",K387="SAP",K387="Network"),P387=""),"Add Correlation ID",IF(AND(I387="Fail",T387=""),"Write Root Cause / evidence gap",IF(AND(I387="Fail",V387=""),"Assign team","OK"))))))))</f>
        <v/>
      </c>
    </row>
    <row r="388">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f>IF(I388="","",IF(AND(I388="Fail",K388=""),"Classify Issue Source",IF(AND(I388="Fail",W388=""),"Set Confidence",IF(AND(K388="Unknown",W388&lt;&gt;"Low"),"Unknown must be Low confidence",IF(AND(OR(K388="Backend",K388="SAP"),N388=""),"Add HTTP status + endpoint",IF(AND(OR(K388="Backend",K388="SAP",K388="Network"),P388=""),"Add Correlation ID",IF(AND(I388="Fail",T388=""),"Write Root Cause / evidence gap",IF(AND(I388="Fail",V388=""),"Assign team","OK"))))))))</f>
        <v/>
      </c>
    </row>
    <row r="38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f>IF(I389="","",IF(AND(I389="Fail",K389=""),"Classify Issue Source",IF(AND(I389="Fail",W389=""),"Set Confidence",IF(AND(K389="Unknown",W389&lt;&gt;"Low"),"Unknown must be Low confidence",IF(AND(OR(K389="Backend",K389="SAP"),N389=""),"Add HTTP status + endpoint",IF(AND(OR(K389="Backend",K389="SAP",K389="Network"),P389=""),"Add Correlation ID",IF(AND(I389="Fail",T389=""),"Write Root Cause / evidence gap",IF(AND(I389="Fail",V389=""),"Assign team","OK"))))))))</f>
        <v/>
      </c>
    </row>
    <row r="390">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f>IF(I390="","",IF(AND(I390="Fail",K390=""),"Classify Issue Source",IF(AND(I390="Fail",W390=""),"Set Confidence",IF(AND(K390="Unknown",W390&lt;&gt;"Low"),"Unknown must be Low confidence",IF(AND(OR(K390="Backend",K390="SAP"),N390=""),"Add HTTP status + endpoint",IF(AND(OR(K390="Backend",K390="SAP",K390="Network"),P390=""),"Add Correlation ID",IF(AND(I390="Fail",T390=""),"Write Root Cause / evidence gap",IF(AND(I390="Fail",V390=""),"Assign team","OK"))))))))</f>
        <v/>
      </c>
    </row>
    <row r="391">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f>IF(I391="","",IF(AND(I391="Fail",K391=""),"Classify Issue Source",IF(AND(I391="Fail",W391=""),"Set Confidence",IF(AND(K391="Unknown",W391&lt;&gt;"Low"),"Unknown must be Low confidence",IF(AND(OR(K391="Backend",K391="SAP"),N391=""),"Add HTTP status + endpoint",IF(AND(OR(K391="Backend",K391="SAP",K391="Network"),P391=""),"Add Correlation ID",IF(AND(I391="Fail",T391=""),"Write Root Cause / evidence gap",IF(AND(I391="Fail",V391=""),"Assign team","OK"))))))))</f>
        <v/>
      </c>
    </row>
    <row r="392">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f>IF(I392="","",IF(AND(I392="Fail",K392=""),"Classify Issue Source",IF(AND(I392="Fail",W392=""),"Set Confidence",IF(AND(K392="Unknown",W392&lt;&gt;"Low"),"Unknown must be Low confidence",IF(AND(OR(K392="Backend",K392="SAP"),N392=""),"Add HTTP status + endpoint",IF(AND(OR(K392="Backend",K392="SAP",K392="Network"),P392=""),"Add Correlation ID",IF(AND(I392="Fail",T392=""),"Write Root Cause / evidence gap",IF(AND(I392="Fail",V392=""),"Assign team","OK"))))))))</f>
        <v/>
      </c>
    </row>
    <row r="393">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f>IF(I393="","",IF(AND(I393="Fail",K393=""),"Classify Issue Source",IF(AND(I393="Fail",W393=""),"Set Confidence",IF(AND(K393="Unknown",W393&lt;&gt;"Low"),"Unknown must be Low confidence",IF(AND(OR(K393="Backend",K393="SAP"),N393=""),"Add HTTP status + endpoint",IF(AND(OR(K393="Backend",K393="SAP",K393="Network"),P393=""),"Add Correlation ID",IF(AND(I393="Fail",T393=""),"Write Root Cause / evidence gap",IF(AND(I393="Fail",V393=""),"Assign team","OK"))))))))</f>
        <v/>
      </c>
    </row>
    <row r="394">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f>IF(I394="","",IF(AND(I394="Fail",K394=""),"Classify Issue Source",IF(AND(I394="Fail",W394=""),"Set Confidence",IF(AND(K394="Unknown",W394&lt;&gt;"Low"),"Unknown must be Low confidence",IF(AND(OR(K394="Backend",K394="SAP"),N394=""),"Add HTTP status + endpoint",IF(AND(OR(K394="Backend",K394="SAP",K394="Network"),P394=""),"Add Correlation ID",IF(AND(I394="Fail",T394=""),"Write Root Cause / evidence gap",IF(AND(I394="Fail",V394=""),"Assign team","OK"))))))))</f>
        <v/>
      </c>
    </row>
    <row r="395">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f>IF(I395="","",IF(AND(I395="Fail",K395=""),"Classify Issue Source",IF(AND(I395="Fail",W395=""),"Set Confidence",IF(AND(K395="Unknown",W395&lt;&gt;"Low"),"Unknown must be Low confidence",IF(AND(OR(K395="Backend",K395="SAP"),N395=""),"Add HTTP status + endpoint",IF(AND(OR(K395="Backend",K395="SAP",K395="Network"),P395=""),"Add Correlation ID",IF(AND(I395="Fail",T395=""),"Write Root Cause / evidence gap",IF(AND(I395="Fail",V395=""),"Assign team","OK"))))))))</f>
        <v/>
      </c>
    </row>
    <row r="396">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f>IF(I396="","",IF(AND(I396="Fail",K396=""),"Classify Issue Source",IF(AND(I396="Fail",W396=""),"Set Confidence",IF(AND(K396="Unknown",W396&lt;&gt;"Low"),"Unknown must be Low confidence",IF(AND(OR(K396="Backend",K396="SAP"),N396=""),"Add HTTP status + endpoint",IF(AND(OR(K396="Backend",K396="SAP",K396="Network"),P396=""),"Add Correlation ID",IF(AND(I396="Fail",T396=""),"Write Root Cause / evidence gap",IF(AND(I396="Fail",V396=""),"Assign team","OK"))))))))</f>
        <v/>
      </c>
    </row>
    <row r="397">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f>IF(I397="","",IF(AND(I397="Fail",K397=""),"Classify Issue Source",IF(AND(I397="Fail",W397=""),"Set Confidence",IF(AND(K397="Unknown",W397&lt;&gt;"Low"),"Unknown must be Low confidence",IF(AND(OR(K397="Backend",K397="SAP"),N397=""),"Add HTTP status + endpoint",IF(AND(OR(K397="Backend",K397="SAP",K397="Network"),P397=""),"Add Correlation ID",IF(AND(I397="Fail",T397=""),"Write Root Cause / evidence gap",IF(AND(I397="Fail",V397=""),"Assign team","OK"))))))))</f>
        <v/>
      </c>
    </row>
    <row r="398">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f>IF(I398="","",IF(AND(I398="Fail",K398=""),"Classify Issue Source",IF(AND(I398="Fail",W398=""),"Set Confidence",IF(AND(K398="Unknown",W398&lt;&gt;"Low"),"Unknown must be Low confidence",IF(AND(OR(K398="Backend",K398="SAP"),N398=""),"Add HTTP status + endpoint",IF(AND(OR(K398="Backend",K398="SAP",K398="Network"),P398=""),"Add Correlation ID",IF(AND(I398="Fail",T398=""),"Write Root Cause / evidence gap",IF(AND(I398="Fail",V398=""),"Assign team","OK"))))))))</f>
        <v/>
      </c>
    </row>
    <row r="39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f>IF(I399="","",IF(AND(I399="Fail",K399=""),"Classify Issue Source",IF(AND(I399="Fail",W399=""),"Set Confidence",IF(AND(K399="Unknown",W399&lt;&gt;"Low"),"Unknown must be Low confidence",IF(AND(OR(K399="Backend",K399="SAP"),N399=""),"Add HTTP status + endpoint",IF(AND(OR(K399="Backend",K399="SAP",K399="Network"),P399=""),"Add Correlation ID",IF(AND(I399="Fail",T399=""),"Write Root Cause / evidence gap",IF(AND(I399="Fail",V399=""),"Assign team","OK"))))))))</f>
        <v/>
      </c>
    </row>
    <row r="400">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f>IF(I400="","",IF(AND(I400="Fail",K400=""),"Classify Issue Source",IF(AND(I400="Fail",W400=""),"Set Confidence",IF(AND(K400="Unknown",W400&lt;&gt;"Low"),"Unknown must be Low confidence",IF(AND(OR(K400="Backend",K400="SAP"),N400=""),"Add HTTP status + endpoint",IF(AND(OR(K400="Backend",K400="SAP",K400="Network"),P400=""),"Add Correlation ID",IF(AND(I400="Fail",T400=""),"Write Root Cause / evidence gap",IF(AND(I400="Fail",V400=""),"Assign team","OK"))))))))</f>
        <v/>
      </c>
    </row>
    <row r="401">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f>IF(I401="","",IF(AND(I401="Fail",K401=""),"Classify Issue Source",IF(AND(I401="Fail",W401=""),"Set Confidence",IF(AND(K401="Unknown",W401&lt;&gt;"Low"),"Unknown must be Low confidence",IF(AND(OR(K401="Backend",K401="SAP"),N401=""),"Add HTTP status + endpoint",IF(AND(OR(K401="Backend",K401="SAP",K401="Network"),P401=""),"Add Correlation ID",IF(AND(I401="Fail",T401=""),"Write Root Cause / evidence gap",IF(AND(I401="Fail",V401=""),"Assign team","OK"))))))))</f>
        <v/>
      </c>
    </row>
    <row r="402">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f>IF(I402="","",IF(AND(I402="Fail",K402=""),"Classify Issue Source",IF(AND(I402="Fail",W402=""),"Set Confidence",IF(AND(K402="Unknown",W402&lt;&gt;"Low"),"Unknown must be Low confidence",IF(AND(OR(K402="Backend",K402="SAP"),N402=""),"Add HTTP status + endpoint",IF(AND(OR(K402="Backend",K402="SAP",K402="Network"),P402=""),"Add Correlation ID",IF(AND(I402="Fail",T402=""),"Write Root Cause / evidence gap",IF(AND(I402="Fail",V402=""),"Assign team","OK"))))))))</f>
        <v/>
      </c>
    </row>
    <row r="403">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f>IF(I403="","",IF(AND(I403="Fail",K403=""),"Classify Issue Source",IF(AND(I403="Fail",W403=""),"Set Confidence",IF(AND(K403="Unknown",W403&lt;&gt;"Low"),"Unknown must be Low confidence",IF(AND(OR(K403="Backend",K403="SAP"),N403=""),"Add HTTP status + endpoint",IF(AND(OR(K403="Backend",K403="SAP",K403="Network"),P403=""),"Add Correlation ID",IF(AND(I403="Fail",T403=""),"Write Root Cause / evidence gap",IF(AND(I403="Fail",V403=""),"Assign team","OK"))))))))</f>
        <v/>
      </c>
    </row>
    <row r="404">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f>IF(I404="","",IF(AND(I404="Fail",K404=""),"Classify Issue Source",IF(AND(I404="Fail",W404=""),"Set Confidence",IF(AND(K404="Unknown",W404&lt;&gt;"Low"),"Unknown must be Low confidence",IF(AND(OR(K404="Backend",K404="SAP"),N404=""),"Add HTTP status + endpoint",IF(AND(OR(K404="Backend",K404="SAP",K404="Network"),P404=""),"Add Correlation ID",IF(AND(I404="Fail",T404=""),"Write Root Cause / evidence gap",IF(AND(I404="Fail",V404=""),"Assign team","OK"))))))))</f>
        <v/>
      </c>
    </row>
    <row r="405">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f>IF(I405="","",IF(AND(I405="Fail",K405=""),"Classify Issue Source",IF(AND(I405="Fail",W405=""),"Set Confidence",IF(AND(K405="Unknown",W405&lt;&gt;"Low"),"Unknown must be Low confidence",IF(AND(OR(K405="Backend",K405="SAP"),N405=""),"Add HTTP status + endpoint",IF(AND(OR(K405="Backend",K405="SAP",K405="Network"),P405=""),"Add Correlation ID",IF(AND(I405="Fail",T405=""),"Write Root Cause / evidence gap",IF(AND(I405="Fail",V405=""),"Assign team","OK"))))))))</f>
        <v/>
      </c>
    </row>
    <row r="406">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f>IF(I406="","",IF(AND(I406="Fail",K406=""),"Classify Issue Source",IF(AND(I406="Fail",W406=""),"Set Confidence",IF(AND(K406="Unknown",W406&lt;&gt;"Low"),"Unknown must be Low confidence",IF(AND(OR(K406="Backend",K406="SAP"),N406=""),"Add HTTP status + endpoint",IF(AND(OR(K406="Backend",K406="SAP",K406="Network"),P406=""),"Add Correlation ID",IF(AND(I406="Fail",T406=""),"Write Root Cause / evidence gap",IF(AND(I406="Fail",V406=""),"Assign team","OK"))))))))</f>
        <v/>
      </c>
    </row>
    <row r="407">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f>IF(I407="","",IF(AND(I407="Fail",K407=""),"Classify Issue Source",IF(AND(I407="Fail",W407=""),"Set Confidence",IF(AND(K407="Unknown",W407&lt;&gt;"Low"),"Unknown must be Low confidence",IF(AND(OR(K407="Backend",K407="SAP"),N407=""),"Add HTTP status + endpoint",IF(AND(OR(K407="Backend",K407="SAP",K407="Network"),P407=""),"Add Correlation ID",IF(AND(I407="Fail",T407=""),"Write Root Cause / evidence gap",IF(AND(I407="Fail",V407=""),"Assign team","OK"))))))))</f>
        <v/>
      </c>
    </row>
    <row r="408">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f>IF(I408="","",IF(AND(I408="Fail",K408=""),"Classify Issue Source",IF(AND(I408="Fail",W408=""),"Set Confidence",IF(AND(K408="Unknown",W408&lt;&gt;"Low"),"Unknown must be Low confidence",IF(AND(OR(K408="Backend",K408="SAP"),N408=""),"Add HTTP status + endpoint",IF(AND(OR(K408="Backend",K408="SAP",K408="Network"),P408=""),"Add Correlation ID",IF(AND(I408="Fail",T408=""),"Write Root Cause / evidence gap",IF(AND(I408="Fail",V408=""),"Assign team","OK"))))))))</f>
        <v/>
      </c>
    </row>
    <row r="40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f>IF(I409="","",IF(AND(I409="Fail",K409=""),"Classify Issue Source",IF(AND(I409="Fail",W409=""),"Set Confidence",IF(AND(K409="Unknown",W409&lt;&gt;"Low"),"Unknown must be Low confidence",IF(AND(OR(K409="Backend",K409="SAP"),N409=""),"Add HTTP status + endpoint",IF(AND(OR(K409="Backend",K409="SAP",K409="Network"),P409=""),"Add Correlation ID",IF(AND(I409="Fail",T409=""),"Write Root Cause / evidence gap",IF(AND(I409="Fail",V409=""),"Assign team","OK"))))))))</f>
        <v/>
      </c>
    </row>
    <row r="410">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f>IF(I410="","",IF(AND(I410="Fail",K410=""),"Classify Issue Source",IF(AND(I410="Fail",W410=""),"Set Confidence",IF(AND(K410="Unknown",W410&lt;&gt;"Low"),"Unknown must be Low confidence",IF(AND(OR(K410="Backend",K410="SAP"),N410=""),"Add HTTP status + endpoint",IF(AND(OR(K410="Backend",K410="SAP",K410="Network"),P410=""),"Add Correlation ID",IF(AND(I410="Fail",T410=""),"Write Root Cause / evidence gap",IF(AND(I410="Fail",V410=""),"Assign team","OK"))))))))</f>
        <v/>
      </c>
    </row>
    <row r="411">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f>IF(I411="","",IF(AND(I411="Fail",K411=""),"Classify Issue Source",IF(AND(I411="Fail",W411=""),"Set Confidence",IF(AND(K411="Unknown",W411&lt;&gt;"Low"),"Unknown must be Low confidence",IF(AND(OR(K411="Backend",K411="SAP"),N411=""),"Add HTTP status + endpoint",IF(AND(OR(K411="Backend",K411="SAP",K411="Network"),P411=""),"Add Correlation ID",IF(AND(I411="Fail",T411=""),"Write Root Cause / evidence gap",IF(AND(I411="Fail",V411=""),"Assign team","OK"))))))))</f>
        <v/>
      </c>
    </row>
    <row r="412">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f>IF(I412="","",IF(AND(I412="Fail",K412=""),"Classify Issue Source",IF(AND(I412="Fail",W412=""),"Set Confidence",IF(AND(K412="Unknown",W412&lt;&gt;"Low"),"Unknown must be Low confidence",IF(AND(OR(K412="Backend",K412="SAP"),N412=""),"Add HTTP status + endpoint",IF(AND(OR(K412="Backend",K412="SAP",K412="Network"),P412=""),"Add Correlation ID",IF(AND(I412="Fail",T412=""),"Write Root Cause / evidence gap",IF(AND(I412="Fail",V412=""),"Assign team","OK"))))))))</f>
        <v/>
      </c>
    </row>
    <row r="413">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f>IF(I413="","",IF(AND(I413="Fail",K413=""),"Classify Issue Source",IF(AND(I413="Fail",W413=""),"Set Confidence",IF(AND(K413="Unknown",W413&lt;&gt;"Low"),"Unknown must be Low confidence",IF(AND(OR(K413="Backend",K413="SAP"),N413=""),"Add HTTP status + endpoint",IF(AND(OR(K413="Backend",K413="SAP",K413="Network"),P413=""),"Add Correlation ID",IF(AND(I413="Fail",T413=""),"Write Root Cause / evidence gap",IF(AND(I413="Fail",V413=""),"Assign team","OK"))))))))</f>
        <v/>
      </c>
    </row>
    <row r="414">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f>IF(I414="","",IF(AND(I414="Fail",K414=""),"Classify Issue Source",IF(AND(I414="Fail",W414=""),"Set Confidence",IF(AND(K414="Unknown",W414&lt;&gt;"Low"),"Unknown must be Low confidence",IF(AND(OR(K414="Backend",K414="SAP"),N414=""),"Add HTTP status + endpoint",IF(AND(OR(K414="Backend",K414="SAP",K414="Network"),P414=""),"Add Correlation ID",IF(AND(I414="Fail",T414=""),"Write Root Cause / evidence gap",IF(AND(I414="Fail",V414=""),"Assign team","OK"))))))))</f>
        <v/>
      </c>
    </row>
    <row r="415">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f>IF(I415="","",IF(AND(I415="Fail",K415=""),"Classify Issue Source",IF(AND(I415="Fail",W415=""),"Set Confidence",IF(AND(K415="Unknown",W415&lt;&gt;"Low"),"Unknown must be Low confidence",IF(AND(OR(K415="Backend",K415="SAP"),N415=""),"Add HTTP status + endpoint",IF(AND(OR(K415="Backend",K415="SAP",K415="Network"),P415=""),"Add Correlation ID",IF(AND(I415="Fail",T415=""),"Write Root Cause / evidence gap",IF(AND(I415="Fail",V415=""),"Assign team","OK"))))))))</f>
        <v/>
      </c>
    </row>
    <row r="416">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f>IF(I416="","",IF(AND(I416="Fail",K416=""),"Classify Issue Source",IF(AND(I416="Fail",W416=""),"Set Confidence",IF(AND(K416="Unknown",W416&lt;&gt;"Low"),"Unknown must be Low confidence",IF(AND(OR(K416="Backend",K416="SAP"),N416=""),"Add HTTP status + endpoint",IF(AND(OR(K416="Backend",K416="SAP",K416="Network"),P416=""),"Add Correlation ID",IF(AND(I416="Fail",T416=""),"Write Root Cause / evidence gap",IF(AND(I416="Fail",V416=""),"Assign team","OK"))))))))</f>
        <v/>
      </c>
    </row>
    <row r="417">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f>IF(I417="","",IF(AND(I417="Fail",K417=""),"Classify Issue Source",IF(AND(I417="Fail",W417=""),"Set Confidence",IF(AND(K417="Unknown",W417&lt;&gt;"Low"),"Unknown must be Low confidence",IF(AND(OR(K417="Backend",K417="SAP"),N417=""),"Add HTTP status + endpoint",IF(AND(OR(K417="Backend",K417="SAP",K417="Network"),P417=""),"Add Correlation ID",IF(AND(I417="Fail",T417=""),"Write Root Cause / evidence gap",IF(AND(I417="Fail",V417=""),"Assign team","OK"))))))))</f>
        <v/>
      </c>
    </row>
    <row r="418">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f>IF(I418="","",IF(AND(I418="Fail",K418=""),"Classify Issue Source",IF(AND(I418="Fail",W418=""),"Set Confidence",IF(AND(K418="Unknown",W418&lt;&gt;"Low"),"Unknown must be Low confidence",IF(AND(OR(K418="Backend",K418="SAP"),N418=""),"Add HTTP status + endpoint",IF(AND(OR(K418="Backend",K418="SAP",K418="Network"),P418=""),"Add Correlation ID",IF(AND(I418="Fail",T418=""),"Write Root Cause / evidence gap",IF(AND(I418="Fail",V418=""),"Assign team","OK"))))))))</f>
        <v/>
      </c>
    </row>
    <row r="41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f>IF(I419="","",IF(AND(I419="Fail",K419=""),"Classify Issue Source",IF(AND(I419="Fail",W419=""),"Set Confidence",IF(AND(K419="Unknown",W419&lt;&gt;"Low"),"Unknown must be Low confidence",IF(AND(OR(K419="Backend",K419="SAP"),N419=""),"Add HTTP status + endpoint",IF(AND(OR(K419="Backend",K419="SAP",K419="Network"),P419=""),"Add Correlation ID",IF(AND(I419="Fail",T419=""),"Write Root Cause / evidence gap",IF(AND(I419="Fail",V419=""),"Assign team","OK"))))))))</f>
        <v/>
      </c>
    </row>
    <row r="420">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f>IF(I420="","",IF(AND(I420="Fail",K420=""),"Classify Issue Source",IF(AND(I420="Fail",W420=""),"Set Confidence",IF(AND(K420="Unknown",W420&lt;&gt;"Low"),"Unknown must be Low confidence",IF(AND(OR(K420="Backend",K420="SAP"),N420=""),"Add HTTP status + endpoint",IF(AND(OR(K420="Backend",K420="SAP",K420="Network"),P420=""),"Add Correlation ID",IF(AND(I420="Fail",T420=""),"Write Root Cause / evidence gap",IF(AND(I420="Fail",V420=""),"Assign team","OK"))))))))</f>
        <v/>
      </c>
    </row>
    <row r="421">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f>IF(I421="","",IF(AND(I421="Fail",K421=""),"Classify Issue Source",IF(AND(I421="Fail",W421=""),"Set Confidence",IF(AND(K421="Unknown",W421&lt;&gt;"Low"),"Unknown must be Low confidence",IF(AND(OR(K421="Backend",K421="SAP"),N421=""),"Add HTTP status + endpoint",IF(AND(OR(K421="Backend",K421="SAP",K421="Network"),P421=""),"Add Correlation ID",IF(AND(I421="Fail",T421=""),"Write Root Cause / evidence gap",IF(AND(I421="Fail",V421=""),"Assign team","OK"))))))))</f>
        <v/>
      </c>
    </row>
    <row r="422">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f>IF(I422="","",IF(AND(I422="Fail",K422=""),"Classify Issue Source",IF(AND(I422="Fail",W422=""),"Set Confidence",IF(AND(K422="Unknown",W422&lt;&gt;"Low"),"Unknown must be Low confidence",IF(AND(OR(K422="Backend",K422="SAP"),N422=""),"Add HTTP status + endpoint",IF(AND(OR(K422="Backend",K422="SAP",K422="Network"),P422=""),"Add Correlation ID",IF(AND(I422="Fail",T422=""),"Write Root Cause / evidence gap",IF(AND(I422="Fail",V422=""),"Assign team","OK"))))))))</f>
        <v/>
      </c>
    </row>
    <row r="423">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f>IF(I423="","",IF(AND(I423="Fail",K423=""),"Classify Issue Source",IF(AND(I423="Fail",W423=""),"Set Confidence",IF(AND(K423="Unknown",W423&lt;&gt;"Low"),"Unknown must be Low confidence",IF(AND(OR(K423="Backend",K423="SAP"),N423=""),"Add HTTP status + endpoint",IF(AND(OR(K423="Backend",K423="SAP",K423="Network"),P423=""),"Add Correlation ID",IF(AND(I423="Fail",T423=""),"Write Root Cause / evidence gap",IF(AND(I423="Fail",V423=""),"Assign team","OK"))))))))</f>
        <v/>
      </c>
    </row>
    <row r="424">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f>IF(I424="","",IF(AND(I424="Fail",K424=""),"Classify Issue Source",IF(AND(I424="Fail",W424=""),"Set Confidence",IF(AND(K424="Unknown",W424&lt;&gt;"Low"),"Unknown must be Low confidence",IF(AND(OR(K424="Backend",K424="SAP"),N424=""),"Add HTTP status + endpoint",IF(AND(OR(K424="Backend",K424="SAP",K424="Network"),P424=""),"Add Correlation ID",IF(AND(I424="Fail",T424=""),"Write Root Cause / evidence gap",IF(AND(I424="Fail",V424=""),"Assign team","OK"))))))))</f>
        <v/>
      </c>
    </row>
    <row r="425">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f>IF(I425="","",IF(AND(I425="Fail",K425=""),"Classify Issue Source",IF(AND(I425="Fail",W425=""),"Set Confidence",IF(AND(K425="Unknown",W425&lt;&gt;"Low"),"Unknown must be Low confidence",IF(AND(OR(K425="Backend",K425="SAP"),N425=""),"Add HTTP status + endpoint",IF(AND(OR(K425="Backend",K425="SAP",K425="Network"),P425=""),"Add Correlation ID",IF(AND(I425="Fail",T425=""),"Write Root Cause / evidence gap",IF(AND(I425="Fail",V425=""),"Assign team","OK"))))))))</f>
        <v/>
      </c>
    </row>
    <row r="426">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f>IF(I426="","",IF(AND(I426="Fail",K426=""),"Classify Issue Source",IF(AND(I426="Fail",W426=""),"Set Confidence",IF(AND(K426="Unknown",W426&lt;&gt;"Low"),"Unknown must be Low confidence",IF(AND(OR(K426="Backend",K426="SAP"),N426=""),"Add HTTP status + endpoint",IF(AND(OR(K426="Backend",K426="SAP",K426="Network"),P426=""),"Add Correlation ID",IF(AND(I426="Fail",T426=""),"Write Root Cause / evidence gap",IF(AND(I426="Fail",V426=""),"Assign team","OK"))))))))</f>
        <v/>
      </c>
    </row>
    <row r="427">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f>IF(I427="","",IF(AND(I427="Fail",K427=""),"Classify Issue Source",IF(AND(I427="Fail",W427=""),"Set Confidence",IF(AND(K427="Unknown",W427&lt;&gt;"Low"),"Unknown must be Low confidence",IF(AND(OR(K427="Backend",K427="SAP"),N427=""),"Add HTTP status + endpoint",IF(AND(OR(K427="Backend",K427="SAP",K427="Network"),P427=""),"Add Correlation ID",IF(AND(I427="Fail",T427=""),"Write Root Cause / evidence gap",IF(AND(I427="Fail",V427=""),"Assign team","OK"))))))))</f>
        <v/>
      </c>
    </row>
    <row r="428">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f>IF(I428="","",IF(AND(I428="Fail",K428=""),"Classify Issue Source",IF(AND(I428="Fail",W428=""),"Set Confidence",IF(AND(K428="Unknown",W428&lt;&gt;"Low"),"Unknown must be Low confidence",IF(AND(OR(K428="Backend",K428="SAP"),N428=""),"Add HTTP status + endpoint",IF(AND(OR(K428="Backend",K428="SAP",K428="Network"),P428=""),"Add Correlation ID",IF(AND(I428="Fail",T428=""),"Write Root Cause / evidence gap",IF(AND(I428="Fail",V428=""),"Assign team","OK"))))))))</f>
        <v/>
      </c>
    </row>
    <row r="42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f>IF(I429="","",IF(AND(I429="Fail",K429=""),"Classify Issue Source",IF(AND(I429="Fail",W429=""),"Set Confidence",IF(AND(K429="Unknown",W429&lt;&gt;"Low"),"Unknown must be Low confidence",IF(AND(OR(K429="Backend",K429="SAP"),N429=""),"Add HTTP status + endpoint",IF(AND(OR(K429="Backend",K429="SAP",K429="Network"),P429=""),"Add Correlation ID",IF(AND(I429="Fail",T429=""),"Write Root Cause / evidence gap",IF(AND(I429="Fail",V429=""),"Assign team","OK"))))))))</f>
        <v/>
      </c>
    </row>
    <row r="430">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f>IF(I430="","",IF(AND(I430="Fail",K430=""),"Classify Issue Source",IF(AND(I430="Fail",W430=""),"Set Confidence",IF(AND(K430="Unknown",W430&lt;&gt;"Low"),"Unknown must be Low confidence",IF(AND(OR(K430="Backend",K430="SAP"),N430=""),"Add HTTP status + endpoint",IF(AND(OR(K430="Backend",K430="SAP",K430="Network"),P430=""),"Add Correlation ID",IF(AND(I430="Fail",T430=""),"Write Root Cause / evidence gap",IF(AND(I430="Fail",V430=""),"Assign team","OK"))))))))</f>
        <v/>
      </c>
    </row>
    <row r="431">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f>IF(I431="","",IF(AND(I431="Fail",K431=""),"Classify Issue Source",IF(AND(I431="Fail",W431=""),"Set Confidence",IF(AND(K431="Unknown",W431&lt;&gt;"Low"),"Unknown must be Low confidence",IF(AND(OR(K431="Backend",K431="SAP"),N431=""),"Add HTTP status + endpoint",IF(AND(OR(K431="Backend",K431="SAP",K431="Network"),P431=""),"Add Correlation ID",IF(AND(I431="Fail",T431=""),"Write Root Cause / evidence gap",IF(AND(I431="Fail",V431=""),"Assign team","OK"))))))))</f>
        <v/>
      </c>
    </row>
    <row r="432">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f>IF(I432="","",IF(AND(I432="Fail",K432=""),"Classify Issue Source",IF(AND(I432="Fail",W432=""),"Set Confidence",IF(AND(K432="Unknown",W432&lt;&gt;"Low"),"Unknown must be Low confidence",IF(AND(OR(K432="Backend",K432="SAP"),N432=""),"Add HTTP status + endpoint",IF(AND(OR(K432="Backend",K432="SAP",K432="Network"),P432=""),"Add Correlation ID",IF(AND(I432="Fail",T432=""),"Write Root Cause / evidence gap",IF(AND(I432="Fail",V432=""),"Assign team","OK"))))))))</f>
        <v/>
      </c>
    </row>
    <row r="433">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f>IF(I433="","",IF(AND(I433="Fail",K433=""),"Classify Issue Source",IF(AND(I433="Fail",W433=""),"Set Confidence",IF(AND(K433="Unknown",W433&lt;&gt;"Low"),"Unknown must be Low confidence",IF(AND(OR(K433="Backend",K433="SAP"),N433=""),"Add HTTP status + endpoint",IF(AND(OR(K433="Backend",K433="SAP",K433="Network"),P433=""),"Add Correlation ID",IF(AND(I433="Fail",T433=""),"Write Root Cause / evidence gap",IF(AND(I433="Fail",V433=""),"Assign team","OK"))))))))</f>
        <v/>
      </c>
    </row>
    <row r="434">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f>IF(I434="","",IF(AND(I434="Fail",K434=""),"Classify Issue Source",IF(AND(I434="Fail",W434=""),"Set Confidence",IF(AND(K434="Unknown",W434&lt;&gt;"Low"),"Unknown must be Low confidence",IF(AND(OR(K434="Backend",K434="SAP"),N434=""),"Add HTTP status + endpoint",IF(AND(OR(K434="Backend",K434="SAP",K434="Network"),P434=""),"Add Correlation ID",IF(AND(I434="Fail",T434=""),"Write Root Cause / evidence gap",IF(AND(I434="Fail",V434=""),"Assign team","OK"))))))))</f>
        <v/>
      </c>
    </row>
    <row r="435">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f>IF(I435="","",IF(AND(I435="Fail",K435=""),"Classify Issue Source",IF(AND(I435="Fail",W435=""),"Set Confidence",IF(AND(K435="Unknown",W435&lt;&gt;"Low"),"Unknown must be Low confidence",IF(AND(OR(K435="Backend",K435="SAP"),N435=""),"Add HTTP status + endpoint",IF(AND(OR(K435="Backend",K435="SAP",K435="Network"),P435=""),"Add Correlation ID",IF(AND(I435="Fail",T435=""),"Write Root Cause / evidence gap",IF(AND(I435="Fail",V435=""),"Assign team","OK"))))))))</f>
        <v/>
      </c>
    </row>
    <row r="436">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f>IF(I436="","",IF(AND(I436="Fail",K436=""),"Classify Issue Source",IF(AND(I436="Fail",W436=""),"Set Confidence",IF(AND(K436="Unknown",W436&lt;&gt;"Low"),"Unknown must be Low confidence",IF(AND(OR(K436="Backend",K436="SAP"),N436=""),"Add HTTP status + endpoint",IF(AND(OR(K436="Backend",K436="SAP",K436="Network"),P436=""),"Add Correlation ID",IF(AND(I436="Fail",T436=""),"Write Root Cause / evidence gap",IF(AND(I436="Fail",V436=""),"Assign team","OK"))))))))</f>
        <v/>
      </c>
    </row>
    <row r="437">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f>IF(I437="","",IF(AND(I437="Fail",K437=""),"Classify Issue Source",IF(AND(I437="Fail",W437=""),"Set Confidence",IF(AND(K437="Unknown",W437&lt;&gt;"Low"),"Unknown must be Low confidence",IF(AND(OR(K437="Backend",K437="SAP"),N437=""),"Add HTTP status + endpoint",IF(AND(OR(K437="Backend",K437="SAP",K437="Network"),P437=""),"Add Correlation ID",IF(AND(I437="Fail",T437=""),"Write Root Cause / evidence gap",IF(AND(I437="Fail",V437=""),"Assign team","OK"))))))))</f>
        <v/>
      </c>
    </row>
    <row r="438">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f>IF(I438="","",IF(AND(I438="Fail",K438=""),"Classify Issue Source",IF(AND(I438="Fail",W438=""),"Set Confidence",IF(AND(K438="Unknown",W438&lt;&gt;"Low"),"Unknown must be Low confidence",IF(AND(OR(K438="Backend",K438="SAP"),N438=""),"Add HTTP status + endpoint",IF(AND(OR(K438="Backend",K438="SAP",K438="Network"),P438=""),"Add Correlation ID",IF(AND(I438="Fail",T438=""),"Write Root Cause / evidence gap",IF(AND(I438="Fail",V438=""),"Assign team","OK"))))))))</f>
        <v/>
      </c>
    </row>
    <row r="43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f>IF(I439="","",IF(AND(I439="Fail",K439=""),"Classify Issue Source",IF(AND(I439="Fail",W439=""),"Set Confidence",IF(AND(K439="Unknown",W439&lt;&gt;"Low"),"Unknown must be Low confidence",IF(AND(OR(K439="Backend",K439="SAP"),N439=""),"Add HTTP status + endpoint",IF(AND(OR(K439="Backend",K439="SAP",K439="Network"),P439=""),"Add Correlation ID",IF(AND(I439="Fail",T439=""),"Write Root Cause / evidence gap",IF(AND(I439="Fail",V439=""),"Assign team","OK"))))))))</f>
        <v/>
      </c>
    </row>
    <row r="440">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f>IF(I440="","",IF(AND(I440="Fail",K440=""),"Classify Issue Source",IF(AND(I440="Fail",W440=""),"Set Confidence",IF(AND(K440="Unknown",W440&lt;&gt;"Low"),"Unknown must be Low confidence",IF(AND(OR(K440="Backend",K440="SAP"),N440=""),"Add HTTP status + endpoint",IF(AND(OR(K440="Backend",K440="SAP",K440="Network"),P440=""),"Add Correlation ID",IF(AND(I440="Fail",T440=""),"Write Root Cause / evidence gap",IF(AND(I440="Fail",V440=""),"Assign team","OK"))))))))</f>
        <v/>
      </c>
    </row>
    <row r="441">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f>IF(I441="","",IF(AND(I441="Fail",K441=""),"Classify Issue Source",IF(AND(I441="Fail",W441=""),"Set Confidence",IF(AND(K441="Unknown",W441&lt;&gt;"Low"),"Unknown must be Low confidence",IF(AND(OR(K441="Backend",K441="SAP"),N441=""),"Add HTTP status + endpoint",IF(AND(OR(K441="Backend",K441="SAP",K441="Network"),P441=""),"Add Correlation ID",IF(AND(I441="Fail",T441=""),"Write Root Cause / evidence gap",IF(AND(I441="Fail",V441=""),"Assign team","OK"))))))))</f>
        <v/>
      </c>
    </row>
    <row r="442">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f>IF(I442="","",IF(AND(I442="Fail",K442=""),"Classify Issue Source",IF(AND(I442="Fail",W442=""),"Set Confidence",IF(AND(K442="Unknown",W442&lt;&gt;"Low"),"Unknown must be Low confidence",IF(AND(OR(K442="Backend",K442="SAP"),N442=""),"Add HTTP status + endpoint",IF(AND(OR(K442="Backend",K442="SAP",K442="Network"),P442=""),"Add Correlation ID",IF(AND(I442="Fail",T442=""),"Write Root Cause / evidence gap",IF(AND(I442="Fail",V442=""),"Assign team","OK"))))))))</f>
        <v/>
      </c>
    </row>
    <row r="443">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f>IF(I443="","",IF(AND(I443="Fail",K443=""),"Classify Issue Source",IF(AND(I443="Fail",W443=""),"Set Confidence",IF(AND(K443="Unknown",W443&lt;&gt;"Low"),"Unknown must be Low confidence",IF(AND(OR(K443="Backend",K443="SAP"),N443=""),"Add HTTP status + endpoint",IF(AND(OR(K443="Backend",K443="SAP",K443="Network"),P443=""),"Add Correlation ID",IF(AND(I443="Fail",T443=""),"Write Root Cause / evidence gap",IF(AND(I443="Fail",V443=""),"Assign team","OK"))))))))</f>
        <v/>
      </c>
    </row>
    <row r="444">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f>IF(I444="","",IF(AND(I444="Fail",K444=""),"Classify Issue Source",IF(AND(I444="Fail",W444=""),"Set Confidence",IF(AND(K444="Unknown",W444&lt;&gt;"Low"),"Unknown must be Low confidence",IF(AND(OR(K444="Backend",K444="SAP"),N444=""),"Add HTTP status + endpoint",IF(AND(OR(K444="Backend",K444="SAP",K444="Network"),P444=""),"Add Correlation ID",IF(AND(I444="Fail",T444=""),"Write Root Cause / evidence gap",IF(AND(I444="Fail",V444=""),"Assign team","OK"))))))))</f>
        <v/>
      </c>
    </row>
    <row r="445">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f>IF(I445="","",IF(AND(I445="Fail",K445=""),"Classify Issue Source",IF(AND(I445="Fail",W445=""),"Set Confidence",IF(AND(K445="Unknown",W445&lt;&gt;"Low"),"Unknown must be Low confidence",IF(AND(OR(K445="Backend",K445="SAP"),N445=""),"Add HTTP status + endpoint",IF(AND(OR(K445="Backend",K445="SAP",K445="Network"),P445=""),"Add Correlation ID",IF(AND(I445="Fail",T445=""),"Write Root Cause / evidence gap",IF(AND(I445="Fail",V445=""),"Assign team","OK"))))))))</f>
        <v/>
      </c>
    </row>
    <row r="446">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f>IF(I446="","",IF(AND(I446="Fail",K446=""),"Classify Issue Source",IF(AND(I446="Fail",W446=""),"Set Confidence",IF(AND(K446="Unknown",W446&lt;&gt;"Low"),"Unknown must be Low confidence",IF(AND(OR(K446="Backend",K446="SAP"),N446=""),"Add HTTP status + endpoint",IF(AND(OR(K446="Backend",K446="SAP",K446="Network"),P446=""),"Add Correlation ID",IF(AND(I446="Fail",T446=""),"Write Root Cause / evidence gap",IF(AND(I446="Fail",V446=""),"Assign team","OK"))))))))</f>
        <v/>
      </c>
    </row>
    <row r="447">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f>IF(I447="","",IF(AND(I447="Fail",K447=""),"Classify Issue Source",IF(AND(I447="Fail",W447=""),"Set Confidence",IF(AND(K447="Unknown",W447&lt;&gt;"Low"),"Unknown must be Low confidence",IF(AND(OR(K447="Backend",K447="SAP"),N447=""),"Add HTTP status + endpoint",IF(AND(OR(K447="Backend",K447="SAP",K447="Network"),P447=""),"Add Correlation ID",IF(AND(I447="Fail",T447=""),"Write Root Cause / evidence gap",IF(AND(I447="Fail",V447=""),"Assign team","OK"))))))))</f>
        <v/>
      </c>
    </row>
    <row r="448">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f>IF(I448="","",IF(AND(I448="Fail",K448=""),"Classify Issue Source",IF(AND(I448="Fail",W448=""),"Set Confidence",IF(AND(K448="Unknown",W448&lt;&gt;"Low"),"Unknown must be Low confidence",IF(AND(OR(K448="Backend",K448="SAP"),N448=""),"Add HTTP status + endpoint",IF(AND(OR(K448="Backend",K448="SAP",K448="Network"),P448=""),"Add Correlation ID",IF(AND(I448="Fail",T448=""),"Write Root Cause / evidence gap",IF(AND(I448="Fail",V448=""),"Assign team","OK"))))))))</f>
        <v/>
      </c>
    </row>
    <row r="44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f>IF(I449="","",IF(AND(I449="Fail",K449=""),"Classify Issue Source",IF(AND(I449="Fail",W449=""),"Set Confidence",IF(AND(K449="Unknown",W449&lt;&gt;"Low"),"Unknown must be Low confidence",IF(AND(OR(K449="Backend",K449="SAP"),N449=""),"Add HTTP status + endpoint",IF(AND(OR(K449="Backend",K449="SAP",K449="Network"),P449=""),"Add Correlation ID",IF(AND(I449="Fail",T449=""),"Write Root Cause / evidence gap",IF(AND(I449="Fail",V449=""),"Assign team","OK"))))))))</f>
        <v/>
      </c>
    </row>
    <row r="450">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f>IF(I450="","",IF(AND(I450="Fail",K450=""),"Classify Issue Source",IF(AND(I450="Fail",W450=""),"Set Confidence",IF(AND(K450="Unknown",W450&lt;&gt;"Low"),"Unknown must be Low confidence",IF(AND(OR(K450="Backend",K450="SAP"),N450=""),"Add HTTP status + endpoint",IF(AND(OR(K450="Backend",K450="SAP",K450="Network"),P450=""),"Add Correlation ID",IF(AND(I450="Fail",T450=""),"Write Root Cause / evidence gap",IF(AND(I450="Fail",V450=""),"Assign team","OK"))))))))</f>
        <v/>
      </c>
    </row>
    <row r="451">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f>IF(I451="","",IF(AND(I451="Fail",K451=""),"Classify Issue Source",IF(AND(I451="Fail",W451=""),"Set Confidence",IF(AND(K451="Unknown",W451&lt;&gt;"Low"),"Unknown must be Low confidence",IF(AND(OR(K451="Backend",K451="SAP"),N451=""),"Add HTTP status + endpoint",IF(AND(OR(K451="Backend",K451="SAP",K451="Network"),P451=""),"Add Correlation ID",IF(AND(I451="Fail",T451=""),"Write Root Cause / evidence gap",IF(AND(I451="Fail",V451=""),"Assign team","OK"))))))))</f>
        <v/>
      </c>
    </row>
    <row r="452">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f>IF(I452="","",IF(AND(I452="Fail",K452=""),"Classify Issue Source",IF(AND(I452="Fail",W452=""),"Set Confidence",IF(AND(K452="Unknown",W452&lt;&gt;"Low"),"Unknown must be Low confidence",IF(AND(OR(K452="Backend",K452="SAP"),N452=""),"Add HTTP status + endpoint",IF(AND(OR(K452="Backend",K452="SAP",K452="Network"),P452=""),"Add Correlation ID",IF(AND(I452="Fail",T452=""),"Write Root Cause / evidence gap",IF(AND(I452="Fail",V452=""),"Assign team","OK"))))))))</f>
        <v/>
      </c>
    </row>
    <row r="453">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f>IF(I453="","",IF(AND(I453="Fail",K453=""),"Classify Issue Source",IF(AND(I453="Fail",W453=""),"Set Confidence",IF(AND(K453="Unknown",W453&lt;&gt;"Low"),"Unknown must be Low confidence",IF(AND(OR(K453="Backend",K453="SAP"),N453=""),"Add HTTP status + endpoint",IF(AND(OR(K453="Backend",K453="SAP",K453="Network"),P453=""),"Add Correlation ID",IF(AND(I453="Fail",T453=""),"Write Root Cause / evidence gap",IF(AND(I453="Fail",V453=""),"Assign team","OK"))))))))</f>
        <v/>
      </c>
    </row>
    <row r="454">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f>IF(I454="","",IF(AND(I454="Fail",K454=""),"Classify Issue Source",IF(AND(I454="Fail",W454=""),"Set Confidence",IF(AND(K454="Unknown",W454&lt;&gt;"Low"),"Unknown must be Low confidence",IF(AND(OR(K454="Backend",K454="SAP"),N454=""),"Add HTTP status + endpoint",IF(AND(OR(K454="Backend",K454="SAP",K454="Network"),P454=""),"Add Correlation ID",IF(AND(I454="Fail",T454=""),"Write Root Cause / evidence gap",IF(AND(I454="Fail",V454=""),"Assign team","OK"))))))))</f>
        <v/>
      </c>
    </row>
    <row r="455">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f>IF(I455="","",IF(AND(I455="Fail",K455=""),"Classify Issue Source",IF(AND(I455="Fail",W455=""),"Set Confidence",IF(AND(K455="Unknown",W455&lt;&gt;"Low"),"Unknown must be Low confidence",IF(AND(OR(K455="Backend",K455="SAP"),N455=""),"Add HTTP status + endpoint",IF(AND(OR(K455="Backend",K455="SAP",K455="Network"),P455=""),"Add Correlation ID",IF(AND(I455="Fail",T455=""),"Write Root Cause / evidence gap",IF(AND(I455="Fail",V455=""),"Assign team","OK"))))))))</f>
        <v/>
      </c>
    </row>
    <row r="456">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f>IF(I456="","",IF(AND(I456="Fail",K456=""),"Classify Issue Source",IF(AND(I456="Fail",W456=""),"Set Confidence",IF(AND(K456="Unknown",W456&lt;&gt;"Low"),"Unknown must be Low confidence",IF(AND(OR(K456="Backend",K456="SAP"),N456=""),"Add HTTP status + endpoint",IF(AND(OR(K456="Backend",K456="SAP",K456="Network"),P456=""),"Add Correlation ID",IF(AND(I456="Fail",T456=""),"Write Root Cause / evidence gap",IF(AND(I456="Fail",V456=""),"Assign team","OK"))))))))</f>
        <v/>
      </c>
    </row>
    <row r="457">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f>IF(I457="","",IF(AND(I457="Fail",K457=""),"Classify Issue Source",IF(AND(I457="Fail",W457=""),"Set Confidence",IF(AND(K457="Unknown",W457&lt;&gt;"Low"),"Unknown must be Low confidence",IF(AND(OR(K457="Backend",K457="SAP"),N457=""),"Add HTTP status + endpoint",IF(AND(OR(K457="Backend",K457="SAP",K457="Network"),P457=""),"Add Correlation ID",IF(AND(I457="Fail",T457=""),"Write Root Cause / evidence gap",IF(AND(I457="Fail",V457=""),"Assign team","OK"))))))))</f>
        <v/>
      </c>
    </row>
    <row r="458">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f>IF(I458="","",IF(AND(I458="Fail",K458=""),"Classify Issue Source",IF(AND(I458="Fail",W458=""),"Set Confidence",IF(AND(K458="Unknown",W458&lt;&gt;"Low"),"Unknown must be Low confidence",IF(AND(OR(K458="Backend",K458="SAP"),N458=""),"Add HTTP status + endpoint",IF(AND(OR(K458="Backend",K458="SAP",K458="Network"),P458=""),"Add Correlation ID",IF(AND(I458="Fail",T458=""),"Write Root Cause / evidence gap",IF(AND(I458="Fail",V458=""),"Assign team","OK"))))))))</f>
        <v/>
      </c>
    </row>
    <row r="45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f>IF(I459="","",IF(AND(I459="Fail",K459=""),"Classify Issue Source",IF(AND(I459="Fail",W459=""),"Set Confidence",IF(AND(K459="Unknown",W459&lt;&gt;"Low"),"Unknown must be Low confidence",IF(AND(OR(K459="Backend",K459="SAP"),N459=""),"Add HTTP status + endpoint",IF(AND(OR(K459="Backend",K459="SAP",K459="Network"),P459=""),"Add Correlation ID",IF(AND(I459="Fail",T459=""),"Write Root Cause / evidence gap",IF(AND(I459="Fail",V459=""),"Assign team","OK"))))))))</f>
        <v/>
      </c>
    </row>
    <row r="460">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f>IF(I460="","",IF(AND(I460="Fail",K460=""),"Classify Issue Source",IF(AND(I460="Fail",W460=""),"Set Confidence",IF(AND(K460="Unknown",W460&lt;&gt;"Low"),"Unknown must be Low confidence",IF(AND(OR(K460="Backend",K460="SAP"),N460=""),"Add HTTP status + endpoint",IF(AND(OR(K460="Backend",K460="SAP",K460="Network"),P460=""),"Add Correlation ID",IF(AND(I460="Fail",T460=""),"Write Root Cause / evidence gap",IF(AND(I460="Fail",V460=""),"Assign team","OK"))))))))</f>
        <v/>
      </c>
    </row>
    <row r="461">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f>IF(I461="","",IF(AND(I461="Fail",K461=""),"Classify Issue Source",IF(AND(I461="Fail",W461=""),"Set Confidence",IF(AND(K461="Unknown",W461&lt;&gt;"Low"),"Unknown must be Low confidence",IF(AND(OR(K461="Backend",K461="SAP"),N461=""),"Add HTTP status + endpoint",IF(AND(OR(K461="Backend",K461="SAP",K461="Network"),P461=""),"Add Correlation ID",IF(AND(I461="Fail",T461=""),"Write Root Cause / evidence gap",IF(AND(I461="Fail",V461=""),"Assign team","OK"))))))))</f>
        <v/>
      </c>
    </row>
    <row r="462">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f>IF(I462="","",IF(AND(I462="Fail",K462=""),"Classify Issue Source",IF(AND(I462="Fail",W462=""),"Set Confidence",IF(AND(K462="Unknown",W462&lt;&gt;"Low"),"Unknown must be Low confidence",IF(AND(OR(K462="Backend",K462="SAP"),N462=""),"Add HTTP status + endpoint",IF(AND(OR(K462="Backend",K462="SAP",K462="Network"),P462=""),"Add Correlation ID",IF(AND(I462="Fail",T462=""),"Write Root Cause / evidence gap",IF(AND(I462="Fail",V462=""),"Assign team","OK"))))))))</f>
        <v/>
      </c>
    </row>
    <row r="463">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f>IF(I463="","",IF(AND(I463="Fail",K463=""),"Classify Issue Source",IF(AND(I463="Fail",W463=""),"Set Confidence",IF(AND(K463="Unknown",W463&lt;&gt;"Low"),"Unknown must be Low confidence",IF(AND(OR(K463="Backend",K463="SAP"),N463=""),"Add HTTP status + endpoint",IF(AND(OR(K463="Backend",K463="SAP",K463="Network"),P463=""),"Add Correlation ID",IF(AND(I463="Fail",T463=""),"Write Root Cause / evidence gap",IF(AND(I463="Fail",V463=""),"Assign team","OK"))))))))</f>
        <v/>
      </c>
    </row>
    <row r="464">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f>IF(I464="","",IF(AND(I464="Fail",K464=""),"Classify Issue Source",IF(AND(I464="Fail",W464=""),"Set Confidence",IF(AND(K464="Unknown",W464&lt;&gt;"Low"),"Unknown must be Low confidence",IF(AND(OR(K464="Backend",K464="SAP"),N464=""),"Add HTTP status + endpoint",IF(AND(OR(K464="Backend",K464="SAP",K464="Network"),P464=""),"Add Correlation ID",IF(AND(I464="Fail",T464=""),"Write Root Cause / evidence gap",IF(AND(I464="Fail",V464=""),"Assign team","OK"))))))))</f>
        <v/>
      </c>
    </row>
    <row r="465">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f>IF(I465="","",IF(AND(I465="Fail",K465=""),"Classify Issue Source",IF(AND(I465="Fail",W465=""),"Set Confidence",IF(AND(K465="Unknown",W465&lt;&gt;"Low"),"Unknown must be Low confidence",IF(AND(OR(K465="Backend",K465="SAP"),N465=""),"Add HTTP status + endpoint",IF(AND(OR(K465="Backend",K465="SAP",K465="Network"),P465=""),"Add Correlation ID",IF(AND(I465="Fail",T465=""),"Write Root Cause / evidence gap",IF(AND(I465="Fail",V465=""),"Assign team","OK"))))))))</f>
        <v/>
      </c>
    </row>
    <row r="466">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f>IF(I466="","",IF(AND(I466="Fail",K466=""),"Classify Issue Source",IF(AND(I466="Fail",W466=""),"Set Confidence",IF(AND(K466="Unknown",W466&lt;&gt;"Low"),"Unknown must be Low confidence",IF(AND(OR(K466="Backend",K466="SAP"),N466=""),"Add HTTP status + endpoint",IF(AND(OR(K466="Backend",K466="SAP",K466="Network"),P466=""),"Add Correlation ID",IF(AND(I466="Fail",T466=""),"Write Root Cause / evidence gap",IF(AND(I466="Fail",V466=""),"Assign team","OK"))))))))</f>
        <v/>
      </c>
    </row>
    <row r="467">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f>IF(I467="","",IF(AND(I467="Fail",K467=""),"Classify Issue Source",IF(AND(I467="Fail",W467=""),"Set Confidence",IF(AND(K467="Unknown",W467&lt;&gt;"Low"),"Unknown must be Low confidence",IF(AND(OR(K467="Backend",K467="SAP"),N467=""),"Add HTTP status + endpoint",IF(AND(OR(K467="Backend",K467="SAP",K467="Network"),P467=""),"Add Correlation ID",IF(AND(I467="Fail",T467=""),"Write Root Cause / evidence gap",IF(AND(I467="Fail",V467=""),"Assign team","OK"))))))))</f>
        <v/>
      </c>
    </row>
    <row r="468">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f>IF(I468="","",IF(AND(I468="Fail",K468=""),"Classify Issue Source",IF(AND(I468="Fail",W468=""),"Set Confidence",IF(AND(K468="Unknown",W468&lt;&gt;"Low"),"Unknown must be Low confidence",IF(AND(OR(K468="Backend",K468="SAP"),N468=""),"Add HTTP status + endpoint",IF(AND(OR(K468="Backend",K468="SAP",K468="Network"),P468=""),"Add Correlation ID",IF(AND(I468="Fail",T468=""),"Write Root Cause / evidence gap",IF(AND(I468="Fail",V468=""),"Assign team","OK"))))))))</f>
        <v/>
      </c>
    </row>
    <row r="46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f>IF(I469="","",IF(AND(I469="Fail",K469=""),"Classify Issue Source",IF(AND(I469="Fail",W469=""),"Set Confidence",IF(AND(K469="Unknown",W469&lt;&gt;"Low"),"Unknown must be Low confidence",IF(AND(OR(K469="Backend",K469="SAP"),N469=""),"Add HTTP status + endpoint",IF(AND(OR(K469="Backend",K469="SAP",K469="Network"),P469=""),"Add Correlation ID",IF(AND(I469="Fail",T469=""),"Write Root Cause / evidence gap",IF(AND(I469="Fail",V469=""),"Assign team","OK"))))))))</f>
        <v/>
      </c>
    </row>
    <row r="470">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f>IF(I470="","",IF(AND(I470="Fail",K470=""),"Classify Issue Source",IF(AND(I470="Fail",W470=""),"Set Confidence",IF(AND(K470="Unknown",W470&lt;&gt;"Low"),"Unknown must be Low confidence",IF(AND(OR(K470="Backend",K470="SAP"),N470=""),"Add HTTP status + endpoint",IF(AND(OR(K470="Backend",K470="SAP",K470="Network"),P470=""),"Add Correlation ID",IF(AND(I470="Fail",T470=""),"Write Root Cause / evidence gap",IF(AND(I470="Fail",V470=""),"Assign team","OK"))))))))</f>
        <v/>
      </c>
    </row>
    <row r="471">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f>IF(I471="","",IF(AND(I471="Fail",K471=""),"Classify Issue Source",IF(AND(I471="Fail",W471=""),"Set Confidence",IF(AND(K471="Unknown",W471&lt;&gt;"Low"),"Unknown must be Low confidence",IF(AND(OR(K471="Backend",K471="SAP"),N471=""),"Add HTTP status + endpoint",IF(AND(OR(K471="Backend",K471="SAP",K471="Network"),P471=""),"Add Correlation ID",IF(AND(I471="Fail",T471=""),"Write Root Cause / evidence gap",IF(AND(I471="Fail",V471=""),"Assign team","OK"))))))))</f>
        <v/>
      </c>
    </row>
    <row r="472">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f>IF(I472="","",IF(AND(I472="Fail",K472=""),"Classify Issue Source",IF(AND(I472="Fail",W472=""),"Set Confidence",IF(AND(K472="Unknown",W472&lt;&gt;"Low"),"Unknown must be Low confidence",IF(AND(OR(K472="Backend",K472="SAP"),N472=""),"Add HTTP status + endpoint",IF(AND(OR(K472="Backend",K472="SAP",K472="Network"),P472=""),"Add Correlation ID",IF(AND(I472="Fail",T472=""),"Write Root Cause / evidence gap",IF(AND(I472="Fail",V472=""),"Assign team","OK"))))))))</f>
        <v/>
      </c>
    </row>
    <row r="473">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f>IF(I473="","",IF(AND(I473="Fail",K473=""),"Classify Issue Source",IF(AND(I473="Fail",W473=""),"Set Confidence",IF(AND(K473="Unknown",W473&lt;&gt;"Low"),"Unknown must be Low confidence",IF(AND(OR(K473="Backend",K473="SAP"),N473=""),"Add HTTP status + endpoint",IF(AND(OR(K473="Backend",K473="SAP",K473="Network"),P473=""),"Add Correlation ID",IF(AND(I473="Fail",T473=""),"Write Root Cause / evidence gap",IF(AND(I473="Fail",V473=""),"Assign team","OK"))))))))</f>
        <v/>
      </c>
    </row>
    <row r="474">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f>IF(I474="","",IF(AND(I474="Fail",K474=""),"Classify Issue Source",IF(AND(I474="Fail",W474=""),"Set Confidence",IF(AND(K474="Unknown",W474&lt;&gt;"Low"),"Unknown must be Low confidence",IF(AND(OR(K474="Backend",K474="SAP"),N474=""),"Add HTTP status + endpoint",IF(AND(OR(K474="Backend",K474="SAP",K474="Network"),P474=""),"Add Correlation ID",IF(AND(I474="Fail",T474=""),"Write Root Cause / evidence gap",IF(AND(I474="Fail",V474=""),"Assign team","OK"))))))))</f>
        <v/>
      </c>
    </row>
    <row r="475">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f>IF(I475="","",IF(AND(I475="Fail",K475=""),"Classify Issue Source",IF(AND(I475="Fail",W475=""),"Set Confidence",IF(AND(K475="Unknown",W475&lt;&gt;"Low"),"Unknown must be Low confidence",IF(AND(OR(K475="Backend",K475="SAP"),N475=""),"Add HTTP status + endpoint",IF(AND(OR(K475="Backend",K475="SAP",K475="Network"),P475=""),"Add Correlation ID",IF(AND(I475="Fail",T475=""),"Write Root Cause / evidence gap",IF(AND(I475="Fail",V475=""),"Assign team","OK"))))))))</f>
        <v/>
      </c>
    </row>
    <row r="476">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f>IF(I476="","",IF(AND(I476="Fail",K476=""),"Classify Issue Source",IF(AND(I476="Fail",W476=""),"Set Confidence",IF(AND(K476="Unknown",W476&lt;&gt;"Low"),"Unknown must be Low confidence",IF(AND(OR(K476="Backend",K476="SAP"),N476=""),"Add HTTP status + endpoint",IF(AND(OR(K476="Backend",K476="SAP",K476="Network"),P476=""),"Add Correlation ID",IF(AND(I476="Fail",T476=""),"Write Root Cause / evidence gap",IF(AND(I476="Fail",V476=""),"Assign team","OK"))))))))</f>
        <v/>
      </c>
    </row>
    <row r="477">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f>IF(I477="","",IF(AND(I477="Fail",K477=""),"Classify Issue Source",IF(AND(I477="Fail",W477=""),"Set Confidence",IF(AND(K477="Unknown",W477&lt;&gt;"Low"),"Unknown must be Low confidence",IF(AND(OR(K477="Backend",K477="SAP"),N477=""),"Add HTTP status + endpoint",IF(AND(OR(K477="Backend",K477="SAP",K477="Network"),P477=""),"Add Correlation ID",IF(AND(I477="Fail",T477=""),"Write Root Cause / evidence gap",IF(AND(I477="Fail",V477=""),"Assign team","OK"))))))))</f>
        <v/>
      </c>
    </row>
    <row r="478">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f>IF(I478="","",IF(AND(I478="Fail",K478=""),"Classify Issue Source",IF(AND(I478="Fail",W478=""),"Set Confidence",IF(AND(K478="Unknown",W478&lt;&gt;"Low"),"Unknown must be Low confidence",IF(AND(OR(K478="Backend",K478="SAP"),N478=""),"Add HTTP status + endpoint",IF(AND(OR(K478="Backend",K478="SAP",K478="Network"),P478=""),"Add Correlation ID",IF(AND(I478="Fail",T478=""),"Write Root Cause / evidence gap",IF(AND(I478="Fail",V478=""),"Assign team","OK"))))))))</f>
        <v/>
      </c>
    </row>
    <row r="4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f>IF(I479="","",IF(AND(I479="Fail",K479=""),"Classify Issue Source",IF(AND(I479="Fail",W479=""),"Set Confidence",IF(AND(K479="Unknown",W479&lt;&gt;"Low"),"Unknown must be Low confidence",IF(AND(OR(K479="Backend",K479="SAP"),N479=""),"Add HTTP status + endpoint",IF(AND(OR(K479="Backend",K479="SAP",K479="Network"),P479=""),"Add Correlation ID",IF(AND(I479="Fail",T479=""),"Write Root Cause / evidence gap",IF(AND(I479="Fail",V479=""),"Assign team","OK"))))))))</f>
        <v/>
      </c>
    </row>
    <row r="480">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f>IF(I480="","",IF(AND(I480="Fail",K480=""),"Classify Issue Source",IF(AND(I480="Fail",W480=""),"Set Confidence",IF(AND(K480="Unknown",W480&lt;&gt;"Low"),"Unknown must be Low confidence",IF(AND(OR(K480="Backend",K480="SAP"),N480=""),"Add HTTP status + endpoint",IF(AND(OR(K480="Backend",K480="SAP",K480="Network"),P480=""),"Add Correlation ID",IF(AND(I480="Fail",T480=""),"Write Root Cause / evidence gap",IF(AND(I480="Fail",V480=""),"Assign team","OK"))))))))</f>
        <v/>
      </c>
    </row>
    <row r="481">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f>IF(I481="","",IF(AND(I481="Fail",K481=""),"Classify Issue Source",IF(AND(I481="Fail",W481=""),"Set Confidence",IF(AND(K481="Unknown",W481&lt;&gt;"Low"),"Unknown must be Low confidence",IF(AND(OR(K481="Backend",K481="SAP"),N481=""),"Add HTTP status + endpoint",IF(AND(OR(K481="Backend",K481="SAP",K481="Network"),P481=""),"Add Correlation ID",IF(AND(I481="Fail",T481=""),"Write Root Cause / evidence gap",IF(AND(I481="Fail",V481=""),"Assign team","OK"))))))))</f>
        <v/>
      </c>
    </row>
    <row r="482">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f>IF(I482="","",IF(AND(I482="Fail",K482=""),"Classify Issue Source",IF(AND(I482="Fail",W482=""),"Set Confidence",IF(AND(K482="Unknown",W482&lt;&gt;"Low"),"Unknown must be Low confidence",IF(AND(OR(K482="Backend",K482="SAP"),N482=""),"Add HTTP status + endpoint",IF(AND(OR(K482="Backend",K482="SAP",K482="Network"),P482=""),"Add Correlation ID",IF(AND(I482="Fail",T482=""),"Write Root Cause / evidence gap",IF(AND(I482="Fail",V482=""),"Assign team","OK"))))))))</f>
        <v/>
      </c>
    </row>
    <row r="483">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f>IF(I483="","",IF(AND(I483="Fail",K483=""),"Classify Issue Source",IF(AND(I483="Fail",W483=""),"Set Confidence",IF(AND(K483="Unknown",W483&lt;&gt;"Low"),"Unknown must be Low confidence",IF(AND(OR(K483="Backend",K483="SAP"),N483=""),"Add HTTP status + endpoint",IF(AND(OR(K483="Backend",K483="SAP",K483="Network"),P483=""),"Add Correlation ID",IF(AND(I483="Fail",T483=""),"Write Root Cause / evidence gap",IF(AND(I483="Fail",V483=""),"Assign team","OK"))))))))</f>
        <v/>
      </c>
    </row>
    <row r="484">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f>IF(I484="","",IF(AND(I484="Fail",K484=""),"Classify Issue Source",IF(AND(I484="Fail",W484=""),"Set Confidence",IF(AND(K484="Unknown",W484&lt;&gt;"Low"),"Unknown must be Low confidence",IF(AND(OR(K484="Backend",K484="SAP"),N484=""),"Add HTTP status + endpoint",IF(AND(OR(K484="Backend",K484="SAP",K484="Network"),P484=""),"Add Correlation ID",IF(AND(I484="Fail",T484=""),"Write Root Cause / evidence gap",IF(AND(I484="Fail",V484=""),"Assign team","OK"))))))))</f>
        <v/>
      </c>
    </row>
    <row r="485">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f>IF(I485="","",IF(AND(I485="Fail",K485=""),"Classify Issue Source",IF(AND(I485="Fail",W485=""),"Set Confidence",IF(AND(K485="Unknown",W485&lt;&gt;"Low"),"Unknown must be Low confidence",IF(AND(OR(K485="Backend",K485="SAP"),N485=""),"Add HTTP status + endpoint",IF(AND(OR(K485="Backend",K485="SAP",K485="Network"),P485=""),"Add Correlation ID",IF(AND(I485="Fail",T485=""),"Write Root Cause / evidence gap",IF(AND(I485="Fail",V485=""),"Assign team","OK"))))))))</f>
        <v/>
      </c>
    </row>
    <row r="486">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f>IF(I486="","",IF(AND(I486="Fail",K486=""),"Classify Issue Source",IF(AND(I486="Fail",W486=""),"Set Confidence",IF(AND(K486="Unknown",W486&lt;&gt;"Low"),"Unknown must be Low confidence",IF(AND(OR(K486="Backend",K486="SAP"),N486=""),"Add HTTP status + endpoint",IF(AND(OR(K486="Backend",K486="SAP",K486="Network"),P486=""),"Add Correlation ID",IF(AND(I486="Fail",T486=""),"Write Root Cause / evidence gap",IF(AND(I486="Fail",V486=""),"Assign team","OK"))))))))</f>
        <v/>
      </c>
    </row>
    <row r="487">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f>IF(I487="","",IF(AND(I487="Fail",K487=""),"Classify Issue Source",IF(AND(I487="Fail",W487=""),"Set Confidence",IF(AND(K487="Unknown",W487&lt;&gt;"Low"),"Unknown must be Low confidence",IF(AND(OR(K487="Backend",K487="SAP"),N487=""),"Add HTTP status + endpoint",IF(AND(OR(K487="Backend",K487="SAP",K487="Network"),P487=""),"Add Correlation ID",IF(AND(I487="Fail",T487=""),"Write Root Cause / evidence gap",IF(AND(I487="Fail",V487=""),"Assign team","OK"))))))))</f>
        <v/>
      </c>
    </row>
    <row r="488">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f>IF(I488="","",IF(AND(I488="Fail",K488=""),"Classify Issue Source",IF(AND(I488="Fail",W488=""),"Set Confidence",IF(AND(K488="Unknown",W488&lt;&gt;"Low"),"Unknown must be Low confidence",IF(AND(OR(K488="Backend",K488="SAP"),N488=""),"Add HTTP status + endpoint",IF(AND(OR(K488="Backend",K488="SAP",K488="Network"),P488=""),"Add Correlation ID",IF(AND(I488="Fail",T488=""),"Write Root Cause / evidence gap",IF(AND(I488="Fail",V488=""),"Assign team","OK"))))))))</f>
        <v/>
      </c>
    </row>
    <row r="48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f>IF(I489="","",IF(AND(I489="Fail",K489=""),"Classify Issue Source",IF(AND(I489="Fail",W489=""),"Set Confidence",IF(AND(K489="Unknown",W489&lt;&gt;"Low"),"Unknown must be Low confidence",IF(AND(OR(K489="Backend",K489="SAP"),N489=""),"Add HTTP status + endpoint",IF(AND(OR(K489="Backend",K489="SAP",K489="Network"),P489=""),"Add Correlation ID",IF(AND(I489="Fail",T489=""),"Write Root Cause / evidence gap",IF(AND(I489="Fail",V489=""),"Assign team","OK"))))))))</f>
        <v/>
      </c>
    </row>
    <row r="490">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f>IF(I490="","",IF(AND(I490="Fail",K490=""),"Classify Issue Source",IF(AND(I490="Fail",W490=""),"Set Confidence",IF(AND(K490="Unknown",W490&lt;&gt;"Low"),"Unknown must be Low confidence",IF(AND(OR(K490="Backend",K490="SAP"),N490=""),"Add HTTP status + endpoint",IF(AND(OR(K490="Backend",K490="SAP",K490="Network"),P490=""),"Add Correlation ID",IF(AND(I490="Fail",T490=""),"Write Root Cause / evidence gap",IF(AND(I490="Fail",V490=""),"Assign team","OK"))))))))</f>
        <v/>
      </c>
    </row>
    <row r="491">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f>IF(I491="","",IF(AND(I491="Fail",K491=""),"Classify Issue Source",IF(AND(I491="Fail",W491=""),"Set Confidence",IF(AND(K491="Unknown",W491&lt;&gt;"Low"),"Unknown must be Low confidence",IF(AND(OR(K491="Backend",K491="SAP"),N491=""),"Add HTTP status + endpoint",IF(AND(OR(K491="Backend",K491="SAP",K491="Network"),P491=""),"Add Correlation ID",IF(AND(I491="Fail",T491=""),"Write Root Cause / evidence gap",IF(AND(I491="Fail",V491=""),"Assign team","OK"))))))))</f>
        <v/>
      </c>
    </row>
    <row r="492">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f>IF(I492="","",IF(AND(I492="Fail",K492=""),"Classify Issue Source",IF(AND(I492="Fail",W492=""),"Set Confidence",IF(AND(K492="Unknown",W492&lt;&gt;"Low"),"Unknown must be Low confidence",IF(AND(OR(K492="Backend",K492="SAP"),N492=""),"Add HTTP status + endpoint",IF(AND(OR(K492="Backend",K492="SAP",K492="Network"),P492=""),"Add Correlation ID",IF(AND(I492="Fail",T492=""),"Write Root Cause / evidence gap",IF(AND(I492="Fail",V492=""),"Assign team","OK"))))))))</f>
        <v/>
      </c>
    </row>
    <row r="493">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f>IF(I493="","",IF(AND(I493="Fail",K493=""),"Classify Issue Source",IF(AND(I493="Fail",W493=""),"Set Confidence",IF(AND(K493="Unknown",W493&lt;&gt;"Low"),"Unknown must be Low confidence",IF(AND(OR(K493="Backend",K493="SAP"),N493=""),"Add HTTP status + endpoint",IF(AND(OR(K493="Backend",K493="SAP",K493="Network"),P493=""),"Add Correlation ID",IF(AND(I493="Fail",T493=""),"Write Root Cause / evidence gap",IF(AND(I493="Fail",V493=""),"Assign team","OK"))))))))</f>
        <v/>
      </c>
    </row>
    <row r="494">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f>IF(I494="","",IF(AND(I494="Fail",K494=""),"Classify Issue Source",IF(AND(I494="Fail",W494=""),"Set Confidence",IF(AND(K494="Unknown",W494&lt;&gt;"Low"),"Unknown must be Low confidence",IF(AND(OR(K494="Backend",K494="SAP"),N494=""),"Add HTTP status + endpoint",IF(AND(OR(K494="Backend",K494="SAP",K494="Network"),P494=""),"Add Correlation ID",IF(AND(I494="Fail",T494=""),"Write Root Cause / evidence gap",IF(AND(I494="Fail",V494=""),"Assign team","OK"))))))))</f>
        <v/>
      </c>
    </row>
    <row r="495">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f>IF(I495="","",IF(AND(I495="Fail",K495=""),"Classify Issue Source",IF(AND(I495="Fail",W495=""),"Set Confidence",IF(AND(K495="Unknown",W495&lt;&gt;"Low"),"Unknown must be Low confidence",IF(AND(OR(K495="Backend",K495="SAP"),N495=""),"Add HTTP status + endpoint",IF(AND(OR(K495="Backend",K495="SAP",K495="Network"),P495=""),"Add Correlation ID",IF(AND(I495="Fail",T495=""),"Write Root Cause / evidence gap",IF(AND(I495="Fail",V495=""),"Assign team","OK"))))))))</f>
        <v/>
      </c>
    </row>
    <row r="496">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f>IF(I496="","",IF(AND(I496="Fail",K496=""),"Classify Issue Source",IF(AND(I496="Fail",W496=""),"Set Confidence",IF(AND(K496="Unknown",W496&lt;&gt;"Low"),"Unknown must be Low confidence",IF(AND(OR(K496="Backend",K496="SAP"),N496=""),"Add HTTP status + endpoint",IF(AND(OR(K496="Backend",K496="SAP",K496="Network"),P496=""),"Add Correlation ID",IF(AND(I496="Fail",T496=""),"Write Root Cause / evidence gap",IF(AND(I496="Fail",V496=""),"Assign team","OK"))))))))</f>
        <v/>
      </c>
    </row>
    <row r="497">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f>IF(I497="","",IF(AND(I497="Fail",K497=""),"Classify Issue Source",IF(AND(I497="Fail",W497=""),"Set Confidence",IF(AND(K497="Unknown",W497&lt;&gt;"Low"),"Unknown must be Low confidence",IF(AND(OR(K497="Backend",K497="SAP"),N497=""),"Add HTTP status + endpoint",IF(AND(OR(K497="Backend",K497="SAP",K497="Network"),P497=""),"Add Correlation ID",IF(AND(I497="Fail",T497=""),"Write Root Cause / evidence gap",IF(AND(I497="Fail",V497=""),"Assign team","OK"))))))))</f>
        <v/>
      </c>
    </row>
    <row r="498">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f>IF(I498="","",IF(AND(I498="Fail",K498=""),"Classify Issue Source",IF(AND(I498="Fail",W498=""),"Set Confidence",IF(AND(K498="Unknown",W498&lt;&gt;"Low"),"Unknown must be Low confidence",IF(AND(OR(K498="Backend",K498="SAP"),N498=""),"Add HTTP status + endpoint",IF(AND(OR(K498="Backend",K498="SAP",K498="Network"),P498=""),"Add Correlation ID",IF(AND(I498="Fail",T498=""),"Write Root Cause / evidence gap",IF(AND(I498="Fail",V498=""),"Assign team","OK"))))))))</f>
        <v/>
      </c>
    </row>
    <row r="49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f>IF(I499="","",IF(AND(I499="Fail",K499=""),"Classify Issue Source",IF(AND(I499="Fail",W499=""),"Set Confidence",IF(AND(K499="Unknown",W499&lt;&gt;"Low"),"Unknown must be Low confidence",IF(AND(OR(K499="Backend",K499="SAP"),N499=""),"Add HTTP status + endpoint",IF(AND(OR(K499="Backend",K499="SAP",K499="Network"),P499=""),"Add Correlation ID",IF(AND(I499="Fail",T499=""),"Write Root Cause / evidence gap",IF(AND(I499="Fail",V499=""),"Assign team","OK"))))))))</f>
        <v/>
      </c>
    </row>
    <row r="500">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f>IF(I500="","",IF(AND(I500="Fail",K500=""),"Classify Issue Source",IF(AND(I500="Fail",W500=""),"Set Confidence",IF(AND(K500="Unknown",W500&lt;&gt;"Low"),"Unknown must be Low confidence",IF(AND(OR(K500="Backend",K500="SAP"),N500=""),"Add HTTP status + endpoint",IF(AND(OR(K500="Backend",K500="SAP",K500="Network"),P500=""),"Add Correlation ID",IF(AND(I500="Fail",T500=""),"Write Root Cause / evidence gap",IF(AND(I500="Fail",V500=""),"Assign team","OK"))))))))</f>
        <v/>
      </c>
    </row>
    <row r="501">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f>IF(I501="","",IF(AND(I501="Fail",K501=""),"Classify Issue Source",IF(AND(I501="Fail",W501=""),"Set Confidence",IF(AND(K501="Unknown",W501&lt;&gt;"Low"),"Unknown must be Low confidence",IF(AND(OR(K501="Backend",K501="SAP"),N501=""),"Add HTTP status + endpoint",IF(AND(OR(K501="Backend",K501="SAP",K501="Network"),P501=""),"Add Correlation ID",IF(AND(I501="Fail",T501=""),"Write Root Cause / evidence gap",IF(AND(I501="Fail",V501=""),"Assign team","OK"))))))))</f>
        <v/>
      </c>
    </row>
    <row r="502">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f>IF(I502="","",IF(AND(I502="Fail",K502=""),"Classify Issue Source",IF(AND(I502="Fail",W502=""),"Set Confidence",IF(AND(K502="Unknown",W502&lt;&gt;"Low"),"Unknown must be Low confidence",IF(AND(OR(K502="Backend",K502="SAP"),N502=""),"Add HTTP status + endpoint",IF(AND(OR(K502="Backend",K502="SAP",K502="Network"),P502=""),"Add Correlation ID",IF(AND(I502="Fail",T502=""),"Write Root Cause / evidence gap",IF(AND(I502="Fail",V502=""),"Assign team","OK"))))))))</f>
        <v/>
      </c>
    </row>
    <row r="503">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f>IF(I503="","",IF(AND(I503="Fail",K503=""),"Classify Issue Source",IF(AND(I503="Fail",W503=""),"Set Confidence",IF(AND(K503="Unknown",W503&lt;&gt;"Low"),"Unknown must be Low confidence",IF(AND(OR(K503="Backend",K503="SAP"),N503=""),"Add HTTP status + endpoint",IF(AND(OR(K503="Backend",K503="SAP",K503="Network"),P503=""),"Add Correlation ID",IF(AND(I503="Fail",T503=""),"Write Root Cause / evidence gap",IF(AND(I503="Fail",V503=""),"Assign team","OK"))))))))</f>
        <v/>
      </c>
    </row>
    <row r="504">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f>IF(I504="","",IF(AND(I504="Fail",K504=""),"Classify Issue Source",IF(AND(I504="Fail",W504=""),"Set Confidence",IF(AND(K504="Unknown",W504&lt;&gt;"Low"),"Unknown must be Low confidence",IF(AND(OR(K504="Backend",K504="SAP"),N504=""),"Add HTTP status + endpoint",IF(AND(OR(K504="Backend",K504="SAP",K504="Network"),P504=""),"Add Correlation ID",IF(AND(I504="Fail",T504=""),"Write Root Cause / evidence gap",IF(AND(I504="Fail",V504=""),"Assign team","OK"))))))))</f>
        <v/>
      </c>
    </row>
    <row r="505">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f>IF(I505="","",IF(AND(I505="Fail",K505=""),"Classify Issue Source",IF(AND(I505="Fail",W505=""),"Set Confidence",IF(AND(K505="Unknown",W505&lt;&gt;"Low"),"Unknown must be Low confidence",IF(AND(OR(K505="Backend",K505="SAP"),N505=""),"Add HTTP status + endpoint",IF(AND(OR(K505="Backend",K505="SAP",K505="Network"),P505=""),"Add Correlation ID",IF(AND(I505="Fail",T505=""),"Write Root Cause / evidence gap",IF(AND(I505="Fail",V505=""),"Assign team","OK"))))))))</f>
        <v/>
      </c>
    </row>
    <row r="506">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f>IF(I506="","",IF(AND(I506="Fail",K506=""),"Classify Issue Source",IF(AND(I506="Fail",W506=""),"Set Confidence",IF(AND(K506="Unknown",W506&lt;&gt;"Low"),"Unknown must be Low confidence",IF(AND(OR(K506="Backend",K506="SAP"),N506=""),"Add HTTP status + endpoint",IF(AND(OR(K506="Backend",K506="SAP",K506="Network"),P506=""),"Add Correlation ID",IF(AND(I506="Fail",T506=""),"Write Root Cause / evidence gap",IF(AND(I506="Fail",V506=""),"Assign team","OK"))))))))</f>
        <v/>
      </c>
    </row>
    <row r="507">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f>IF(I507="","",IF(AND(I507="Fail",K507=""),"Classify Issue Source",IF(AND(I507="Fail",W507=""),"Set Confidence",IF(AND(K507="Unknown",W507&lt;&gt;"Low"),"Unknown must be Low confidence",IF(AND(OR(K507="Backend",K507="SAP"),N507=""),"Add HTTP status + endpoint",IF(AND(OR(K507="Backend",K507="SAP",K507="Network"),P507=""),"Add Correlation ID",IF(AND(I507="Fail",T507=""),"Write Root Cause / evidence gap",IF(AND(I507="Fail",V507=""),"Assign team","OK"))))))))</f>
        <v/>
      </c>
    </row>
    <row r="508">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f>IF(I508="","",IF(AND(I508="Fail",K508=""),"Classify Issue Source",IF(AND(I508="Fail",W508=""),"Set Confidence",IF(AND(K508="Unknown",W508&lt;&gt;"Low"),"Unknown must be Low confidence",IF(AND(OR(K508="Backend",K508="SAP"),N508=""),"Add HTTP status + endpoint",IF(AND(OR(K508="Backend",K508="SAP",K508="Network"),P508=""),"Add Correlation ID",IF(AND(I508="Fail",T508=""),"Write Root Cause / evidence gap",IF(AND(I508="Fail",V508=""),"Assign team","OK"))))))))</f>
        <v/>
      </c>
    </row>
    <row r="50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f>IF(I509="","",IF(AND(I509="Fail",K509=""),"Classify Issue Source",IF(AND(I509="Fail",W509=""),"Set Confidence",IF(AND(K509="Unknown",W509&lt;&gt;"Low"),"Unknown must be Low confidence",IF(AND(OR(K509="Backend",K509="SAP"),N509=""),"Add HTTP status + endpoint",IF(AND(OR(K509="Backend",K509="SAP",K509="Network"),P509=""),"Add Correlation ID",IF(AND(I509="Fail",T509=""),"Write Root Cause / evidence gap",IF(AND(I509="Fail",V509=""),"Assign team","OK"))))))))</f>
        <v/>
      </c>
    </row>
    <row r="510">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f>IF(I510="","",IF(AND(I510="Fail",K510=""),"Classify Issue Source",IF(AND(I510="Fail",W510=""),"Set Confidence",IF(AND(K510="Unknown",W510&lt;&gt;"Low"),"Unknown must be Low confidence",IF(AND(OR(K510="Backend",K510="SAP"),N510=""),"Add HTTP status + endpoint",IF(AND(OR(K510="Backend",K510="SAP",K510="Network"),P510=""),"Add Correlation ID",IF(AND(I510="Fail",T510=""),"Write Root Cause / evidence gap",IF(AND(I510="Fail",V510=""),"Assign team","OK"))))))))</f>
        <v/>
      </c>
    </row>
    <row r="511">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f>IF(I511="","",IF(AND(I511="Fail",K511=""),"Classify Issue Source",IF(AND(I511="Fail",W511=""),"Set Confidence",IF(AND(K511="Unknown",W511&lt;&gt;"Low"),"Unknown must be Low confidence",IF(AND(OR(K511="Backend",K511="SAP"),N511=""),"Add HTTP status + endpoint",IF(AND(OR(K511="Backend",K511="SAP",K511="Network"),P511=""),"Add Correlation ID",IF(AND(I511="Fail",T511=""),"Write Root Cause / evidence gap",IF(AND(I511="Fail",V511=""),"Assign team","OK"))))))))</f>
        <v/>
      </c>
    </row>
    <row r="512">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f>IF(I512="","",IF(AND(I512="Fail",K512=""),"Classify Issue Source",IF(AND(I512="Fail",W512=""),"Set Confidence",IF(AND(K512="Unknown",W512&lt;&gt;"Low"),"Unknown must be Low confidence",IF(AND(OR(K512="Backend",K512="SAP"),N512=""),"Add HTTP status + endpoint",IF(AND(OR(K512="Backend",K512="SAP",K512="Network"),P512=""),"Add Correlation ID",IF(AND(I512="Fail",T512=""),"Write Root Cause / evidence gap",IF(AND(I512="Fail",V512=""),"Assign team","OK"))))))))</f>
        <v/>
      </c>
    </row>
    <row r="513">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f>IF(I513="","",IF(AND(I513="Fail",K513=""),"Classify Issue Source",IF(AND(I513="Fail",W513=""),"Set Confidence",IF(AND(K513="Unknown",W513&lt;&gt;"Low"),"Unknown must be Low confidence",IF(AND(OR(K513="Backend",K513="SAP"),N513=""),"Add HTTP status + endpoint",IF(AND(OR(K513="Backend",K513="SAP",K513="Network"),P513=""),"Add Correlation ID",IF(AND(I513="Fail",T513=""),"Write Root Cause / evidence gap",IF(AND(I513="Fail",V513=""),"Assign team","OK"))))))))</f>
        <v/>
      </c>
    </row>
    <row r="514">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f>IF(I514="","",IF(AND(I514="Fail",K514=""),"Classify Issue Source",IF(AND(I514="Fail",W514=""),"Set Confidence",IF(AND(K514="Unknown",W514&lt;&gt;"Low"),"Unknown must be Low confidence",IF(AND(OR(K514="Backend",K514="SAP"),N514=""),"Add HTTP status + endpoint",IF(AND(OR(K514="Backend",K514="SAP",K514="Network"),P514=""),"Add Correlation ID",IF(AND(I514="Fail",T514=""),"Write Root Cause / evidence gap",IF(AND(I514="Fail",V514=""),"Assign team","OK"))))))))</f>
        <v/>
      </c>
    </row>
    <row r="515">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f>IF(I515="","",IF(AND(I515="Fail",K515=""),"Classify Issue Source",IF(AND(I515="Fail",W515=""),"Set Confidence",IF(AND(K515="Unknown",W515&lt;&gt;"Low"),"Unknown must be Low confidence",IF(AND(OR(K515="Backend",K515="SAP"),N515=""),"Add HTTP status + endpoint",IF(AND(OR(K515="Backend",K515="SAP",K515="Network"),P515=""),"Add Correlation ID",IF(AND(I515="Fail",T515=""),"Write Root Cause / evidence gap",IF(AND(I515="Fail",V515=""),"Assign team","OK"))))))))</f>
        <v/>
      </c>
    </row>
    <row r="516">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f>IF(I516="","",IF(AND(I516="Fail",K516=""),"Classify Issue Source",IF(AND(I516="Fail",W516=""),"Set Confidence",IF(AND(K516="Unknown",W516&lt;&gt;"Low"),"Unknown must be Low confidence",IF(AND(OR(K516="Backend",K516="SAP"),N516=""),"Add HTTP status + endpoint",IF(AND(OR(K516="Backend",K516="SAP",K516="Network"),P516=""),"Add Correlation ID",IF(AND(I516="Fail",T516=""),"Write Root Cause / evidence gap",IF(AND(I516="Fail",V516=""),"Assign team","OK"))))))))</f>
        <v/>
      </c>
    </row>
    <row r="517">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f>IF(I517="","",IF(AND(I517="Fail",K517=""),"Classify Issue Source",IF(AND(I517="Fail",W517=""),"Set Confidence",IF(AND(K517="Unknown",W517&lt;&gt;"Low"),"Unknown must be Low confidence",IF(AND(OR(K517="Backend",K517="SAP"),N517=""),"Add HTTP status + endpoint",IF(AND(OR(K517="Backend",K517="SAP",K517="Network"),P517=""),"Add Correlation ID",IF(AND(I517="Fail",T517=""),"Write Root Cause / evidence gap",IF(AND(I517="Fail",V517=""),"Assign team","OK"))))))))</f>
        <v/>
      </c>
    </row>
    <row r="518">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f>IF(I518="","",IF(AND(I518="Fail",K518=""),"Classify Issue Source",IF(AND(I518="Fail",W518=""),"Set Confidence",IF(AND(K518="Unknown",W518&lt;&gt;"Low"),"Unknown must be Low confidence",IF(AND(OR(K518="Backend",K518="SAP"),N518=""),"Add HTTP status + endpoint",IF(AND(OR(K518="Backend",K518="SAP",K518="Network"),P518=""),"Add Correlation ID",IF(AND(I518="Fail",T518=""),"Write Root Cause / evidence gap",IF(AND(I518="Fail",V518=""),"Assign team","OK"))))))))</f>
        <v/>
      </c>
    </row>
    <row r="51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f>IF(I519="","",IF(AND(I519="Fail",K519=""),"Classify Issue Source",IF(AND(I519="Fail",W519=""),"Set Confidence",IF(AND(K519="Unknown",W519&lt;&gt;"Low"),"Unknown must be Low confidence",IF(AND(OR(K519="Backend",K519="SAP"),N519=""),"Add HTTP status + endpoint",IF(AND(OR(K519="Backend",K519="SAP",K519="Network"),P519=""),"Add Correlation ID",IF(AND(I519="Fail",T519=""),"Write Root Cause / evidence gap",IF(AND(I519="Fail",V519=""),"Assign team","OK"))))))))</f>
        <v/>
      </c>
    </row>
    <row r="520">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f>IF(I520="","",IF(AND(I520="Fail",K520=""),"Classify Issue Source",IF(AND(I520="Fail",W520=""),"Set Confidence",IF(AND(K520="Unknown",W520&lt;&gt;"Low"),"Unknown must be Low confidence",IF(AND(OR(K520="Backend",K520="SAP"),N520=""),"Add HTTP status + endpoint",IF(AND(OR(K520="Backend",K520="SAP",K520="Network"),P520=""),"Add Correlation ID",IF(AND(I520="Fail",T520=""),"Write Root Cause / evidence gap",IF(AND(I520="Fail",V520=""),"Assign team","OK"))))))))</f>
        <v/>
      </c>
    </row>
    <row r="521">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f>IF(I521="","",IF(AND(I521="Fail",K521=""),"Classify Issue Source",IF(AND(I521="Fail",W521=""),"Set Confidence",IF(AND(K521="Unknown",W521&lt;&gt;"Low"),"Unknown must be Low confidence",IF(AND(OR(K521="Backend",K521="SAP"),N521=""),"Add HTTP status + endpoint",IF(AND(OR(K521="Backend",K521="SAP",K521="Network"),P521=""),"Add Correlation ID",IF(AND(I521="Fail",T521=""),"Write Root Cause / evidence gap",IF(AND(I521="Fail",V521=""),"Assign team","OK"))))))))</f>
        <v/>
      </c>
    </row>
    <row r="522">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f>IF(I522="","",IF(AND(I522="Fail",K522=""),"Classify Issue Source",IF(AND(I522="Fail",W522=""),"Set Confidence",IF(AND(K522="Unknown",W522&lt;&gt;"Low"),"Unknown must be Low confidence",IF(AND(OR(K522="Backend",K522="SAP"),N522=""),"Add HTTP status + endpoint",IF(AND(OR(K522="Backend",K522="SAP",K522="Network"),P522=""),"Add Correlation ID",IF(AND(I522="Fail",T522=""),"Write Root Cause / evidence gap",IF(AND(I522="Fail",V522=""),"Assign team","OK"))))))))</f>
        <v/>
      </c>
    </row>
    <row r="523">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f>IF(I523="","",IF(AND(I523="Fail",K523=""),"Classify Issue Source",IF(AND(I523="Fail",W523=""),"Set Confidence",IF(AND(K523="Unknown",W523&lt;&gt;"Low"),"Unknown must be Low confidence",IF(AND(OR(K523="Backend",K523="SAP"),N523=""),"Add HTTP status + endpoint",IF(AND(OR(K523="Backend",K523="SAP",K523="Network"),P523=""),"Add Correlation ID",IF(AND(I523="Fail",T523=""),"Write Root Cause / evidence gap",IF(AND(I523="Fail",V523=""),"Assign team","OK"))))))))</f>
        <v/>
      </c>
    </row>
    <row r="524">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f>IF(I524="","",IF(AND(I524="Fail",K524=""),"Classify Issue Source",IF(AND(I524="Fail",W524=""),"Set Confidence",IF(AND(K524="Unknown",W524&lt;&gt;"Low"),"Unknown must be Low confidence",IF(AND(OR(K524="Backend",K524="SAP"),N524=""),"Add HTTP status + endpoint",IF(AND(OR(K524="Backend",K524="SAP",K524="Network"),P524=""),"Add Correlation ID",IF(AND(I524="Fail",T524=""),"Write Root Cause / evidence gap",IF(AND(I524="Fail",V524=""),"Assign team","OK"))))))))</f>
        <v/>
      </c>
    </row>
    <row r="525">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f>IF(I525="","",IF(AND(I525="Fail",K525=""),"Classify Issue Source",IF(AND(I525="Fail",W525=""),"Set Confidence",IF(AND(K525="Unknown",W525&lt;&gt;"Low"),"Unknown must be Low confidence",IF(AND(OR(K525="Backend",K525="SAP"),N525=""),"Add HTTP status + endpoint",IF(AND(OR(K525="Backend",K525="SAP",K525="Network"),P525=""),"Add Correlation ID",IF(AND(I525="Fail",T525=""),"Write Root Cause / evidence gap",IF(AND(I525="Fail",V525=""),"Assign team","OK"))))))))</f>
        <v/>
      </c>
    </row>
    <row r="526">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f>IF(I526="","",IF(AND(I526="Fail",K526=""),"Classify Issue Source",IF(AND(I526="Fail",W526=""),"Set Confidence",IF(AND(K526="Unknown",W526&lt;&gt;"Low"),"Unknown must be Low confidence",IF(AND(OR(K526="Backend",K526="SAP"),N526=""),"Add HTTP status + endpoint",IF(AND(OR(K526="Backend",K526="SAP",K526="Network"),P526=""),"Add Correlation ID",IF(AND(I526="Fail",T526=""),"Write Root Cause / evidence gap",IF(AND(I526="Fail",V526=""),"Assign team","OK"))))))))</f>
        <v/>
      </c>
    </row>
    <row r="527">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f>IF(I527="","",IF(AND(I527="Fail",K527=""),"Classify Issue Source",IF(AND(I527="Fail",W527=""),"Set Confidence",IF(AND(K527="Unknown",W527&lt;&gt;"Low"),"Unknown must be Low confidence",IF(AND(OR(K527="Backend",K527="SAP"),N527=""),"Add HTTP status + endpoint",IF(AND(OR(K527="Backend",K527="SAP",K527="Network"),P527=""),"Add Correlation ID",IF(AND(I527="Fail",T527=""),"Write Root Cause / evidence gap",IF(AND(I527="Fail",V527=""),"Assign team","OK"))))))))</f>
        <v/>
      </c>
    </row>
    <row r="528">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f>IF(I528="","",IF(AND(I528="Fail",K528=""),"Classify Issue Source",IF(AND(I528="Fail",W528=""),"Set Confidence",IF(AND(K528="Unknown",W528&lt;&gt;"Low"),"Unknown must be Low confidence",IF(AND(OR(K528="Backend",K528="SAP"),N528=""),"Add HTTP status + endpoint",IF(AND(OR(K528="Backend",K528="SAP",K528="Network"),P528=""),"Add Correlation ID",IF(AND(I528="Fail",T528=""),"Write Root Cause / evidence gap",IF(AND(I528="Fail",V528=""),"Assign team","OK"))))))))</f>
        <v/>
      </c>
    </row>
    <row r="52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f>IF(I529="","",IF(AND(I529="Fail",K529=""),"Classify Issue Source",IF(AND(I529="Fail",W529=""),"Set Confidence",IF(AND(K529="Unknown",W529&lt;&gt;"Low"),"Unknown must be Low confidence",IF(AND(OR(K529="Backend",K529="SAP"),N529=""),"Add HTTP status + endpoint",IF(AND(OR(K529="Backend",K529="SAP",K529="Network"),P529=""),"Add Correlation ID",IF(AND(I529="Fail",T529=""),"Write Root Cause / evidence gap",IF(AND(I529="Fail",V529=""),"Assign team","OK"))))))))</f>
        <v/>
      </c>
    </row>
    <row r="530">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f>IF(I530="","",IF(AND(I530="Fail",K530=""),"Classify Issue Source",IF(AND(I530="Fail",W530=""),"Set Confidence",IF(AND(K530="Unknown",W530&lt;&gt;"Low"),"Unknown must be Low confidence",IF(AND(OR(K530="Backend",K530="SAP"),N530=""),"Add HTTP status + endpoint",IF(AND(OR(K530="Backend",K530="SAP",K530="Network"),P530=""),"Add Correlation ID",IF(AND(I530="Fail",T530=""),"Write Root Cause / evidence gap",IF(AND(I530="Fail",V530=""),"Assign team","OK"))))))))</f>
        <v/>
      </c>
    </row>
    <row r="531">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f>IF(I531="","",IF(AND(I531="Fail",K531=""),"Classify Issue Source",IF(AND(I531="Fail",W531=""),"Set Confidence",IF(AND(K531="Unknown",W531&lt;&gt;"Low"),"Unknown must be Low confidence",IF(AND(OR(K531="Backend",K531="SAP"),N531=""),"Add HTTP status + endpoint",IF(AND(OR(K531="Backend",K531="SAP",K531="Network"),P531=""),"Add Correlation ID",IF(AND(I531="Fail",T531=""),"Write Root Cause / evidence gap",IF(AND(I531="Fail",V531=""),"Assign team","OK"))))))))</f>
        <v/>
      </c>
    </row>
    <row r="532">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f>IF(I532="","",IF(AND(I532="Fail",K532=""),"Classify Issue Source",IF(AND(I532="Fail",W532=""),"Set Confidence",IF(AND(K532="Unknown",W532&lt;&gt;"Low"),"Unknown must be Low confidence",IF(AND(OR(K532="Backend",K532="SAP"),N532=""),"Add HTTP status + endpoint",IF(AND(OR(K532="Backend",K532="SAP",K532="Network"),P532=""),"Add Correlation ID",IF(AND(I532="Fail",T532=""),"Write Root Cause / evidence gap",IF(AND(I532="Fail",V532=""),"Assign team","OK"))))))))</f>
        <v/>
      </c>
    </row>
    <row r="533">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f>IF(I533="","",IF(AND(I533="Fail",K533=""),"Classify Issue Source",IF(AND(I533="Fail",W533=""),"Set Confidence",IF(AND(K533="Unknown",W533&lt;&gt;"Low"),"Unknown must be Low confidence",IF(AND(OR(K533="Backend",K533="SAP"),N533=""),"Add HTTP status + endpoint",IF(AND(OR(K533="Backend",K533="SAP",K533="Network"),P533=""),"Add Correlation ID",IF(AND(I533="Fail",T533=""),"Write Root Cause / evidence gap",IF(AND(I533="Fail",V533=""),"Assign team","OK"))))))))</f>
        <v/>
      </c>
    </row>
    <row r="534">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f>IF(I534="","",IF(AND(I534="Fail",K534=""),"Classify Issue Source",IF(AND(I534="Fail",W534=""),"Set Confidence",IF(AND(K534="Unknown",W534&lt;&gt;"Low"),"Unknown must be Low confidence",IF(AND(OR(K534="Backend",K534="SAP"),N534=""),"Add HTTP status + endpoint",IF(AND(OR(K534="Backend",K534="SAP",K534="Network"),P534=""),"Add Correlation ID",IF(AND(I534="Fail",T534=""),"Write Root Cause / evidence gap",IF(AND(I534="Fail",V534=""),"Assign team","OK"))))))))</f>
        <v/>
      </c>
    </row>
    <row r="535">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f>IF(I535="","",IF(AND(I535="Fail",K535=""),"Classify Issue Source",IF(AND(I535="Fail",W535=""),"Set Confidence",IF(AND(K535="Unknown",W535&lt;&gt;"Low"),"Unknown must be Low confidence",IF(AND(OR(K535="Backend",K535="SAP"),N535=""),"Add HTTP status + endpoint",IF(AND(OR(K535="Backend",K535="SAP",K535="Network"),P535=""),"Add Correlation ID",IF(AND(I535="Fail",T535=""),"Write Root Cause / evidence gap",IF(AND(I535="Fail",V535=""),"Assign team","OK"))))))))</f>
        <v/>
      </c>
    </row>
    <row r="536">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f>IF(I536="","",IF(AND(I536="Fail",K536=""),"Classify Issue Source",IF(AND(I536="Fail",W536=""),"Set Confidence",IF(AND(K536="Unknown",W536&lt;&gt;"Low"),"Unknown must be Low confidence",IF(AND(OR(K536="Backend",K536="SAP"),N536=""),"Add HTTP status + endpoint",IF(AND(OR(K536="Backend",K536="SAP",K536="Network"),P536=""),"Add Correlation ID",IF(AND(I536="Fail",T536=""),"Write Root Cause / evidence gap",IF(AND(I536="Fail",V536=""),"Assign team","OK"))))))))</f>
        <v/>
      </c>
    </row>
    <row r="537">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f>IF(I537="","",IF(AND(I537="Fail",K537=""),"Classify Issue Source",IF(AND(I537="Fail",W537=""),"Set Confidence",IF(AND(K537="Unknown",W537&lt;&gt;"Low"),"Unknown must be Low confidence",IF(AND(OR(K537="Backend",K537="SAP"),N537=""),"Add HTTP status + endpoint",IF(AND(OR(K537="Backend",K537="SAP",K537="Network"),P537=""),"Add Correlation ID",IF(AND(I537="Fail",T537=""),"Write Root Cause / evidence gap",IF(AND(I537="Fail",V537=""),"Assign team","OK"))))))))</f>
        <v/>
      </c>
    </row>
    <row r="538">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f>IF(I538="","",IF(AND(I538="Fail",K538=""),"Classify Issue Source",IF(AND(I538="Fail",W538=""),"Set Confidence",IF(AND(K538="Unknown",W538&lt;&gt;"Low"),"Unknown must be Low confidence",IF(AND(OR(K538="Backend",K538="SAP"),N538=""),"Add HTTP status + endpoint",IF(AND(OR(K538="Backend",K538="SAP",K538="Network"),P538=""),"Add Correlation ID",IF(AND(I538="Fail",T538=""),"Write Root Cause / evidence gap",IF(AND(I538="Fail",V538=""),"Assign team","OK"))))))))</f>
        <v/>
      </c>
    </row>
    <row r="53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f>IF(I539="","",IF(AND(I539="Fail",K539=""),"Classify Issue Source",IF(AND(I539="Fail",W539=""),"Set Confidence",IF(AND(K539="Unknown",W539&lt;&gt;"Low"),"Unknown must be Low confidence",IF(AND(OR(K539="Backend",K539="SAP"),N539=""),"Add HTTP status + endpoint",IF(AND(OR(K539="Backend",K539="SAP",K539="Network"),P539=""),"Add Correlation ID",IF(AND(I539="Fail",T539=""),"Write Root Cause / evidence gap",IF(AND(I539="Fail",V539=""),"Assign team","OK"))))))))</f>
        <v/>
      </c>
    </row>
    <row r="540">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f>IF(I540="","",IF(AND(I540="Fail",K540=""),"Classify Issue Source",IF(AND(I540="Fail",W540=""),"Set Confidence",IF(AND(K540="Unknown",W540&lt;&gt;"Low"),"Unknown must be Low confidence",IF(AND(OR(K540="Backend",K540="SAP"),N540=""),"Add HTTP status + endpoint",IF(AND(OR(K540="Backend",K540="SAP",K540="Network"),P540=""),"Add Correlation ID",IF(AND(I540="Fail",T540=""),"Write Root Cause / evidence gap",IF(AND(I540="Fail",V540=""),"Assign team","OK"))))))))</f>
        <v/>
      </c>
    </row>
    <row r="541">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f>IF(I541="","",IF(AND(I541="Fail",K541=""),"Classify Issue Source",IF(AND(I541="Fail",W541=""),"Set Confidence",IF(AND(K541="Unknown",W541&lt;&gt;"Low"),"Unknown must be Low confidence",IF(AND(OR(K541="Backend",K541="SAP"),N541=""),"Add HTTP status + endpoint",IF(AND(OR(K541="Backend",K541="SAP",K541="Network"),P541=""),"Add Correlation ID",IF(AND(I541="Fail",T541=""),"Write Root Cause / evidence gap",IF(AND(I541="Fail",V541=""),"Assign team","OK"))))))))</f>
        <v/>
      </c>
    </row>
    <row r="542">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f>IF(I542="","",IF(AND(I542="Fail",K542=""),"Classify Issue Source",IF(AND(I542="Fail",W542=""),"Set Confidence",IF(AND(K542="Unknown",W542&lt;&gt;"Low"),"Unknown must be Low confidence",IF(AND(OR(K542="Backend",K542="SAP"),N542=""),"Add HTTP status + endpoint",IF(AND(OR(K542="Backend",K542="SAP",K542="Network"),P542=""),"Add Correlation ID",IF(AND(I542="Fail",T542=""),"Write Root Cause / evidence gap",IF(AND(I542="Fail",V542=""),"Assign team","OK"))))))))</f>
        <v/>
      </c>
    </row>
    <row r="543">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f>IF(I543="","",IF(AND(I543="Fail",K543=""),"Classify Issue Source",IF(AND(I543="Fail",W543=""),"Set Confidence",IF(AND(K543="Unknown",W543&lt;&gt;"Low"),"Unknown must be Low confidence",IF(AND(OR(K543="Backend",K543="SAP"),N543=""),"Add HTTP status + endpoint",IF(AND(OR(K543="Backend",K543="SAP",K543="Network"),P543=""),"Add Correlation ID",IF(AND(I543="Fail",T543=""),"Write Root Cause / evidence gap",IF(AND(I543="Fail",V543=""),"Assign team","OK"))))))))</f>
        <v/>
      </c>
    </row>
    <row r="544">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f>IF(I544="","",IF(AND(I544="Fail",K544=""),"Classify Issue Source",IF(AND(I544="Fail",W544=""),"Set Confidence",IF(AND(K544="Unknown",W544&lt;&gt;"Low"),"Unknown must be Low confidence",IF(AND(OR(K544="Backend",K544="SAP"),N544=""),"Add HTTP status + endpoint",IF(AND(OR(K544="Backend",K544="SAP",K544="Network"),P544=""),"Add Correlation ID",IF(AND(I544="Fail",T544=""),"Write Root Cause / evidence gap",IF(AND(I544="Fail",V544=""),"Assign team","OK"))))))))</f>
        <v/>
      </c>
    </row>
    <row r="545">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f>IF(I545="","",IF(AND(I545="Fail",K545=""),"Classify Issue Source",IF(AND(I545="Fail",W545=""),"Set Confidence",IF(AND(K545="Unknown",W545&lt;&gt;"Low"),"Unknown must be Low confidence",IF(AND(OR(K545="Backend",K545="SAP"),N545=""),"Add HTTP status + endpoint",IF(AND(OR(K545="Backend",K545="SAP",K545="Network"),P545=""),"Add Correlation ID",IF(AND(I545="Fail",T545=""),"Write Root Cause / evidence gap",IF(AND(I545="Fail",V545=""),"Assign team","OK"))))))))</f>
        <v/>
      </c>
    </row>
    <row r="546">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f>IF(I546="","",IF(AND(I546="Fail",K546=""),"Classify Issue Source",IF(AND(I546="Fail",W546=""),"Set Confidence",IF(AND(K546="Unknown",W546&lt;&gt;"Low"),"Unknown must be Low confidence",IF(AND(OR(K546="Backend",K546="SAP"),N546=""),"Add HTTP status + endpoint",IF(AND(OR(K546="Backend",K546="SAP",K546="Network"),P546=""),"Add Correlation ID",IF(AND(I546="Fail",T546=""),"Write Root Cause / evidence gap",IF(AND(I546="Fail",V546=""),"Assign team","OK"))))))))</f>
        <v/>
      </c>
    </row>
    <row r="547">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f>IF(I547="","",IF(AND(I547="Fail",K547=""),"Classify Issue Source",IF(AND(I547="Fail",W547=""),"Set Confidence",IF(AND(K547="Unknown",W547&lt;&gt;"Low"),"Unknown must be Low confidence",IF(AND(OR(K547="Backend",K547="SAP"),N547=""),"Add HTTP status + endpoint",IF(AND(OR(K547="Backend",K547="SAP",K547="Network"),P547=""),"Add Correlation ID",IF(AND(I547="Fail",T547=""),"Write Root Cause / evidence gap",IF(AND(I547="Fail",V547=""),"Assign team","OK"))))))))</f>
        <v/>
      </c>
    </row>
    <row r="548">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f>IF(I548="","",IF(AND(I548="Fail",K548=""),"Classify Issue Source",IF(AND(I548="Fail",W548=""),"Set Confidence",IF(AND(K548="Unknown",W548&lt;&gt;"Low"),"Unknown must be Low confidence",IF(AND(OR(K548="Backend",K548="SAP"),N548=""),"Add HTTP status + endpoint",IF(AND(OR(K548="Backend",K548="SAP",K548="Network"),P548=""),"Add Correlation ID",IF(AND(I548="Fail",T548=""),"Write Root Cause / evidence gap",IF(AND(I548="Fail",V548=""),"Assign team","OK"))))))))</f>
        <v/>
      </c>
    </row>
    <row r="54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f>IF(I549="","",IF(AND(I549="Fail",K549=""),"Classify Issue Source",IF(AND(I549="Fail",W549=""),"Set Confidence",IF(AND(K549="Unknown",W549&lt;&gt;"Low"),"Unknown must be Low confidence",IF(AND(OR(K549="Backend",K549="SAP"),N549=""),"Add HTTP status + endpoint",IF(AND(OR(K549="Backend",K549="SAP",K549="Network"),P549=""),"Add Correlation ID",IF(AND(I549="Fail",T549=""),"Write Root Cause / evidence gap",IF(AND(I549="Fail",V549=""),"Assign team","OK"))))))))</f>
        <v/>
      </c>
    </row>
    <row r="550">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f>IF(I550="","",IF(AND(I550="Fail",K550=""),"Classify Issue Source",IF(AND(I550="Fail",W550=""),"Set Confidence",IF(AND(K550="Unknown",W550&lt;&gt;"Low"),"Unknown must be Low confidence",IF(AND(OR(K550="Backend",K550="SAP"),N550=""),"Add HTTP status + endpoint",IF(AND(OR(K550="Backend",K550="SAP",K550="Network"),P550=""),"Add Correlation ID",IF(AND(I550="Fail",T550=""),"Write Root Cause / evidence gap",IF(AND(I550="Fail",V550=""),"Assign team","OK"))))))))</f>
        <v/>
      </c>
    </row>
    <row r="551">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f>IF(I551="","",IF(AND(I551="Fail",K551=""),"Classify Issue Source",IF(AND(I551="Fail",W551=""),"Set Confidence",IF(AND(K551="Unknown",W551&lt;&gt;"Low"),"Unknown must be Low confidence",IF(AND(OR(K551="Backend",K551="SAP"),N551=""),"Add HTTP status + endpoint",IF(AND(OR(K551="Backend",K551="SAP",K551="Network"),P551=""),"Add Correlation ID",IF(AND(I551="Fail",T551=""),"Write Root Cause / evidence gap",IF(AND(I551="Fail",V551=""),"Assign team","OK"))))))))</f>
        <v/>
      </c>
    </row>
    <row r="552">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f>IF(I552="","",IF(AND(I552="Fail",K552=""),"Classify Issue Source",IF(AND(I552="Fail",W552=""),"Set Confidence",IF(AND(K552="Unknown",W552&lt;&gt;"Low"),"Unknown must be Low confidence",IF(AND(OR(K552="Backend",K552="SAP"),N552=""),"Add HTTP status + endpoint",IF(AND(OR(K552="Backend",K552="SAP",K552="Network"),P552=""),"Add Correlation ID",IF(AND(I552="Fail",T552=""),"Write Root Cause / evidence gap",IF(AND(I552="Fail",V552=""),"Assign team","OK"))))))))</f>
        <v/>
      </c>
    </row>
    <row r="553">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f>IF(I553="","",IF(AND(I553="Fail",K553=""),"Classify Issue Source",IF(AND(I553="Fail",W553=""),"Set Confidence",IF(AND(K553="Unknown",W553&lt;&gt;"Low"),"Unknown must be Low confidence",IF(AND(OR(K553="Backend",K553="SAP"),N553=""),"Add HTTP status + endpoint",IF(AND(OR(K553="Backend",K553="SAP",K553="Network"),P553=""),"Add Correlation ID",IF(AND(I553="Fail",T553=""),"Write Root Cause / evidence gap",IF(AND(I553="Fail",V553=""),"Assign team","OK"))))))))</f>
        <v/>
      </c>
    </row>
    <row r="554">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f>IF(I554="","",IF(AND(I554="Fail",K554=""),"Classify Issue Source",IF(AND(I554="Fail",W554=""),"Set Confidence",IF(AND(K554="Unknown",W554&lt;&gt;"Low"),"Unknown must be Low confidence",IF(AND(OR(K554="Backend",K554="SAP"),N554=""),"Add HTTP status + endpoint",IF(AND(OR(K554="Backend",K554="SAP",K554="Network"),P554=""),"Add Correlation ID",IF(AND(I554="Fail",T554=""),"Write Root Cause / evidence gap",IF(AND(I554="Fail",V554=""),"Assign team","OK"))))))))</f>
        <v/>
      </c>
    </row>
    <row r="555">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f>IF(I555="","",IF(AND(I555="Fail",K555=""),"Classify Issue Source",IF(AND(I555="Fail",W555=""),"Set Confidence",IF(AND(K555="Unknown",W555&lt;&gt;"Low"),"Unknown must be Low confidence",IF(AND(OR(K555="Backend",K555="SAP"),N555=""),"Add HTTP status + endpoint",IF(AND(OR(K555="Backend",K555="SAP",K555="Network"),P555=""),"Add Correlation ID",IF(AND(I555="Fail",T555=""),"Write Root Cause / evidence gap",IF(AND(I555="Fail",V555=""),"Assign team","OK"))))))))</f>
        <v/>
      </c>
    </row>
    <row r="556">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f>IF(I556="","",IF(AND(I556="Fail",K556=""),"Classify Issue Source",IF(AND(I556="Fail",W556=""),"Set Confidence",IF(AND(K556="Unknown",W556&lt;&gt;"Low"),"Unknown must be Low confidence",IF(AND(OR(K556="Backend",K556="SAP"),N556=""),"Add HTTP status + endpoint",IF(AND(OR(K556="Backend",K556="SAP",K556="Network"),P556=""),"Add Correlation ID",IF(AND(I556="Fail",T556=""),"Write Root Cause / evidence gap",IF(AND(I556="Fail",V556=""),"Assign team","OK"))))))))</f>
        <v/>
      </c>
    </row>
    <row r="557">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f>IF(I557="","",IF(AND(I557="Fail",K557=""),"Classify Issue Source",IF(AND(I557="Fail",W557=""),"Set Confidence",IF(AND(K557="Unknown",W557&lt;&gt;"Low"),"Unknown must be Low confidence",IF(AND(OR(K557="Backend",K557="SAP"),N557=""),"Add HTTP status + endpoint",IF(AND(OR(K557="Backend",K557="SAP",K557="Network"),P557=""),"Add Correlation ID",IF(AND(I557="Fail",T557=""),"Write Root Cause / evidence gap",IF(AND(I557="Fail",V557=""),"Assign team","OK"))))))))</f>
        <v/>
      </c>
    </row>
    <row r="558">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f>IF(I558="","",IF(AND(I558="Fail",K558=""),"Classify Issue Source",IF(AND(I558="Fail",W558=""),"Set Confidence",IF(AND(K558="Unknown",W558&lt;&gt;"Low"),"Unknown must be Low confidence",IF(AND(OR(K558="Backend",K558="SAP"),N558=""),"Add HTTP status + endpoint",IF(AND(OR(K558="Backend",K558="SAP",K558="Network"),P558=""),"Add Correlation ID",IF(AND(I558="Fail",T558=""),"Write Root Cause / evidence gap",IF(AND(I558="Fail",V558=""),"Assign team","OK"))))))))</f>
        <v/>
      </c>
    </row>
    <row r="55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f>IF(I559="","",IF(AND(I559="Fail",K559=""),"Classify Issue Source",IF(AND(I559="Fail",W559=""),"Set Confidence",IF(AND(K559="Unknown",W559&lt;&gt;"Low"),"Unknown must be Low confidence",IF(AND(OR(K559="Backend",K559="SAP"),N559=""),"Add HTTP status + endpoint",IF(AND(OR(K559="Backend",K559="SAP",K559="Network"),P559=""),"Add Correlation ID",IF(AND(I559="Fail",T559=""),"Write Root Cause / evidence gap",IF(AND(I559="Fail",V559=""),"Assign team","OK"))))))))</f>
        <v/>
      </c>
    </row>
    <row r="560">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f>IF(I560="","",IF(AND(I560="Fail",K560=""),"Classify Issue Source",IF(AND(I560="Fail",W560=""),"Set Confidence",IF(AND(K560="Unknown",W560&lt;&gt;"Low"),"Unknown must be Low confidence",IF(AND(OR(K560="Backend",K560="SAP"),N560=""),"Add HTTP status + endpoint",IF(AND(OR(K560="Backend",K560="SAP",K560="Network"),P560=""),"Add Correlation ID",IF(AND(I560="Fail",T560=""),"Write Root Cause / evidence gap",IF(AND(I560="Fail",V560=""),"Assign team","OK"))))))))</f>
        <v/>
      </c>
    </row>
    <row r="561">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f>IF(I561="","",IF(AND(I561="Fail",K561=""),"Classify Issue Source",IF(AND(I561="Fail",W561=""),"Set Confidence",IF(AND(K561="Unknown",W561&lt;&gt;"Low"),"Unknown must be Low confidence",IF(AND(OR(K561="Backend",K561="SAP"),N561=""),"Add HTTP status + endpoint",IF(AND(OR(K561="Backend",K561="SAP",K561="Network"),P561=""),"Add Correlation ID",IF(AND(I561="Fail",T561=""),"Write Root Cause / evidence gap",IF(AND(I561="Fail",V561=""),"Assign team","OK"))))))))</f>
        <v/>
      </c>
    </row>
    <row r="562">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f>IF(I562="","",IF(AND(I562="Fail",K562=""),"Classify Issue Source",IF(AND(I562="Fail",W562=""),"Set Confidence",IF(AND(K562="Unknown",W562&lt;&gt;"Low"),"Unknown must be Low confidence",IF(AND(OR(K562="Backend",K562="SAP"),N562=""),"Add HTTP status + endpoint",IF(AND(OR(K562="Backend",K562="SAP",K562="Network"),P562=""),"Add Correlation ID",IF(AND(I562="Fail",T562=""),"Write Root Cause / evidence gap",IF(AND(I562="Fail",V562=""),"Assign team","OK"))))))))</f>
        <v/>
      </c>
    </row>
    <row r="563">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f>IF(I563="","",IF(AND(I563="Fail",K563=""),"Classify Issue Source",IF(AND(I563="Fail",W563=""),"Set Confidence",IF(AND(K563="Unknown",W563&lt;&gt;"Low"),"Unknown must be Low confidence",IF(AND(OR(K563="Backend",K563="SAP"),N563=""),"Add HTTP status + endpoint",IF(AND(OR(K563="Backend",K563="SAP",K563="Network"),P563=""),"Add Correlation ID",IF(AND(I563="Fail",T563=""),"Write Root Cause / evidence gap",IF(AND(I563="Fail",V563=""),"Assign team","OK"))))))))</f>
        <v/>
      </c>
    </row>
    <row r="564">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f>IF(I564="","",IF(AND(I564="Fail",K564=""),"Classify Issue Source",IF(AND(I564="Fail",W564=""),"Set Confidence",IF(AND(K564="Unknown",W564&lt;&gt;"Low"),"Unknown must be Low confidence",IF(AND(OR(K564="Backend",K564="SAP"),N564=""),"Add HTTP status + endpoint",IF(AND(OR(K564="Backend",K564="SAP",K564="Network"),P564=""),"Add Correlation ID",IF(AND(I564="Fail",T564=""),"Write Root Cause / evidence gap",IF(AND(I564="Fail",V564=""),"Assign team","OK"))))))))</f>
        <v/>
      </c>
    </row>
    <row r="565">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f>IF(I565="","",IF(AND(I565="Fail",K565=""),"Classify Issue Source",IF(AND(I565="Fail",W565=""),"Set Confidence",IF(AND(K565="Unknown",W565&lt;&gt;"Low"),"Unknown must be Low confidence",IF(AND(OR(K565="Backend",K565="SAP"),N565=""),"Add HTTP status + endpoint",IF(AND(OR(K565="Backend",K565="SAP",K565="Network"),P565=""),"Add Correlation ID",IF(AND(I565="Fail",T565=""),"Write Root Cause / evidence gap",IF(AND(I565="Fail",V565=""),"Assign team","OK"))))))))</f>
        <v/>
      </c>
    </row>
    <row r="566">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f>IF(I566="","",IF(AND(I566="Fail",K566=""),"Classify Issue Source",IF(AND(I566="Fail",W566=""),"Set Confidence",IF(AND(K566="Unknown",W566&lt;&gt;"Low"),"Unknown must be Low confidence",IF(AND(OR(K566="Backend",K566="SAP"),N566=""),"Add HTTP status + endpoint",IF(AND(OR(K566="Backend",K566="SAP",K566="Network"),P566=""),"Add Correlation ID",IF(AND(I566="Fail",T566=""),"Write Root Cause / evidence gap",IF(AND(I566="Fail",V566=""),"Assign team","OK"))))))))</f>
        <v/>
      </c>
    </row>
    <row r="567">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f>IF(I567="","",IF(AND(I567="Fail",K567=""),"Classify Issue Source",IF(AND(I567="Fail",W567=""),"Set Confidence",IF(AND(K567="Unknown",W567&lt;&gt;"Low"),"Unknown must be Low confidence",IF(AND(OR(K567="Backend",K567="SAP"),N567=""),"Add HTTP status + endpoint",IF(AND(OR(K567="Backend",K567="SAP",K567="Network"),P567=""),"Add Correlation ID",IF(AND(I567="Fail",T567=""),"Write Root Cause / evidence gap",IF(AND(I567="Fail",V567=""),"Assign team","OK"))))))))</f>
        <v/>
      </c>
    </row>
    <row r="568">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f>IF(I568="","",IF(AND(I568="Fail",K568=""),"Classify Issue Source",IF(AND(I568="Fail",W568=""),"Set Confidence",IF(AND(K568="Unknown",W568&lt;&gt;"Low"),"Unknown must be Low confidence",IF(AND(OR(K568="Backend",K568="SAP"),N568=""),"Add HTTP status + endpoint",IF(AND(OR(K568="Backend",K568="SAP",K568="Network"),P568=""),"Add Correlation ID",IF(AND(I568="Fail",T568=""),"Write Root Cause / evidence gap",IF(AND(I568="Fail",V568=""),"Assign team","OK"))))))))</f>
        <v/>
      </c>
    </row>
    <row r="56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f>IF(I569="","",IF(AND(I569="Fail",K569=""),"Classify Issue Source",IF(AND(I569="Fail",W569=""),"Set Confidence",IF(AND(K569="Unknown",W569&lt;&gt;"Low"),"Unknown must be Low confidence",IF(AND(OR(K569="Backend",K569="SAP"),N569=""),"Add HTTP status + endpoint",IF(AND(OR(K569="Backend",K569="SAP",K569="Network"),P569=""),"Add Correlation ID",IF(AND(I569="Fail",T569=""),"Write Root Cause / evidence gap",IF(AND(I569="Fail",V569=""),"Assign team","OK"))))))))</f>
        <v/>
      </c>
    </row>
    <row r="570">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f>IF(I570="","",IF(AND(I570="Fail",K570=""),"Classify Issue Source",IF(AND(I570="Fail",W570=""),"Set Confidence",IF(AND(K570="Unknown",W570&lt;&gt;"Low"),"Unknown must be Low confidence",IF(AND(OR(K570="Backend",K570="SAP"),N570=""),"Add HTTP status + endpoint",IF(AND(OR(K570="Backend",K570="SAP",K570="Network"),P570=""),"Add Correlation ID",IF(AND(I570="Fail",T570=""),"Write Root Cause / evidence gap",IF(AND(I570="Fail",V570=""),"Assign team","OK"))))))))</f>
        <v/>
      </c>
    </row>
    <row r="571">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f>IF(I571="","",IF(AND(I571="Fail",K571=""),"Classify Issue Source",IF(AND(I571="Fail",W571=""),"Set Confidence",IF(AND(K571="Unknown",W571&lt;&gt;"Low"),"Unknown must be Low confidence",IF(AND(OR(K571="Backend",K571="SAP"),N571=""),"Add HTTP status + endpoint",IF(AND(OR(K571="Backend",K571="SAP",K571="Network"),P571=""),"Add Correlation ID",IF(AND(I571="Fail",T571=""),"Write Root Cause / evidence gap",IF(AND(I571="Fail",V571=""),"Assign team","OK"))))))))</f>
        <v/>
      </c>
    </row>
    <row r="572">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f>IF(I572="","",IF(AND(I572="Fail",K572=""),"Classify Issue Source",IF(AND(I572="Fail",W572=""),"Set Confidence",IF(AND(K572="Unknown",W572&lt;&gt;"Low"),"Unknown must be Low confidence",IF(AND(OR(K572="Backend",K572="SAP"),N572=""),"Add HTTP status + endpoint",IF(AND(OR(K572="Backend",K572="SAP",K572="Network"),P572=""),"Add Correlation ID",IF(AND(I572="Fail",T572=""),"Write Root Cause / evidence gap",IF(AND(I572="Fail",V572=""),"Assign team","OK"))))))))</f>
        <v/>
      </c>
    </row>
    <row r="573">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f>IF(I573="","",IF(AND(I573="Fail",K573=""),"Classify Issue Source",IF(AND(I573="Fail",W573=""),"Set Confidence",IF(AND(K573="Unknown",W573&lt;&gt;"Low"),"Unknown must be Low confidence",IF(AND(OR(K573="Backend",K573="SAP"),N573=""),"Add HTTP status + endpoint",IF(AND(OR(K573="Backend",K573="SAP",K573="Network"),P573=""),"Add Correlation ID",IF(AND(I573="Fail",T573=""),"Write Root Cause / evidence gap",IF(AND(I573="Fail",V573=""),"Assign team","OK"))))))))</f>
        <v/>
      </c>
    </row>
    <row r="574">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f>IF(I574="","",IF(AND(I574="Fail",K574=""),"Classify Issue Source",IF(AND(I574="Fail",W574=""),"Set Confidence",IF(AND(K574="Unknown",W574&lt;&gt;"Low"),"Unknown must be Low confidence",IF(AND(OR(K574="Backend",K574="SAP"),N574=""),"Add HTTP status + endpoint",IF(AND(OR(K574="Backend",K574="SAP",K574="Network"),P574=""),"Add Correlation ID",IF(AND(I574="Fail",T574=""),"Write Root Cause / evidence gap",IF(AND(I574="Fail",V574=""),"Assign team","OK"))))))))</f>
        <v/>
      </c>
    </row>
    <row r="575">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f>IF(I575="","",IF(AND(I575="Fail",K575=""),"Classify Issue Source",IF(AND(I575="Fail",W575=""),"Set Confidence",IF(AND(K575="Unknown",W575&lt;&gt;"Low"),"Unknown must be Low confidence",IF(AND(OR(K575="Backend",K575="SAP"),N575=""),"Add HTTP status + endpoint",IF(AND(OR(K575="Backend",K575="SAP",K575="Network"),P575=""),"Add Correlation ID",IF(AND(I575="Fail",T575=""),"Write Root Cause / evidence gap",IF(AND(I575="Fail",V575=""),"Assign team","OK"))))))))</f>
        <v/>
      </c>
    </row>
    <row r="576">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f>IF(I576="","",IF(AND(I576="Fail",K576=""),"Classify Issue Source",IF(AND(I576="Fail",W576=""),"Set Confidence",IF(AND(K576="Unknown",W576&lt;&gt;"Low"),"Unknown must be Low confidence",IF(AND(OR(K576="Backend",K576="SAP"),N576=""),"Add HTTP status + endpoint",IF(AND(OR(K576="Backend",K576="SAP",K576="Network"),P576=""),"Add Correlation ID",IF(AND(I576="Fail",T576=""),"Write Root Cause / evidence gap",IF(AND(I576="Fail",V576=""),"Assign team","OK"))))))))</f>
        <v/>
      </c>
    </row>
    <row r="577">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f>IF(I577="","",IF(AND(I577="Fail",K577=""),"Classify Issue Source",IF(AND(I577="Fail",W577=""),"Set Confidence",IF(AND(K577="Unknown",W577&lt;&gt;"Low"),"Unknown must be Low confidence",IF(AND(OR(K577="Backend",K577="SAP"),N577=""),"Add HTTP status + endpoint",IF(AND(OR(K577="Backend",K577="SAP",K577="Network"),P577=""),"Add Correlation ID",IF(AND(I577="Fail",T577=""),"Write Root Cause / evidence gap",IF(AND(I577="Fail",V577=""),"Assign team","OK"))))))))</f>
        <v/>
      </c>
    </row>
    <row r="578">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f>IF(I578="","",IF(AND(I578="Fail",K578=""),"Classify Issue Source",IF(AND(I578="Fail",W578=""),"Set Confidence",IF(AND(K578="Unknown",W578&lt;&gt;"Low"),"Unknown must be Low confidence",IF(AND(OR(K578="Backend",K578="SAP"),N578=""),"Add HTTP status + endpoint",IF(AND(OR(K578="Backend",K578="SAP",K578="Network"),P578=""),"Add Correlation ID",IF(AND(I578="Fail",T578=""),"Write Root Cause / evidence gap",IF(AND(I578="Fail",V578=""),"Assign team","OK"))))))))</f>
        <v/>
      </c>
    </row>
    <row r="5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f>IF(I579="","",IF(AND(I579="Fail",K579=""),"Classify Issue Source",IF(AND(I579="Fail",W579=""),"Set Confidence",IF(AND(K579="Unknown",W579&lt;&gt;"Low"),"Unknown must be Low confidence",IF(AND(OR(K579="Backend",K579="SAP"),N579=""),"Add HTTP status + endpoint",IF(AND(OR(K579="Backend",K579="SAP",K579="Network"),P579=""),"Add Correlation ID",IF(AND(I579="Fail",T579=""),"Write Root Cause / evidence gap",IF(AND(I579="Fail",V579=""),"Assign team","OK"))))))))</f>
        <v/>
      </c>
    </row>
    <row r="580">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f>IF(I580="","",IF(AND(I580="Fail",K580=""),"Classify Issue Source",IF(AND(I580="Fail",W580=""),"Set Confidence",IF(AND(K580="Unknown",W580&lt;&gt;"Low"),"Unknown must be Low confidence",IF(AND(OR(K580="Backend",K580="SAP"),N580=""),"Add HTTP status + endpoint",IF(AND(OR(K580="Backend",K580="SAP",K580="Network"),P580=""),"Add Correlation ID",IF(AND(I580="Fail",T580=""),"Write Root Cause / evidence gap",IF(AND(I580="Fail",V580=""),"Assign team","OK"))))))))</f>
        <v/>
      </c>
    </row>
    <row r="581">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f>IF(I581="","",IF(AND(I581="Fail",K581=""),"Classify Issue Source",IF(AND(I581="Fail",W581=""),"Set Confidence",IF(AND(K581="Unknown",W581&lt;&gt;"Low"),"Unknown must be Low confidence",IF(AND(OR(K581="Backend",K581="SAP"),N581=""),"Add HTTP status + endpoint",IF(AND(OR(K581="Backend",K581="SAP",K581="Network"),P581=""),"Add Correlation ID",IF(AND(I581="Fail",T581=""),"Write Root Cause / evidence gap",IF(AND(I581="Fail",V581=""),"Assign team","OK"))))))))</f>
        <v/>
      </c>
    </row>
    <row r="582">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f>IF(I582="","",IF(AND(I582="Fail",K582=""),"Classify Issue Source",IF(AND(I582="Fail",W582=""),"Set Confidence",IF(AND(K582="Unknown",W582&lt;&gt;"Low"),"Unknown must be Low confidence",IF(AND(OR(K582="Backend",K582="SAP"),N582=""),"Add HTTP status + endpoint",IF(AND(OR(K582="Backend",K582="SAP",K582="Network"),P582=""),"Add Correlation ID",IF(AND(I582="Fail",T582=""),"Write Root Cause / evidence gap",IF(AND(I582="Fail",V582=""),"Assign team","OK"))))))))</f>
        <v/>
      </c>
    </row>
    <row r="583">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f>IF(I583="","",IF(AND(I583="Fail",K583=""),"Classify Issue Source",IF(AND(I583="Fail",W583=""),"Set Confidence",IF(AND(K583="Unknown",W583&lt;&gt;"Low"),"Unknown must be Low confidence",IF(AND(OR(K583="Backend",K583="SAP"),N583=""),"Add HTTP status + endpoint",IF(AND(OR(K583="Backend",K583="SAP",K583="Network"),P583=""),"Add Correlation ID",IF(AND(I583="Fail",T583=""),"Write Root Cause / evidence gap",IF(AND(I583="Fail",V583=""),"Assign team","OK"))))))))</f>
        <v/>
      </c>
    </row>
    <row r="584">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f>IF(I584="","",IF(AND(I584="Fail",K584=""),"Classify Issue Source",IF(AND(I584="Fail",W584=""),"Set Confidence",IF(AND(K584="Unknown",W584&lt;&gt;"Low"),"Unknown must be Low confidence",IF(AND(OR(K584="Backend",K584="SAP"),N584=""),"Add HTTP status + endpoint",IF(AND(OR(K584="Backend",K584="SAP",K584="Network"),P584=""),"Add Correlation ID",IF(AND(I584="Fail",T584=""),"Write Root Cause / evidence gap",IF(AND(I584="Fail",V584=""),"Assign team","OK"))))))))</f>
        <v/>
      </c>
    </row>
    <row r="585">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f>IF(I585="","",IF(AND(I585="Fail",K585=""),"Classify Issue Source",IF(AND(I585="Fail",W585=""),"Set Confidence",IF(AND(K585="Unknown",W585&lt;&gt;"Low"),"Unknown must be Low confidence",IF(AND(OR(K585="Backend",K585="SAP"),N585=""),"Add HTTP status + endpoint",IF(AND(OR(K585="Backend",K585="SAP",K585="Network"),P585=""),"Add Correlation ID",IF(AND(I585="Fail",T585=""),"Write Root Cause / evidence gap",IF(AND(I585="Fail",V585=""),"Assign team","OK"))))))))</f>
        <v/>
      </c>
    </row>
    <row r="586">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f>IF(I586="","",IF(AND(I586="Fail",K586=""),"Classify Issue Source",IF(AND(I586="Fail",W586=""),"Set Confidence",IF(AND(K586="Unknown",W586&lt;&gt;"Low"),"Unknown must be Low confidence",IF(AND(OR(K586="Backend",K586="SAP"),N586=""),"Add HTTP status + endpoint",IF(AND(OR(K586="Backend",K586="SAP",K586="Network"),P586=""),"Add Correlation ID",IF(AND(I586="Fail",T586=""),"Write Root Cause / evidence gap",IF(AND(I586="Fail",V586=""),"Assign team","OK"))))))))</f>
        <v/>
      </c>
    </row>
    <row r="587">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f>IF(I587="","",IF(AND(I587="Fail",K587=""),"Classify Issue Source",IF(AND(I587="Fail",W587=""),"Set Confidence",IF(AND(K587="Unknown",W587&lt;&gt;"Low"),"Unknown must be Low confidence",IF(AND(OR(K587="Backend",K587="SAP"),N587=""),"Add HTTP status + endpoint",IF(AND(OR(K587="Backend",K587="SAP",K587="Network"),P587=""),"Add Correlation ID",IF(AND(I587="Fail",T587=""),"Write Root Cause / evidence gap",IF(AND(I587="Fail",V587=""),"Assign team","OK"))))))))</f>
        <v/>
      </c>
    </row>
    <row r="588">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f>IF(I588="","",IF(AND(I588="Fail",K588=""),"Classify Issue Source",IF(AND(I588="Fail",W588=""),"Set Confidence",IF(AND(K588="Unknown",W588&lt;&gt;"Low"),"Unknown must be Low confidence",IF(AND(OR(K588="Backend",K588="SAP"),N588=""),"Add HTTP status + endpoint",IF(AND(OR(K588="Backend",K588="SAP",K588="Network"),P588=""),"Add Correlation ID",IF(AND(I588="Fail",T588=""),"Write Root Cause / evidence gap",IF(AND(I588="Fail",V588=""),"Assign team","OK"))))))))</f>
        <v/>
      </c>
    </row>
    <row r="58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f>IF(I589="","",IF(AND(I589="Fail",K589=""),"Classify Issue Source",IF(AND(I589="Fail",W589=""),"Set Confidence",IF(AND(K589="Unknown",W589&lt;&gt;"Low"),"Unknown must be Low confidence",IF(AND(OR(K589="Backend",K589="SAP"),N589=""),"Add HTTP status + endpoint",IF(AND(OR(K589="Backend",K589="SAP",K589="Network"),P589=""),"Add Correlation ID",IF(AND(I589="Fail",T589=""),"Write Root Cause / evidence gap",IF(AND(I589="Fail",V589=""),"Assign team","OK"))))))))</f>
        <v/>
      </c>
    </row>
    <row r="590">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f>IF(I590="","",IF(AND(I590="Fail",K590=""),"Classify Issue Source",IF(AND(I590="Fail",W590=""),"Set Confidence",IF(AND(K590="Unknown",W590&lt;&gt;"Low"),"Unknown must be Low confidence",IF(AND(OR(K590="Backend",K590="SAP"),N590=""),"Add HTTP status + endpoint",IF(AND(OR(K590="Backend",K590="SAP",K590="Network"),P590=""),"Add Correlation ID",IF(AND(I590="Fail",T590=""),"Write Root Cause / evidence gap",IF(AND(I590="Fail",V590=""),"Assign team","OK"))))))))</f>
        <v/>
      </c>
    </row>
    <row r="591">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f>IF(I591="","",IF(AND(I591="Fail",K591=""),"Classify Issue Source",IF(AND(I591="Fail",W591=""),"Set Confidence",IF(AND(K591="Unknown",W591&lt;&gt;"Low"),"Unknown must be Low confidence",IF(AND(OR(K591="Backend",K591="SAP"),N591=""),"Add HTTP status + endpoint",IF(AND(OR(K591="Backend",K591="SAP",K591="Network"),P591=""),"Add Correlation ID",IF(AND(I591="Fail",T591=""),"Write Root Cause / evidence gap",IF(AND(I591="Fail",V591=""),"Assign team","OK"))))))))</f>
        <v/>
      </c>
    </row>
    <row r="592">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f>IF(I592="","",IF(AND(I592="Fail",K592=""),"Classify Issue Source",IF(AND(I592="Fail",W592=""),"Set Confidence",IF(AND(K592="Unknown",W592&lt;&gt;"Low"),"Unknown must be Low confidence",IF(AND(OR(K592="Backend",K592="SAP"),N592=""),"Add HTTP status + endpoint",IF(AND(OR(K592="Backend",K592="SAP",K592="Network"),P592=""),"Add Correlation ID",IF(AND(I592="Fail",T592=""),"Write Root Cause / evidence gap",IF(AND(I592="Fail",V592=""),"Assign team","OK"))))))))</f>
        <v/>
      </c>
    </row>
    <row r="593">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f>IF(I593="","",IF(AND(I593="Fail",K593=""),"Classify Issue Source",IF(AND(I593="Fail",W593=""),"Set Confidence",IF(AND(K593="Unknown",W593&lt;&gt;"Low"),"Unknown must be Low confidence",IF(AND(OR(K593="Backend",K593="SAP"),N593=""),"Add HTTP status + endpoint",IF(AND(OR(K593="Backend",K593="SAP",K593="Network"),P593=""),"Add Correlation ID",IF(AND(I593="Fail",T593=""),"Write Root Cause / evidence gap",IF(AND(I593="Fail",V593=""),"Assign team","OK"))))))))</f>
        <v/>
      </c>
    </row>
    <row r="594">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f>IF(I594="","",IF(AND(I594="Fail",K594=""),"Classify Issue Source",IF(AND(I594="Fail",W594=""),"Set Confidence",IF(AND(K594="Unknown",W594&lt;&gt;"Low"),"Unknown must be Low confidence",IF(AND(OR(K594="Backend",K594="SAP"),N594=""),"Add HTTP status + endpoint",IF(AND(OR(K594="Backend",K594="SAP",K594="Network"),P594=""),"Add Correlation ID",IF(AND(I594="Fail",T594=""),"Write Root Cause / evidence gap",IF(AND(I594="Fail",V594=""),"Assign team","OK"))))))))</f>
        <v/>
      </c>
    </row>
    <row r="595">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f>IF(I595="","",IF(AND(I595="Fail",K595=""),"Classify Issue Source",IF(AND(I595="Fail",W595=""),"Set Confidence",IF(AND(K595="Unknown",W595&lt;&gt;"Low"),"Unknown must be Low confidence",IF(AND(OR(K595="Backend",K595="SAP"),N595=""),"Add HTTP status + endpoint",IF(AND(OR(K595="Backend",K595="SAP",K595="Network"),P595=""),"Add Correlation ID",IF(AND(I595="Fail",T595=""),"Write Root Cause / evidence gap",IF(AND(I595="Fail",V595=""),"Assign team","OK"))))))))</f>
        <v/>
      </c>
    </row>
    <row r="596">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f>IF(I596="","",IF(AND(I596="Fail",K596=""),"Classify Issue Source",IF(AND(I596="Fail",W596=""),"Set Confidence",IF(AND(K596="Unknown",W596&lt;&gt;"Low"),"Unknown must be Low confidence",IF(AND(OR(K596="Backend",K596="SAP"),N596=""),"Add HTTP status + endpoint",IF(AND(OR(K596="Backend",K596="SAP",K596="Network"),P596=""),"Add Correlation ID",IF(AND(I596="Fail",T596=""),"Write Root Cause / evidence gap",IF(AND(I596="Fail",V596=""),"Assign team","OK"))))))))</f>
        <v/>
      </c>
    </row>
    <row r="597">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f>IF(I597="","",IF(AND(I597="Fail",K597=""),"Classify Issue Source",IF(AND(I597="Fail",W597=""),"Set Confidence",IF(AND(K597="Unknown",W597&lt;&gt;"Low"),"Unknown must be Low confidence",IF(AND(OR(K597="Backend",K597="SAP"),N597=""),"Add HTTP status + endpoint",IF(AND(OR(K597="Backend",K597="SAP",K597="Network"),P597=""),"Add Correlation ID",IF(AND(I597="Fail",T597=""),"Write Root Cause / evidence gap",IF(AND(I597="Fail",V597=""),"Assign team","OK"))))))))</f>
        <v/>
      </c>
    </row>
    <row r="598">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f>IF(I598="","",IF(AND(I598="Fail",K598=""),"Classify Issue Source",IF(AND(I598="Fail",W598=""),"Set Confidence",IF(AND(K598="Unknown",W598&lt;&gt;"Low"),"Unknown must be Low confidence",IF(AND(OR(K598="Backend",K598="SAP"),N598=""),"Add HTTP status + endpoint",IF(AND(OR(K598="Backend",K598="SAP",K598="Network"),P598=""),"Add Correlation ID",IF(AND(I598="Fail",T598=""),"Write Root Cause / evidence gap",IF(AND(I598="Fail",V598=""),"Assign team","OK"))))))))</f>
        <v/>
      </c>
    </row>
    <row r="59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f>IF(I599="","",IF(AND(I599="Fail",K599=""),"Classify Issue Source",IF(AND(I599="Fail",W599=""),"Set Confidence",IF(AND(K599="Unknown",W599&lt;&gt;"Low"),"Unknown must be Low confidence",IF(AND(OR(K599="Backend",K599="SAP"),N599=""),"Add HTTP status + endpoint",IF(AND(OR(K599="Backend",K599="SAP",K599="Network"),P599=""),"Add Correlation ID",IF(AND(I599="Fail",T599=""),"Write Root Cause / evidence gap",IF(AND(I599="Fail",V599=""),"Assign team","OK"))))))))</f>
        <v/>
      </c>
    </row>
    <row r="600">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f>IF(I600="","",IF(AND(I600="Fail",K600=""),"Classify Issue Source",IF(AND(I600="Fail",W600=""),"Set Confidence",IF(AND(K600="Unknown",W600&lt;&gt;"Low"),"Unknown must be Low confidence",IF(AND(OR(K600="Backend",K600="SAP"),N600=""),"Add HTTP status + endpoint",IF(AND(OR(K600="Backend",K600="SAP",K600="Network"),P600=""),"Add Correlation ID",IF(AND(I600="Fail",T600=""),"Write Root Cause / evidence gap",IF(AND(I600="Fail",V600=""),"Assign team","OK"))))))))</f>
        <v/>
      </c>
    </row>
    <row r="601">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f>IF(I601="","",IF(AND(I601="Fail",K601=""),"Classify Issue Source",IF(AND(I601="Fail",W601=""),"Set Confidence",IF(AND(K601="Unknown",W601&lt;&gt;"Low"),"Unknown must be Low confidence",IF(AND(OR(K601="Backend",K601="SAP"),N601=""),"Add HTTP status + endpoint",IF(AND(OR(K601="Backend",K601="SAP",K601="Network"),P601=""),"Add Correlation ID",IF(AND(I601="Fail",T601=""),"Write Root Cause / evidence gap",IF(AND(I601="Fail",V601=""),"Assign team","OK"))))))))</f>
        <v/>
      </c>
    </row>
    <row r="602">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f>IF(I602="","",IF(AND(I602="Fail",K602=""),"Classify Issue Source",IF(AND(I602="Fail",W602=""),"Set Confidence",IF(AND(K602="Unknown",W602&lt;&gt;"Low"),"Unknown must be Low confidence",IF(AND(OR(K602="Backend",K602="SAP"),N602=""),"Add HTTP status + endpoint",IF(AND(OR(K602="Backend",K602="SAP",K602="Network"),P602=""),"Add Correlation ID",IF(AND(I602="Fail",T602=""),"Write Root Cause / evidence gap",IF(AND(I602="Fail",V602=""),"Assign team","OK"))))))))</f>
        <v/>
      </c>
    </row>
    <row r="603">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f>IF(I603="","",IF(AND(I603="Fail",K603=""),"Classify Issue Source",IF(AND(I603="Fail",W603=""),"Set Confidence",IF(AND(K603="Unknown",W603&lt;&gt;"Low"),"Unknown must be Low confidence",IF(AND(OR(K603="Backend",K603="SAP"),N603=""),"Add HTTP status + endpoint",IF(AND(OR(K603="Backend",K603="SAP",K603="Network"),P603=""),"Add Correlation ID",IF(AND(I603="Fail",T603=""),"Write Root Cause / evidence gap",IF(AND(I603="Fail",V603=""),"Assign team","OK"))))))))</f>
        <v/>
      </c>
    </row>
    <row r="604">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f>IF(I604="","",IF(AND(I604="Fail",K604=""),"Classify Issue Source",IF(AND(I604="Fail",W604=""),"Set Confidence",IF(AND(K604="Unknown",W604&lt;&gt;"Low"),"Unknown must be Low confidence",IF(AND(OR(K604="Backend",K604="SAP"),N604=""),"Add HTTP status + endpoint",IF(AND(OR(K604="Backend",K604="SAP",K604="Network"),P604=""),"Add Correlation ID",IF(AND(I604="Fail",T604=""),"Write Root Cause / evidence gap",IF(AND(I604="Fail",V604=""),"Assign team","OK"))))))))</f>
        <v/>
      </c>
    </row>
    <row r="605">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f>IF(I605="","",IF(AND(I605="Fail",K605=""),"Classify Issue Source",IF(AND(I605="Fail",W605=""),"Set Confidence",IF(AND(K605="Unknown",W605&lt;&gt;"Low"),"Unknown must be Low confidence",IF(AND(OR(K605="Backend",K605="SAP"),N605=""),"Add HTTP status + endpoint",IF(AND(OR(K605="Backend",K605="SAP",K605="Network"),P605=""),"Add Correlation ID",IF(AND(I605="Fail",T605=""),"Write Root Cause / evidence gap",IF(AND(I605="Fail",V605=""),"Assign team","OK"))))))))</f>
        <v/>
      </c>
    </row>
    <row r="606">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f>IF(I606="","",IF(AND(I606="Fail",K606=""),"Classify Issue Source",IF(AND(I606="Fail",W606=""),"Set Confidence",IF(AND(K606="Unknown",W606&lt;&gt;"Low"),"Unknown must be Low confidence",IF(AND(OR(K606="Backend",K606="SAP"),N606=""),"Add HTTP status + endpoint",IF(AND(OR(K606="Backend",K606="SAP",K606="Network"),P606=""),"Add Correlation ID",IF(AND(I606="Fail",T606=""),"Write Root Cause / evidence gap",IF(AND(I606="Fail",V606=""),"Assign team","OK"))))))))</f>
        <v/>
      </c>
    </row>
    <row r="607">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f>IF(I607="","",IF(AND(I607="Fail",K607=""),"Classify Issue Source",IF(AND(I607="Fail",W607=""),"Set Confidence",IF(AND(K607="Unknown",W607&lt;&gt;"Low"),"Unknown must be Low confidence",IF(AND(OR(K607="Backend",K607="SAP"),N607=""),"Add HTTP status + endpoint",IF(AND(OR(K607="Backend",K607="SAP",K607="Network"),P607=""),"Add Correlation ID",IF(AND(I607="Fail",T607=""),"Write Root Cause / evidence gap",IF(AND(I607="Fail",V607=""),"Assign team","OK"))))))))</f>
        <v/>
      </c>
    </row>
    <row r="608">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f>IF(I608="","",IF(AND(I608="Fail",K608=""),"Classify Issue Source",IF(AND(I608="Fail",W608=""),"Set Confidence",IF(AND(K608="Unknown",W608&lt;&gt;"Low"),"Unknown must be Low confidence",IF(AND(OR(K608="Backend",K608="SAP"),N608=""),"Add HTTP status + endpoint",IF(AND(OR(K608="Backend",K608="SAP",K608="Network"),P608=""),"Add Correlation ID",IF(AND(I608="Fail",T608=""),"Write Root Cause / evidence gap",IF(AND(I608="Fail",V608=""),"Assign team","OK"))))))))</f>
        <v/>
      </c>
    </row>
    <row r="60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f>IF(I609="","",IF(AND(I609="Fail",K609=""),"Classify Issue Source",IF(AND(I609="Fail",W609=""),"Set Confidence",IF(AND(K609="Unknown",W609&lt;&gt;"Low"),"Unknown must be Low confidence",IF(AND(OR(K609="Backend",K609="SAP"),N609=""),"Add HTTP status + endpoint",IF(AND(OR(K609="Backend",K609="SAP",K609="Network"),P609=""),"Add Correlation ID",IF(AND(I609="Fail",T609=""),"Write Root Cause / evidence gap",IF(AND(I609="Fail",V609=""),"Assign team","OK"))))))))</f>
        <v/>
      </c>
    </row>
    <row r="610">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f>IF(I610="","",IF(AND(I610="Fail",K610=""),"Classify Issue Source",IF(AND(I610="Fail",W610=""),"Set Confidence",IF(AND(K610="Unknown",W610&lt;&gt;"Low"),"Unknown must be Low confidence",IF(AND(OR(K610="Backend",K610="SAP"),N610=""),"Add HTTP status + endpoint",IF(AND(OR(K610="Backend",K610="SAP",K610="Network"),P610=""),"Add Correlation ID",IF(AND(I610="Fail",T610=""),"Write Root Cause / evidence gap",IF(AND(I610="Fail",V610=""),"Assign team","OK"))))))))</f>
        <v/>
      </c>
    </row>
    <row r="611">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f>IF(I611="","",IF(AND(I611="Fail",K611=""),"Classify Issue Source",IF(AND(I611="Fail",W611=""),"Set Confidence",IF(AND(K611="Unknown",W611&lt;&gt;"Low"),"Unknown must be Low confidence",IF(AND(OR(K611="Backend",K611="SAP"),N611=""),"Add HTTP status + endpoint",IF(AND(OR(K611="Backend",K611="SAP",K611="Network"),P611=""),"Add Correlation ID",IF(AND(I611="Fail",T611=""),"Write Root Cause / evidence gap",IF(AND(I611="Fail",V611=""),"Assign team","OK"))))))))</f>
        <v/>
      </c>
    </row>
    <row r="612">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f>IF(I612="","",IF(AND(I612="Fail",K612=""),"Classify Issue Source",IF(AND(I612="Fail",W612=""),"Set Confidence",IF(AND(K612="Unknown",W612&lt;&gt;"Low"),"Unknown must be Low confidence",IF(AND(OR(K612="Backend",K612="SAP"),N612=""),"Add HTTP status + endpoint",IF(AND(OR(K612="Backend",K612="SAP",K612="Network"),P612=""),"Add Correlation ID",IF(AND(I612="Fail",T612=""),"Write Root Cause / evidence gap",IF(AND(I612="Fail",V612=""),"Assign team","OK"))))))))</f>
        <v/>
      </c>
    </row>
    <row r="613">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f>IF(I613="","",IF(AND(I613="Fail",K613=""),"Classify Issue Source",IF(AND(I613="Fail",W613=""),"Set Confidence",IF(AND(K613="Unknown",W613&lt;&gt;"Low"),"Unknown must be Low confidence",IF(AND(OR(K613="Backend",K613="SAP"),N613=""),"Add HTTP status + endpoint",IF(AND(OR(K613="Backend",K613="SAP",K613="Network"),P613=""),"Add Correlation ID",IF(AND(I613="Fail",T613=""),"Write Root Cause / evidence gap",IF(AND(I613="Fail",V613=""),"Assign team","OK"))))))))</f>
        <v/>
      </c>
    </row>
    <row r="614">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f>IF(I614="","",IF(AND(I614="Fail",K614=""),"Classify Issue Source",IF(AND(I614="Fail",W614=""),"Set Confidence",IF(AND(K614="Unknown",W614&lt;&gt;"Low"),"Unknown must be Low confidence",IF(AND(OR(K614="Backend",K614="SAP"),N614=""),"Add HTTP status + endpoint",IF(AND(OR(K614="Backend",K614="SAP",K614="Network"),P614=""),"Add Correlation ID",IF(AND(I614="Fail",T614=""),"Write Root Cause / evidence gap",IF(AND(I614="Fail",V614=""),"Assign team","OK"))))))))</f>
        <v/>
      </c>
    </row>
    <row r="615">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f>IF(I615="","",IF(AND(I615="Fail",K615=""),"Classify Issue Source",IF(AND(I615="Fail",W615=""),"Set Confidence",IF(AND(K615="Unknown",W615&lt;&gt;"Low"),"Unknown must be Low confidence",IF(AND(OR(K615="Backend",K615="SAP"),N615=""),"Add HTTP status + endpoint",IF(AND(OR(K615="Backend",K615="SAP",K615="Network"),P615=""),"Add Correlation ID",IF(AND(I615="Fail",T615=""),"Write Root Cause / evidence gap",IF(AND(I615="Fail",V615=""),"Assign team","OK"))))))))</f>
        <v/>
      </c>
    </row>
    <row r="616">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f>IF(I616="","",IF(AND(I616="Fail",K616=""),"Classify Issue Source",IF(AND(I616="Fail",W616=""),"Set Confidence",IF(AND(K616="Unknown",W616&lt;&gt;"Low"),"Unknown must be Low confidence",IF(AND(OR(K616="Backend",K616="SAP"),N616=""),"Add HTTP status + endpoint",IF(AND(OR(K616="Backend",K616="SAP",K616="Network"),P616=""),"Add Correlation ID",IF(AND(I616="Fail",T616=""),"Write Root Cause / evidence gap",IF(AND(I616="Fail",V616=""),"Assign team","OK"))))))))</f>
        <v/>
      </c>
    </row>
    <row r="617">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f>IF(I617="","",IF(AND(I617="Fail",K617=""),"Classify Issue Source",IF(AND(I617="Fail",W617=""),"Set Confidence",IF(AND(K617="Unknown",W617&lt;&gt;"Low"),"Unknown must be Low confidence",IF(AND(OR(K617="Backend",K617="SAP"),N617=""),"Add HTTP status + endpoint",IF(AND(OR(K617="Backend",K617="SAP",K617="Network"),P617=""),"Add Correlation ID",IF(AND(I617="Fail",T617=""),"Write Root Cause / evidence gap",IF(AND(I617="Fail",V617=""),"Assign team","OK"))))))))</f>
        <v/>
      </c>
    </row>
    <row r="618">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f>IF(I618="","",IF(AND(I618="Fail",K618=""),"Classify Issue Source",IF(AND(I618="Fail",W618=""),"Set Confidence",IF(AND(K618="Unknown",W618&lt;&gt;"Low"),"Unknown must be Low confidence",IF(AND(OR(K618="Backend",K618="SAP"),N618=""),"Add HTTP status + endpoint",IF(AND(OR(K618="Backend",K618="SAP",K618="Network"),P618=""),"Add Correlation ID",IF(AND(I618="Fail",T618=""),"Write Root Cause / evidence gap",IF(AND(I618="Fail",V618=""),"Assign team","OK"))))))))</f>
        <v/>
      </c>
    </row>
    <row r="61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f>IF(I619="","",IF(AND(I619="Fail",K619=""),"Classify Issue Source",IF(AND(I619="Fail",W619=""),"Set Confidence",IF(AND(K619="Unknown",W619&lt;&gt;"Low"),"Unknown must be Low confidence",IF(AND(OR(K619="Backend",K619="SAP"),N619=""),"Add HTTP status + endpoint",IF(AND(OR(K619="Backend",K619="SAP",K619="Network"),P619=""),"Add Correlation ID",IF(AND(I619="Fail",T619=""),"Write Root Cause / evidence gap",IF(AND(I619="Fail",V619=""),"Assign team","OK"))))))))</f>
        <v/>
      </c>
    </row>
    <row r="620">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f>IF(I620="","",IF(AND(I620="Fail",K620=""),"Classify Issue Source",IF(AND(I620="Fail",W620=""),"Set Confidence",IF(AND(K620="Unknown",W620&lt;&gt;"Low"),"Unknown must be Low confidence",IF(AND(OR(K620="Backend",K620="SAP"),N620=""),"Add HTTP status + endpoint",IF(AND(OR(K620="Backend",K620="SAP",K620="Network"),P620=""),"Add Correlation ID",IF(AND(I620="Fail",T620=""),"Write Root Cause / evidence gap",IF(AND(I620="Fail",V620=""),"Assign team","OK"))))))))</f>
        <v/>
      </c>
    </row>
    <row r="621">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f>IF(I621="","",IF(AND(I621="Fail",K621=""),"Classify Issue Source",IF(AND(I621="Fail",W621=""),"Set Confidence",IF(AND(K621="Unknown",W621&lt;&gt;"Low"),"Unknown must be Low confidence",IF(AND(OR(K621="Backend",K621="SAP"),N621=""),"Add HTTP status + endpoint",IF(AND(OR(K621="Backend",K621="SAP",K621="Network"),P621=""),"Add Correlation ID",IF(AND(I621="Fail",T621=""),"Write Root Cause / evidence gap",IF(AND(I621="Fail",V621=""),"Assign team","OK"))))))))</f>
        <v/>
      </c>
    </row>
    <row r="622">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f>IF(I622="","",IF(AND(I622="Fail",K622=""),"Classify Issue Source",IF(AND(I622="Fail",W622=""),"Set Confidence",IF(AND(K622="Unknown",W622&lt;&gt;"Low"),"Unknown must be Low confidence",IF(AND(OR(K622="Backend",K622="SAP"),N622=""),"Add HTTP status + endpoint",IF(AND(OR(K622="Backend",K622="SAP",K622="Network"),P622=""),"Add Correlation ID",IF(AND(I622="Fail",T622=""),"Write Root Cause / evidence gap",IF(AND(I622="Fail",V622=""),"Assign team","OK"))))))))</f>
        <v/>
      </c>
    </row>
    <row r="623">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f>IF(I623="","",IF(AND(I623="Fail",K623=""),"Classify Issue Source",IF(AND(I623="Fail",W623=""),"Set Confidence",IF(AND(K623="Unknown",W623&lt;&gt;"Low"),"Unknown must be Low confidence",IF(AND(OR(K623="Backend",K623="SAP"),N623=""),"Add HTTP status + endpoint",IF(AND(OR(K623="Backend",K623="SAP",K623="Network"),P623=""),"Add Correlation ID",IF(AND(I623="Fail",T623=""),"Write Root Cause / evidence gap",IF(AND(I623="Fail",V623=""),"Assign team","OK"))))))))</f>
        <v/>
      </c>
    </row>
    <row r="624">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f>IF(I624="","",IF(AND(I624="Fail",K624=""),"Classify Issue Source",IF(AND(I624="Fail",W624=""),"Set Confidence",IF(AND(K624="Unknown",W624&lt;&gt;"Low"),"Unknown must be Low confidence",IF(AND(OR(K624="Backend",K624="SAP"),N624=""),"Add HTTP status + endpoint",IF(AND(OR(K624="Backend",K624="SAP",K624="Network"),P624=""),"Add Correlation ID",IF(AND(I624="Fail",T624=""),"Write Root Cause / evidence gap",IF(AND(I624="Fail",V624=""),"Assign team","OK"))))))))</f>
        <v/>
      </c>
    </row>
    <row r="625">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f>IF(I625="","",IF(AND(I625="Fail",K625=""),"Classify Issue Source",IF(AND(I625="Fail",W625=""),"Set Confidence",IF(AND(K625="Unknown",W625&lt;&gt;"Low"),"Unknown must be Low confidence",IF(AND(OR(K625="Backend",K625="SAP"),N625=""),"Add HTTP status + endpoint",IF(AND(OR(K625="Backend",K625="SAP",K625="Network"),P625=""),"Add Correlation ID",IF(AND(I625="Fail",T625=""),"Write Root Cause / evidence gap",IF(AND(I625="Fail",V625=""),"Assign team","OK"))))))))</f>
        <v/>
      </c>
    </row>
    <row r="626">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f>IF(I626="","",IF(AND(I626="Fail",K626=""),"Classify Issue Source",IF(AND(I626="Fail",W626=""),"Set Confidence",IF(AND(K626="Unknown",W626&lt;&gt;"Low"),"Unknown must be Low confidence",IF(AND(OR(K626="Backend",K626="SAP"),N626=""),"Add HTTP status + endpoint",IF(AND(OR(K626="Backend",K626="SAP",K626="Network"),P626=""),"Add Correlation ID",IF(AND(I626="Fail",T626=""),"Write Root Cause / evidence gap",IF(AND(I626="Fail",V626=""),"Assign team","OK"))))))))</f>
        <v/>
      </c>
    </row>
    <row r="627">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f>IF(I627="","",IF(AND(I627="Fail",K627=""),"Classify Issue Source",IF(AND(I627="Fail",W627=""),"Set Confidence",IF(AND(K627="Unknown",W627&lt;&gt;"Low"),"Unknown must be Low confidence",IF(AND(OR(K627="Backend",K627="SAP"),N627=""),"Add HTTP status + endpoint",IF(AND(OR(K627="Backend",K627="SAP",K627="Network"),P627=""),"Add Correlation ID",IF(AND(I627="Fail",T627=""),"Write Root Cause / evidence gap",IF(AND(I627="Fail",V627=""),"Assign team","OK"))))))))</f>
        <v/>
      </c>
    </row>
    <row r="628">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f>IF(I628="","",IF(AND(I628="Fail",K628=""),"Classify Issue Source",IF(AND(I628="Fail",W628=""),"Set Confidence",IF(AND(K628="Unknown",W628&lt;&gt;"Low"),"Unknown must be Low confidence",IF(AND(OR(K628="Backend",K628="SAP"),N628=""),"Add HTTP status + endpoint",IF(AND(OR(K628="Backend",K628="SAP",K628="Network"),P628=""),"Add Correlation ID",IF(AND(I628="Fail",T628=""),"Write Root Cause / evidence gap",IF(AND(I628="Fail",V628=""),"Assign team","OK"))))))))</f>
        <v/>
      </c>
    </row>
    <row r="62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f>IF(I629="","",IF(AND(I629="Fail",K629=""),"Classify Issue Source",IF(AND(I629="Fail",W629=""),"Set Confidence",IF(AND(K629="Unknown",W629&lt;&gt;"Low"),"Unknown must be Low confidence",IF(AND(OR(K629="Backend",K629="SAP"),N629=""),"Add HTTP status + endpoint",IF(AND(OR(K629="Backend",K629="SAP",K629="Network"),P629=""),"Add Correlation ID",IF(AND(I629="Fail",T629=""),"Write Root Cause / evidence gap",IF(AND(I629="Fail",V629=""),"Assign team","OK"))))))))</f>
        <v/>
      </c>
    </row>
    <row r="630">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f>IF(I630="","",IF(AND(I630="Fail",K630=""),"Classify Issue Source",IF(AND(I630="Fail",W630=""),"Set Confidence",IF(AND(K630="Unknown",W630&lt;&gt;"Low"),"Unknown must be Low confidence",IF(AND(OR(K630="Backend",K630="SAP"),N630=""),"Add HTTP status + endpoint",IF(AND(OR(K630="Backend",K630="SAP",K630="Network"),P630=""),"Add Correlation ID",IF(AND(I630="Fail",T630=""),"Write Root Cause / evidence gap",IF(AND(I630="Fail",V630=""),"Assign team","OK"))))))))</f>
        <v/>
      </c>
    </row>
    <row r="631">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f>IF(I631="","",IF(AND(I631="Fail",K631=""),"Classify Issue Source",IF(AND(I631="Fail",W631=""),"Set Confidence",IF(AND(K631="Unknown",W631&lt;&gt;"Low"),"Unknown must be Low confidence",IF(AND(OR(K631="Backend",K631="SAP"),N631=""),"Add HTTP status + endpoint",IF(AND(OR(K631="Backend",K631="SAP",K631="Network"),P631=""),"Add Correlation ID",IF(AND(I631="Fail",T631=""),"Write Root Cause / evidence gap",IF(AND(I631="Fail",V631=""),"Assign team","OK"))))))))</f>
        <v/>
      </c>
    </row>
    <row r="632">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f>IF(I632="","",IF(AND(I632="Fail",K632=""),"Classify Issue Source",IF(AND(I632="Fail",W632=""),"Set Confidence",IF(AND(K632="Unknown",W632&lt;&gt;"Low"),"Unknown must be Low confidence",IF(AND(OR(K632="Backend",K632="SAP"),N632=""),"Add HTTP status + endpoint",IF(AND(OR(K632="Backend",K632="SAP",K632="Network"),P632=""),"Add Correlation ID",IF(AND(I632="Fail",T632=""),"Write Root Cause / evidence gap",IF(AND(I632="Fail",V632=""),"Assign team","OK"))))))))</f>
        <v/>
      </c>
    </row>
    <row r="633">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f>IF(I633="","",IF(AND(I633="Fail",K633=""),"Classify Issue Source",IF(AND(I633="Fail",W633=""),"Set Confidence",IF(AND(K633="Unknown",W633&lt;&gt;"Low"),"Unknown must be Low confidence",IF(AND(OR(K633="Backend",K633="SAP"),N633=""),"Add HTTP status + endpoint",IF(AND(OR(K633="Backend",K633="SAP",K633="Network"),P633=""),"Add Correlation ID",IF(AND(I633="Fail",T633=""),"Write Root Cause / evidence gap",IF(AND(I633="Fail",V633=""),"Assign team","OK"))))))))</f>
        <v/>
      </c>
    </row>
    <row r="634">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f>IF(I634="","",IF(AND(I634="Fail",K634=""),"Classify Issue Source",IF(AND(I634="Fail",W634=""),"Set Confidence",IF(AND(K634="Unknown",W634&lt;&gt;"Low"),"Unknown must be Low confidence",IF(AND(OR(K634="Backend",K634="SAP"),N634=""),"Add HTTP status + endpoint",IF(AND(OR(K634="Backend",K634="SAP",K634="Network"),P634=""),"Add Correlation ID",IF(AND(I634="Fail",T634=""),"Write Root Cause / evidence gap",IF(AND(I634="Fail",V634=""),"Assign team","OK"))))))))</f>
        <v/>
      </c>
    </row>
    <row r="635">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f>IF(I635="","",IF(AND(I635="Fail",K635=""),"Classify Issue Source",IF(AND(I635="Fail",W635=""),"Set Confidence",IF(AND(K635="Unknown",W635&lt;&gt;"Low"),"Unknown must be Low confidence",IF(AND(OR(K635="Backend",K635="SAP"),N635=""),"Add HTTP status + endpoint",IF(AND(OR(K635="Backend",K635="SAP",K635="Network"),P635=""),"Add Correlation ID",IF(AND(I635="Fail",T635=""),"Write Root Cause / evidence gap",IF(AND(I635="Fail",V635=""),"Assign team","OK"))))))))</f>
        <v/>
      </c>
    </row>
    <row r="636">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f>IF(I636="","",IF(AND(I636="Fail",K636=""),"Classify Issue Source",IF(AND(I636="Fail",W636=""),"Set Confidence",IF(AND(K636="Unknown",W636&lt;&gt;"Low"),"Unknown must be Low confidence",IF(AND(OR(K636="Backend",K636="SAP"),N636=""),"Add HTTP status + endpoint",IF(AND(OR(K636="Backend",K636="SAP",K636="Network"),P636=""),"Add Correlation ID",IF(AND(I636="Fail",T636=""),"Write Root Cause / evidence gap",IF(AND(I636="Fail",V636=""),"Assign team","OK"))))))))</f>
        <v/>
      </c>
    </row>
    <row r="637">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f>IF(I637="","",IF(AND(I637="Fail",K637=""),"Classify Issue Source",IF(AND(I637="Fail",W637=""),"Set Confidence",IF(AND(K637="Unknown",W637&lt;&gt;"Low"),"Unknown must be Low confidence",IF(AND(OR(K637="Backend",K637="SAP"),N637=""),"Add HTTP status + endpoint",IF(AND(OR(K637="Backend",K637="SAP",K637="Network"),P637=""),"Add Correlation ID",IF(AND(I637="Fail",T637=""),"Write Root Cause / evidence gap",IF(AND(I637="Fail",V637=""),"Assign team","OK"))))))))</f>
        <v/>
      </c>
    </row>
    <row r="638">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f>IF(I638="","",IF(AND(I638="Fail",K638=""),"Classify Issue Source",IF(AND(I638="Fail",W638=""),"Set Confidence",IF(AND(K638="Unknown",W638&lt;&gt;"Low"),"Unknown must be Low confidence",IF(AND(OR(K638="Backend",K638="SAP"),N638=""),"Add HTTP status + endpoint",IF(AND(OR(K638="Backend",K638="SAP",K638="Network"),P638=""),"Add Correlation ID",IF(AND(I638="Fail",T638=""),"Write Root Cause / evidence gap",IF(AND(I638="Fail",V638=""),"Assign team","OK"))))))))</f>
        <v/>
      </c>
    </row>
    <row r="63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f>IF(I639="","",IF(AND(I639="Fail",K639=""),"Classify Issue Source",IF(AND(I639="Fail",W639=""),"Set Confidence",IF(AND(K639="Unknown",W639&lt;&gt;"Low"),"Unknown must be Low confidence",IF(AND(OR(K639="Backend",K639="SAP"),N639=""),"Add HTTP status + endpoint",IF(AND(OR(K639="Backend",K639="SAP",K639="Network"),P639=""),"Add Correlation ID",IF(AND(I639="Fail",T639=""),"Write Root Cause / evidence gap",IF(AND(I639="Fail",V639=""),"Assign team","OK"))))))))</f>
        <v/>
      </c>
    </row>
    <row r="640">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f>IF(I640="","",IF(AND(I640="Fail",K640=""),"Classify Issue Source",IF(AND(I640="Fail",W640=""),"Set Confidence",IF(AND(K640="Unknown",W640&lt;&gt;"Low"),"Unknown must be Low confidence",IF(AND(OR(K640="Backend",K640="SAP"),N640=""),"Add HTTP status + endpoint",IF(AND(OR(K640="Backend",K640="SAP",K640="Network"),P640=""),"Add Correlation ID",IF(AND(I640="Fail",T640=""),"Write Root Cause / evidence gap",IF(AND(I640="Fail",V640=""),"Assign team","OK"))))))))</f>
        <v/>
      </c>
    </row>
    <row r="641">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f>IF(I641="","",IF(AND(I641="Fail",K641=""),"Classify Issue Source",IF(AND(I641="Fail",W641=""),"Set Confidence",IF(AND(K641="Unknown",W641&lt;&gt;"Low"),"Unknown must be Low confidence",IF(AND(OR(K641="Backend",K641="SAP"),N641=""),"Add HTTP status + endpoint",IF(AND(OR(K641="Backend",K641="SAP",K641="Network"),P641=""),"Add Correlation ID",IF(AND(I641="Fail",T641=""),"Write Root Cause / evidence gap",IF(AND(I641="Fail",V641=""),"Assign team","OK"))))))))</f>
        <v/>
      </c>
    </row>
    <row r="642">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f>IF(I642="","",IF(AND(I642="Fail",K642=""),"Classify Issue Source",IF(AND(I642="Fail",W642=""),"Set Confidence",IF(AND(K642="Unknown",W642&lt;&gt;"Low"),"Unknown must be Low confidence",IF(AND(OR(K642="Backend",K642="SAP"),N642=""),"Add HTTP status + endpoint",IF(AND(OR(K642="Backend",K642="SAP",K642="Network"),P642=""),"Add Correlation ID",IF(AND(I642="Fail",T642=""),"Write Root Cause / evidence gap",IF(AND(I642="Fail",V642=""),"Assign team","OK"))))))))</f>
        <v/>
      </c>
    </row>
    <row r="643">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f>IF(I643="","",IF(AND(I643="Fail",K643=""),"Classify Issue Source",IF(AND(I643="Fail",W643=""),"Set Confidence",IF(AND(K643="Unknown",W643&lt;&gt;"Low"),"Unknown must be Low confidence",IF(AND(OR(K643="Backend",K643="SAP"),N643=""),"Add HTTP status + endpoint",IF(AND(OR(K643="Backend",K643="SAP",K643="Network"),P643=""),"Add Correlation ID",IF(AND(I643="Fail",T643=""),"Write Root Cause / evidence gap",IF(AND(I643="Fail",V643=""),"Assign team","OK"))))))))</f>
        <v/>
      </c>
    </row>
    <row r="644">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f>IF(I644="","",IF(AND(I644="Fail",K644=""),"Classify Issue Source",IF(AND(I644="Fail",W644=""),"Set Confidence",IF(AND(K644="Unknown",W644&lt;&gt;"Low"),"Unknown must be Low confidence",IF(AND(OR(K644="Backend",K644="SAP"),N644=""),"Add HTTP status + endpoint",IF(AND(OR(K644="Backend",K644="SAP",K644="Network"),P644=""),"Add Correlation ID",IF(AND(I644="Fail",T644=""),"Write Root Cause / evidence gap",IF(AND(I644="Fail",V644=""),"Assign team","OK"))))))))</f>
        <v/>
      </c>
    </row>
    <row r="645">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f>IF(I645="","",IF(AND(I645="Fail",K645=""),"Classify Issue Source",IF(AND(I645="Fail",W645=""),"Set Confidence",IF(AND(K645="Unknown",W645&lt;&gt;"Low"),"Unknown must be Low confidence",IF(AND(OR(K645="Backend",K645="SAP"),N645=""),"Add HTTP status + endpoint",IF(AND(OR(K645="Backend",K645="SAP",K645="Network"),P645=""),"Add Correlation ID",IF(AND(I645="Fail",T645=""),"Write Root Cause / evidence gap",IF(AND(I645="Fail",V645=""),"Assign team","OK"))))))))</f>
        <v/>
      </c>
    </row>
    <row r="646">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f>IF(I646="","",IF(AND(I646="Fail",K646=""),"Classify Issue Source",IF(AND(I646="Fail",W646=""),"Set Confidence",IF(AND(K646="Unknown",W646&lt;&gt;"Low"),"Unknown must be Low confidence",IF(AND(OR(K646="Backend",K646="SAP"),N646=""),"Add HTTP status + endpoint",IF(AND(OR(K646="Backend",K646="SAP",K646="Network"),P646=""),"Add Correlation ID",IF(AND(I646="Fail",T646=""),"Write Root Cause / evidence gap",IF(AND(I646="Fail",V646=""),"Assign team","OK"))))))))</f>
        <v/>
      </c>
    </row>
    <row r="647">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f>IF(I647="","",IF(AND(I647="Fail",K647=""),"Classify Issue Source",IF(AND(I647="Fail",W647=""),"Set Confidence",IF(AND(K647="Unknown",W647&lt;&gt;"Low"),"Unknown must be Low confidence",IF(AND(OR(K647="Backend",K647="SAP"),N647=""),"Add HTTP status + endpoint",IF(AND(OR(K647="Backend",K647="SAP",K647="Network"),P647=""),"Add Correlation ID",IF(AND(I647="Fail",T647=""),"Write Root Cause / evidence gap",IF(AND(I647="Fail",V647=""),"Assign team","OK"))))))))</f>
        <v/>
      </c>
    </row>
    <row r="648">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f>IF(I648="","",IF(AND(I648="Fail",K648=""),"Classify Issue Source",IF(AND(I648="Fail",W648=""),"Set Confidence",IF(AND(K648="Unknown",W648&lt;&gt;"Low"),"Unknown must be Low confidence",IF(AND(OR(K648="Backend",K648="SAP"),N648=""),"Add HTTP status + endpoint",IF(AND(OR(K648="Backend",K648="SAP",K648="Network"),P648=""),"Add Correlation ID",IF(AND(I648="Fail",T648=""),"Write Root Cause / evidence gap",IF(AND(I648="Fail",V648=""),"Assign team","OK"))))))))</f>
        <v/>
      </c>
    </row>
    <row r="64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f>IF(I649="","",IF(AND(I649="Fail",K649=""),"Classify Issue Source",IF(AND(I649="Fail",W649=""),"Set Confidence",IF(AND(K649="Unknown",W649&lt;&gt;"Low"),"Unknown must be Low confidence",IF(AND(OR(K649="Backend",K649="SAP"),N649=""),"Add HTTP status + endpoint",IF(AND(OR(K649="Backend",K649="SAP",K649="Network"),P649=""),"Add Correlation ID",IF(AND(I649="Fail",T649=""),"Write Root Cause / evidence gap",IF(AND(I649="Fail",V649=""),"Assign team","OK"))))))))</f>
        <v/>
      </c>
    </row>
    <row r="650">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f>IF(I650="","",IF(AND(I650="Fail",K650=""),"Classify Issue Source",IF(AND(I650="Fail",W650=""),"Set Confidence",IF(AND(K650="Unknown",W650&lt;&gt;"Low"),"Unknown must be Low confidence",IF(AND(OR(K650="Backend",K650="SAP"),N650=""),"Add HTTP status + endpoint",IF(AND(OR(K650="Backend",K650="SAP",K650="Network"),P650=""),"Add Correlation ID",IF(AND(I650="Fail",T650=""),"Write Root Cause / evidence gap",IF(AND(I650="Fail",V650=""),"Assign team","OK"))))))))</f>
        <v/>
      </c>
    </row>
    <row r="651">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f>IF(I651="","",IF(AND(I651="Fail",K651=""),"Classify Issue Source",IF(AND(I651="Fail",W651=""),"Set Confidence",IF(AND(K651="Unknown",W651&lt;&gt;"Low"),"Unknown must be Low confidence",IF(AND(OR(K651="Backend",K651="SAP"),N651=""),"Add HTTP status + endpoint",IF(AND(OR(K651="Backend",K651="SAP",K651="Network"),P651=""),"Add Correlation ID",IF(AND(I651="Fail",T651=""),"Write Root Cause / evidence gap",IF(AND(I651="Fail",V651=""),"Assign team","OK"))))))))</f>
        <v/>
      </c>
    </row>
    <row r="652">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f>IF(I652="","",IF(AND(I652="Fail",K652=""),"Classify Issue Source",IF(AND(I652="Fail",W652=""),"Set Confidence",IF(AND(K652="Unknown",W652&lt;&gt;"Low"),"Unknown must be Low confidence",IF(AND(OR(K652="Backend",K652="SAP"),N652=""),"Add HTTP status + endpoint",IF(AND(OR(K652="Backend",K652="SAP",K652="Network"),P652=""),"Add Correlation ID",IF(AND(I652="Fail",T652=""),"Write Root Cause / evidence gap",IF(AND(I652="Fail",V652=""),"Assign team","OK"))))))))</f>
        <v/>
      </c>
    </row>
    <row r="653">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f>IF(I653="","",IF(AND(I653="Fail",K653=""),"Classify Issue Source",IF(AND(I653="Fail",W653=""),"Set Confidence",IF(AND(K653="Unknown",W653&lt;&gt;"Low"),"Unknown must be Low confidence",IF(AND(OR(K653="Backend",K653="SAP"),N653=""),"Add HTTP status + endpoint",IF(AND(OR(K653="Backend",K653="SAP",K653="Network"),P653=""),"Add Correlation ID",IF(AND(I653="Fail",T653=""),"Write Root Cause / evidence gap",IF(AND(I653="Fail",V653=""),"Assign team","OK"))))))))</f>
        <v/>
      </c>
    </row>
    <row r="654">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f>IF(I654="","",IF(AND(I654="Fail",K654=""),"Classify Issue Source",IF(AND(I654="Fail",W654=""),"Set Confidence",IF(AND(K654="Unknown",W654&lt;&gt;"Low"),"Unknown must be Low confidence",IF(AND(OR(K654="Backend",K654="SAP"),N654=""),"Add HTTP status + endpoint",IF(AND(OR(K654="Backend",K654="SAP",K654="Network"),P654=""),"Add Correlation ID",IF(AND(I654="Fail",T654=""),"Write Root Cause / evidence gap",IF(AND(I654="Fail",V654=""),"Assign team","OK"))))))))</f>
        <v/>
      </c>
    </row>
    <row r="655">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f>IF(I655="","",IF(AND(I655="Fail",K655=""),"Classify Issue Source",IF(AND(I655="Fail",W655=""),"Set Confidence",IF(AND(K655="Unknown",W655&lt;&gt;"Low"),"Unknown must be Low confidence",IF(AND(OR(K655="Backend",K655="SAP"),N655=""),"Add HTTP status + endpoint",IF(AND(OR(K655="Backend",K655="SAP",K655="Network"),P655=""),"Add Correlation ID",IF(AND(I655="Fail",T655=""),"Write Root Cause / evidence gap",IF(AND(I655="Fail",V655=""),"Assign team","OK"))))))))</f>
        <v/>
      </c>
    </row>
    <row r="656">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f>IF(I656="","",IF(AND(I656="Fail",K656=""),"Classify Issue Source",IF(AND(I656="Fail",W656=""),"Set Confidence",IF(AND(K656="Unknown",W656&lt;&gt;"Low"),"Unknown must be Low confidence",IF(AND(OR(K656="Backend",K656="SAP"),N656=""),"Add HTTP status + endpoint",IF(AND(OR(K656="Backend",K656="SAP",K656="Network"),P656=""),"Add Correlation ID",IF(AND(I656="Fail",T656=""),"Write Root Cause / evidence gap",IF(AND(I656="Fail",V656=""),"Assign team","OK"))))))))</f>
        <v/>
      </c>
    </row>
    <row r="657">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f>IF(I657="","",IF(AND(I657="Fail",K657=""),"Classify Issue Source",IF(AND(I657="Fail",W657=""),"Set Confidence",IF(AND(K657="Unknown",W657&lt;&gt;"Low"),"Unknown must be Low confidence",IF(AND(OR(K657="Backend",K657="SAP"),N657=""),"Add HTTP status + endpoint",IF(AND(OR(K657="Backend",K657="SAP",K657="Network"),P657=""),"Add Correlation ID",IF(AND(I657="Fail",T657=""),"Write Root Cause / evidence gap",IF(AND(I657="Fail",V657=""),"Assign team","OK"))))))))</f>
        <v/>
      </c>
    </row>
    <row r="658">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f>IF(I658="","",IF(AND(I658="Fail",K658=""),"Classify Issue Source",IF(AND(I658="Fail",W658=""),"Set Confidence",IF(AND(K658="Unknown",W658&lt;&gt;"Low"),"Unknown must be Low confidence",IF(AND(OR(K658="Backend",K658="SAP"),N658=""),"Add HTTP status + endpoint",IF(AND(OR(K658="Backend",K658="SAP",K658="Network"),P658=""),"Add Correlation ID",IF(AND(I658="Fail",T658=""),"Write Root Cause / evidence gap",IF(AND(I658="Fail",V658=""),"Assign team","OK"))))))))</f>
        <v/>
      </c>
    </row>
    <row r="65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f>IF(I659="","",IF(AND(I659="Fail",K659=""),"Classify Issue Source",IF(AND(I659="Fail",W659=""),"Set Confidence",IF(AND(K659="Unknown",W659&lt;&gt;"Low"),"Unknown must be Low confidence",IF(AND(OR(K659="Backend",K659="SAP"),N659=""),"Add HTTP status + endpoint",IF(AND(OR(K659="Backend",K659="SAP",K659="Network"),P659=""),"Add Correlation ID",IF(AND(I659="Fail",T659=""),"Write Root Cause / evidence gap",IF(AND(I659="Fail",V659=""),"Assign team","OK"))))))))</f>
        <v/>
      </c>
    </row>
    <row r="660">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f>IF(I660="","",IF(AND(I660="Fail",K660=""),"Classify Issue Source",IF(AND(I660="Fail",W660=""),"Set Confidence",IF(AND(K660="Unknown",W660&lt;&gt;"Low"),"Unknown must be Low confidence",IF(AND(OR(K660="Backend",K660="SAP"),N660=""),"Add HTTP status + endpoint",IF(AND(OR(K660="Backend",K660="SAP",K660="Network"),P660=""),"Add Correlation ID",IF(AND(I660="Fail",T660=""),"Write Root Cause / evidence gap",IF(AND(I660="Fail",V660=""),"Assign team","OK"))))))))</f>
        <v/>
      </c>
    </row>
    <row r="661">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f>IF(I661="","",IF(AND(I661="Fail",K661=""),"Classify Issue Source",IF(AND(I661="Fail",W661=""),"Set Confidence",IF(AND(K661="Unknown",W661&lt;&gt;"Low"),"Unknown must be Low confidence",IF(AND(OR(K661="Backend",K661="SAP"),N661=""),"Add HTTP status + endpoint",IF(AND(OR(K661="Backend",K661="SAP",K661="Network"),P661=""),"Add Correlation ID",IF(AND(I661="Fail",T661=""),"Write Root Cause / evidence gap",IF(AND(I661="Fail",V661=""),"Assign team","OK"))))))))</f>
        <v/>
      </c>
    </row>
    <row r="662">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f>IF(I662="","",IF(AND(I662="Fail",K662=""),"Classify Issue Source",IF(AND(I662="Fail",W662=""),"Set Confidence",IF(AND(K662="Unknown",W662&lt;&gt;"Low"),"Unknown must be Low confidence",IF(AND(OR(K662="Backend",K662="SAP"),N662=""),"Add HTTP status + endpoint",IF(AND(OR(K662="Backend",K662="SAP",K662="Network"),P662=""),"Add Correlation ID",IF(AND(I662="Fail",T662=""),"Write Root Cause / evidence gap",IF(AND(I662="Fail",V662=""),"Assign team","OK"))))))))</f>
        <v/>
      </c>
    </row>
    <row r="663">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f>IF(I663="","",IF(AND(I663="Fail",K663=""),"Classify Issue Source",IF(AND(I663="Fail",W663=""),"Set Confidence",IF(AND(K663="Unknown",W663&lt;&gt;"Low"),"Unknown must be Low confidence",IF(AND(OR(K663="Backend",K663="SAP"),N663=""),"Add HTTP status + endpoint",IF(AND(OR(K663="Backend",K663="SAP",K663="Network"),P663=""),"Add Correlation ID",IF(AND(I663="Fail",T663=""),"Write Root Cause / evidence gap",IF(AND(I663="Fail",V663=""),"Assign team","OK"))))))))</f>
        <v/>
      </c>
    </row>
    <row r="664">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f>IF(I664="","",IF(AND(I664="Fail",K664=""),"Classify Issue Source",IF(AND(I664="Fail",W664=""),"Set Confidence",IF(AND(K664="Unknown",W664&lt;&gt;"Low"),"Unknown must be Low confidence",IF(AND(OR(K664="Backend",K664="SAP"),N664=""),"Add HTTP status + endpoint",IF(AND(OR(K664="Backend",K664="SAP",K664="Network"),P664=""),"Add Correlation ID",IF(AND(I664="Fail",T664=""),"Write Root Cause / evidence gap",IF(AND(I664="Fail",V664=""),"Assign team","OK"))))))))</f>
        <v/>
      </c>
    </row>
    <row r="665">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f>IF(I665="","",IF(AND(I665="Fail",K665=""),"Classify Issue Source",IF(AND(I665="Fail",W665=""),"Set Confidence",IF(AND(K665="Unknown",W665&lt;&gt;"Low"),"Unknown must be Low confidence",IF(AND(OR(K665="Backend",K665="SAP"),N665=""),"Add HTTP status + endpoint",IF(AND(OR(K665="Backend",K665="SAP",K665="Network"),P665=""),"Add Correlation ID",IF(AND(I665="Fail",T665=""),"Write Root Cause / evidence gap",IF(AND(I665="Fail",V665=""),"Assign team","OK"))))))))</f>
        <v/>
      </c>
    </row>
    <row r="666">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f>IF(I666="","",IF(AND(I666="Fail",K666=""),"Classify Issue Source",IF(AND(I666="Fail",W666=""),"Set Confidence",IF(AND(K666="Unknown",W666&lt;&gt;"Low"),"Unknown must be Low confidence",IF(AND(OR(K666="Backend",K666="SAP"),N666=""),"Add HTTP status + endpoint",IF(AND(OR(K666="Backend",K666="SAP",K666="Network"),P666=""),"Add Correlation ID",IF(AND(I666="Fail",T666=""),"Write Root Cause / evidence gap",IF(AND(I666="Fail",V666=""),"Assign team","OK"))))))))</f>
        <v/>
      </c>
    </row>
    <row r="667">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f>IF(I667="","",IF(AND(I667="Fail",K667=""),"Classify Issue Source",IF(AND(I667="Fail",W667=""),"Set Confidence",IF(AND(K667="Unknown",W667&lt;&gt;"Low"),"Unknown must be Low confidence",IF(AND(OR(K667="Backend",K667="SAP"),N667=""),"Add HTTP status + endpoint",IF(AND(OR(K667="Backend",K667="SAP",K667="Network"),P667=""),"Add Correlation ID",IF(AND(I667="Fail",T667=""),"Write Root Cause / evidence gap",IF(AND(I667="Fail",V667=""),"Assign team","OK"))))))))</f>
        <v/>
      </c>
    </row>
    <row r="668">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f>IF(I668="","",IF(AND(I668="Fail",K668=""),"Classify Issue Source",IF(AND(I668="Fail",W668=""),"Set Confidence",IF(AND(K668="Unknown",W668&lt;&gt;"Low"),"Unknown must be Low confidence",IF(AND(OR(K668="Backend",K668="SAP"),N668=""),"Add HTTP status + endpoint",IF(AND(OR(K668="Backend",K668="SAP",K668="Network"),P668=""),"Add Correlation ID",IF(AND(I668="Fail",T668=""),"Write Root Cause / evidence gap",IF(AND(I668="Fail",V668=""),"Assign team","OK"))))))))</f>
        <v/>
      </c>
    </row>
    <row r="66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f>IF(I669="","",IF(AND(I669="Fail",K669=""),"Classify Issue Source",IF(AND(I669="Fail",W669=""),"Set Confidence",IF(AND(K669="Unknown",W669&lt;&gt;"Low"),"Unknown must be Low confidence",IF(AND(OR(K669="Backend",K669="SAP"),N669=""),"Add HTTP status + endpoint",IF(AND(OR(K669="Backend",K669="SAP",K669="Network"),P669=""),"Add Correlation ID",IF(AND(I669="Fail",T669=""),"Write Root Cause / evidence gap",IF(AND(I669="Fail",V669=""),"Assign team","OK"))))))))</f>
        <v/>
      </c>
    </row>
    <row r="670">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f>IF(I670="","",IF(AND(I670="Fail",K670=""),"Classify Issue Source",IF(AND(I670="Fail",W670=""),"Set Confidence",IF(AND(K670="Unknown",W670&lt;&gt;"Low"),"Unknown must be Low confidence",IF(AND(OR(K670="Backend",K670="SAP"),N670=""),"Add HTTP status + endpoint",IF(AND(OR(K670="Backend",K670="SAP",K670="Network"),P670=""),"Add Correlation ID",IF(AND(I670="Fail",T670=""),"Write Root Cause / evidence gap",IF(AND(I670="Fail",V670=""),"Assign team","OK"))))))))</f>
        <v/>
      </c>
    </row>
    <row r="671">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f>IF(I671="","",IF(AND(I671="Fail",K671=""),"Classify Issue Source",IF(AND(I671="Fail",W671=""),"Set Confidence",IF(AND(K671="Unknown",W671&lt;&gt;"Low"),"Unknown must be Low confidence",IF(AND(OR(K671="Backend",K671="SAP"),N671=""),"Add HTTP status + endpoint",IF(AND(OR(K671="Backend",K671="SAP",K671="Network"),P671=""),"Add Correlation ID",IF(AND(I671="Fail",T671=""),"Write Root Cause / evidence gap",IF(AND(I671="Fail",V671=""),"Assign team","OK"))))))))</f>
        <v/>
      </c>
    </row>
    <row r="672">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f>IF(I672="","",IF(AND(I672="Fail",K672=""),"Classify Issue Source",IF(AND(I672="Fail",W672=""),"Set Confidence",IF(AND(K672="Unknown",W672&lt;&gt;"Low"),"Unknown must be Low confidence",IF(AND(OR(K672="Backend",K672="SAP"),N672=""),"Add HTTP status + endpoint",IF(AND(OR(K672="Backend",K672="SAP",K672="Network"),P672=""),"Add Correlation ID",IF(AND(I672="Fail",T672=""),"Write Root Cause / evidence gap",IF(AND(I672="Fail",V672=""),"Assign team","OK"))))))))</f>
        <v/>
      </c>
    </row>
    <row r="673">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f>IF(I673="","",IF(AND(I673="Fail",K673=""),"Classify Issue Source",IF(AND(I673="Fail",W673=""),"Set Confidence",IF(AND(K673="Unknown",W673&lt;&gt;"Low"),"Unknown must be Low confidence",IF(AND(OR(K673="Backend",K673="SAP"),N673=""),"Add HTTP status + endpoint",IF(AND(OR(K673="Backend",K673="SAP",K673="Network"),P673=""),"Add Correlation ID",IF(AND(I673="Fail",T673=""),"Write Root Cause / evidence gap",IF(AND(I673="Fail",V673=""),"Assign team","OK"))))))))</f>
        <v/>
      </c>
    </row>
    <row r="674">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f>IF(I674="","",IF(AND(I674="Fail",K674=""),"Classify Issue Source",IF(AND(I674="Fail",W674=""),"Set Confidence",IF(AND(K674="Unknown",W674&lt;&gt;"Low"),"Unknown must be Low confidence",IF(AND(OR(K674="Backend",K674="SAP"),N674=""),"Add HTTP status + endpoint",IF(AND(OR(K674="Backend",K674="SAP",K674="Network"),P674=""),"Add Correlation ID",IF(AND(I674="Fail",T674=""),"Write Root Cause / evidence gap",IF(AND(I674="Fail",V674=""),"Assign team","OK"))))))))</f>
        <v/>
      </c>
    </row>
    <row r="675">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f>IF(I675="","",IF(AND(I675="Fail",K675=""),"Classify Issue Source",IF(AND(I675="Fail",W675=""),"Set Confidence",IF(AND(K675="Unknown",W675&lt;&gt;"Low"),"Unknown must be Low confidence",IF(AND(OR(K675="Backend",K675="SAP"),N675=""),"Add HTTP status + endpoint",IF(AND(OR(K675="Backend",K675="SAP",K675="Network"),P675=""),"Add Correlation ID",IF(AND(I675="Fail",T675=""),"Write Root Cause / evidence gap",IF(AND(I675="Fail",V675=""),"Assign team","OK"))))))))</f>
        <v/>
      </c>
    </row>
    <row r="676">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f>IF(I676="","",IF(AND(I676="Fail",K676=""),"Classify Issue Source",IF(AND(I676="Fail",W676=""),"Set Confidence",IF(AND(K676="Unknown",W676&lt;&gt;"Low"),"Unknown must be Low confidence",IF(AND(OR(K676="Backend",K676="SAP"),N676=""),"Add HTTP status + endpoint",IF(AND(OR(K676="Backend",K676="SAP",K676="Network"),P676=""),"Add Correlation ID",IF(AND(I676="Fail",T676=""),"Write Root Cause / evidence gap",IF(AND(I676="Fail",V676=""),"Assign team","OK"))))))))</f>
        <v/>
      </c>
    </row>
    <row r="677">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f>IF(I677="","",IF(AND(I677="Fail",K677=""),"Classify Issue Source",IF(AND(I677="Fail",W677=""),"Set Confidence",IF(AND(K677="Unknown",W677&lt;&gt;"Low"),"Unknown must be Low confidence",IF(AND(OR(K677="Backend",K677="SAP"),N677=""),"Add HTTP status + endpoint",IF(AND(OR(K677="Backend",K677="SAP",K677="Network"),P677=""),"Add Correlation ID",IF(AND(I677="Fail",T677=""),"Write Root Cause / evidence gap",IF(AND(I677="Fail",V677=""),"Assign team","OK"))))))))</f>
        <v/>
      </c>
    </row>
    <row r="678">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f>IF(I678="","",IF(AND(I678="Fail",K678=""),"Classify Issue Source",IF(AND(I678="Fail",W678=""),"Set Confidence",IF(AND(K678="Unknown",W678&lt;&gt;"Low"),"Unknown must be Low confidence",IF(AND(OR(K678="Backend",K678="SAP"),N678=""),"Add HTTP status + endpoint",IF(AND(OR(K678="Backend",K678="SAP",K678="Network"),P678=""),"Add Correlation ID",IF(AND(I678="Fail",T678=""),"Write Root Cause / evidence gap",IF(AND(I678="Fail",V678=""),"Assign team","OK"))))))))</f>
        <v/>
      </c>
    </row>
    <row r="6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f>IF(I679="","",IF(AND(I679="Fail",K679=""),"Classify Issue Source",IF(AND(I679="Fail",W679=""),"Set Confidence",IF(AND(K679="Unknown",W679&lt;&gt;"Low"),"Unknown must be Low confidence",IF(AND(OR(K679="Backend",K679="SAP"),N679=""),"Add HTTP status + endpoint",IF(AND(OR(K679="Backend",K679="SAP",K679="Network"),P679=""),"Add Correlation ID",IF(AND(I679="Fail",T679=""),"Write Root Cause / evidence gap",IF(AND(I679="Fail",V679=""),"Assign team","OK"))))))))</f>
        <v/>
      </c>
    </row>
    <row r="680">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f>IF(I680="","",IF(AND(I680="Fail",K680=""),"Classify Issue Source",IF(AND(I680="Fail",W680=""),"Set Confidence",IF(AND(K680="Unknown",W680&lt;&gt;"Low"),"Unknown must be Low confidence",IF(AND(OR(K680="Backend",K680="SAP"),N680=""),"Add HTTP status + endpoint",IF(AND(OR(K680="Backend",K680="SAP",K680="Network"),P680=""),"Add Correlation ID",IF(AND(I680="Fail",T680=""),"Write Root Cause / evidence gap",IF(AND(I680="Fail",V680=""),"Assign team","OK"))))))))</f>
        <v/>
      </c>
    </row>
    <row r="681">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f>IF(I681="","",IF(AND(I681="Fail",K681=""),"Classify Issue Source",IF(AND(I681="Fail",W681=""),"Set Confidence",IF(AND(K681="Unknown",W681&lt;&gt;"Low"),"Unknown must be Low confidence",IF(AND(OR(K681="Backend",K681="SAP"),N681=""),"Add HTTP status + endpoint",IF(AND(OR(K681="Backend",K681="SAP",K681="Network"),P681=""),"Add Correlation ID",IF(AND(I681="Fail",T681=""),"Write Root Cause / evidence gap",IF(AND(I681="Fail",V681=""),"Assign team","OK"))))))))</f>
        <v/>
      </c>
    </row>
    <row r="682">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f>IF(I682="","",IF(AND(I682="Fail",K682=""),"Classify Issue Source",IF(AND(I682="Fail",W682=""),"Set Confidence",IF(AND(K682="Unknown",W682&lt;&gt;"Low"),"Unknown must be Low confidence",IF(AND(OR(K682="Backend",K682="SAP"),N682=""),"Add HTTP status + endpoint",IF(AND(OR(K682="Backend",K682="SAP",K682="Network"),P682=""),"Add Correlation ID",IF(AND(I682="Fail",T682=""),"Write Root Cause / evidence gap",IF(AND(I682="Fail",V682=""),"Assign team","OK"))))))))</f>
        <v/>
      </c>
    </row>
    <row r="683">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f>IF(I683="","",IF(AND(I683="Fail",K683=""),"Classify Issue Source",IF(AND(I683="Fail",W683=""),"Set Confidence",IF(AND(K683="Unknown",W683&lt;&gt;"Low"),"Unknown must be Low confidence",IF(AND(OR(K683="Backend",K683="SAP"),N683=""),"Add HTTP status + endpoint",IF(AND(OR(K683="Backend",K683="SAP",K683="Network"),P683=""),"Add Correlation ID",IF(AND(I683="Fail",T683=""),"Write Root Cause / evidence gap",IF(AND(I683="Fail",V683=""),"Assign team","OK"))))))))</f>
        <v/>
      </c>
    </row>
    <row r="684">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f>IF(I684="","",IF(AND(I684="Fail",K684=""),"Classify Issue Source",IF(AND(I684="Fail",W684=""),"Set Confidence",IF(AND(K684="Unknown",W684&lt;&gt;"Low"),"Unknown must be Low confidence",IF(AND(OR(K684="Backend",K684="SAP"),N684=""),"Add HTTP status + endpoint",IF(AND(OR(K684="Backend",K684="SAP",K684="Network"),P684=""),"Add Correlation ID",IF(AND(I684="Fail",T684=""),"Write Root Cause / evidence gap",IF(AND(I684="Fail",V684=""),"Assign team","OK"))))))))</f>
        <v/>
      </c>
    </row>
    <row r="685">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f>IF(I685="","",IF(AND(I685="Fail",K685=""),"Classify Issue Source",IF(AND(I685="Fail",W685=""),"Set Confidence",IF(AND(K685="Unknown",W685&lt;&gt;"Low"),"Unknown must be Low confidence",IF(AND(OR(K685="Backend",K685="SAP"),N685=""),"Add HTTP status + endpoint",IF(AND(OR(K685="Backend",K685="SAP",K685="Network"),P685=""),"Add Correlation ID",IF(AND(I685="Fail",T685=""),"Write Root Cause / evidence gap",IF(AND(I685="Fail",V685=""),"Assign team","OK"))))))))</f>
        <v/>
      </c>
    </row>
    <row r="686">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f>IF(I686="","",IF(AND(I686="Fail",K686=""),"Classify Issue Source",IF(AND(I686="Fail",W686=""),"Set Confidence",IF(AND(K686="Unknown",W686&lt;&gt;"Low"),"Unknown must be Low confidence",IF(AND(OR(K686="Backend",K686="SAP"),N686=""),"Add HTTP status + endpoint",IF(AND(OR(K686="Backend",K686="SAP",K686="Network"),P686=""),"Add Correlation ID",IF(AND(I686="Fail",T686=""),"Write Root Cause / evidence gap",IF(AND(I686="Fail",V686=""),"Assign team","OK"))))))))</f>
        <v/>
      </c>
    </row>
    <row r="687">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f>IF(I687="","",IF(AND(I687="Fail",K687=""),"Classify Issue Source",IF(AND(I687="Fail",W687=""),"Set Confidence",IF(AND(K687="Unknown",W687&lt;&gt;"Low"),"Unknown must be Low confidence",IF(AND(OR(K687="Backend",K687="SAP"),N687=""),"Add HTTP status + endpoint",IF(AND(OR(K687="Backend",K687="SAP",K687="Network"),P687=""),"Add Correlation ID",IF(AND(I687="Fail",T687=""),"Write Root Cause / evidence gap",IF(AND(I687="Fail",V687=""),"Assign team","OK"))))))))</f>
        <v/>
      </c>
    </row>
    <row r="688">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f>IF(I688="","",IF(AND(I688="Fail",K688=""),"Classify Issue Source",IF(AND(I688="Fail",W688=""),"Set Confidence",IF(AND(K688="Unknown",W688&lt;&gt;"Low"),"Unknown must be Low confidence",IF(AND(OR(K688="Backend",K688="SAP"),N688=""),"Add HTTP status + endpoint",IF(AND(OR(K688="Backend",K688="SAP",K688="Network"),P688=""),"Add Correlation ID",IF(AND(I688="Fail",T688=""),"Write Root Cause / evidence gap",IF(AND(I688="Fail",V688=""),"Assign team","OK"))))))))</f>
        <v/>
      </c>
    </row>
    <row r="68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f>IF(I689="","",IF(AND(I689="Fail",K689=""),"Classify Issue Source",IF(AND(I689="Fail",W689=""),"Set Confidence",IF(AND(K689="Unknown",W689&lt;&gt;"Low"),"Unknown must be Low confidence",IF(AND(OR(K689="Backend",K689="SAP"),N689=""),"Add HTTP status + endpoint",IF(AND(OR(K689="Backend",K689="SAP",K689="Network"),P689=""),"Add Correlation ID",IF(AND(I689="Fail",T689=""),"Write Root Cause / evidence gap",IF(AND(I689="Fail",V689=""),"Assign team","OK"))))))))</f>
        <v/>
      </c>
    </row>
    <row r="690">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f>IF(I690="","",IF(AND(I690="Fail",K690=""),"Classify Issue Source",IF(AND(I690="Fail",W690=""),"Set Confidence",IF(AND(K690="Unknown",W690&lt;&gt;"Low"),"Unknown must be Low confidence",IF(AND(OR(K690="Backend",K690="SAP"),N690=""),"Add HTTP status + endpoint",IF(AND(OR(K690="Backend",K690="SAP",K690="Network"),P690=""),"Add Correlation ID",IF(AND(I690="Fail",T690=""),"Write Root Cause / evidence gap",IF(AND(I690="Fail",V690=""),"Assign team","OK"))))))))</f>
        <v/>
      </c>
    </row>
    <row r="691">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f>IF(I691="","",IF(AND(I691="Fail",K691=""),"Classify Issue Source",IF(AND(I691="Fail",W691=""),"Set Confidence",IF(AND(K691="Unknown",W691&lt;&gt;"Low"),"Unknown must be Low confidence",IF(AND(OR(K691="Backend",K691="SAP"),N691=""),"Add HTTP status + endpoint",IF(AND(OR(K691="Backend",K691="SAP",K691="Network"),P691=""),"Add Correlation ID",IF(AND(I691="Fail",T691=""),"Write Root Cause / evidence gap",IF(AND(I691="Fail",V691=""),"Assign team","OK"))))))))</f>
        <v/>
      </c>
    </row>
    <row r="692">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f>IF(I692="","",IF(AND(I692="Fail",K692=""),"Classify Issue Source",IF(AND(I692="Fail",W692=""),"Set Confidence",IF(AND(K692="Unknown",W692&lt;&gt;"Low"),"Unknown must be Low confidence",IF(AND(OR(K692="Backend",K692="SAP"),N692=""),"Add HTTP status + endpoint",IF(AND(OR(K692="Backend",K692="SAP",K692="Network"),P692=""),"Add Correlation ID",IF(AND(I692="Fail",T692=""),"Write Root Cause / evidence gap",IF(AND(I692="Fail",V692=""),"Assign team","OK"))))))))</f>
        <v/>
      </c>
    </row>
    <row r="693">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f>IF(I693="","",IF(AND(I693="Fail",K693=""),"Classify Issue Source",IF(AND(I693="Fail",W693=""),"Set Confidence",IF(AND(K693="Unknown",W693&lt;&gt;"Low"),"Unknown must be Low confidence",IF(AND(OR(K693="Backend",K693="SAP"),N693=""),"Add HTTP status + endpoint",IF(AND(OR(K693="Backend",K693="SAP",K693="Network"),P693=""),"Add Correlation ID",IF(AND(I693="Fail",T693=""),"Write Root Cause / evidence gap",IF(AND(I693="Fail",V693=""),"Assign team","OK"))))))))</f>
        <v/>
      </c>
    </row>
    <row r="694">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f>IF(I694="","",IF(AND(I694="Fail",K694=""),"Classify Issue Source",IF(AND(I694="Fail",W694=""),"Set Confidence",IF(AND(K694="Unknown",W694&lt;&gt;"Low"),"Unknown must be Low confidence",IF(AND(OR(K694="Backend",K694="SAP"),N694=""),"Add HTTP status + endpoint",IF(AND(OR(K694="Backend",K694="SAP",K694="Network"),P694=""),"Add Correlation ID",IF(AND(I694="Fail",T694=""),"Write Root Cause / evidence gap",IF(AND(I694="Fail",V694=""),"Assign team","OK"))))))))</f>
        <v/>
      </c>
    </row>
    <row r="695">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f>IF(I695="","",IF(AND(I695="Fail",K695=""),"Classify Issue Source",IF(AND(I695="Fail",W695=""),"Set Confidence",IF(AND(K695="Unknown",W695&lt;&gt;"Low"),"Unknown must be Low confidence",IF(AND(OR(K695="Backend",K695="SAP"),N695=""),"Add HTTP status + endpoint",IF(AND(OR(K695="Backend",K695="SAP",K695="Network"),P695=""),"Add Correlation ID",IF(AND(I695="Fail",T695=""),"Write Root Cause / evidence gap",IF(AND(I695="Fail",V695=""),"Assign team","OK"))))))))</f>
        <v/>
      </c>
    </row>
    <row r="696">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f>IF(I696="","",IF(AND(I696="Fail",K696=""),"Classify Issue Source",IF(AND(I696="Fail",W696=""),"Set Confidence",IF(AND(K696="Unknown",W696&lt;&gt;"Low"),"Unknown must be Low confidence",IF(AND(OR(K696="Backend",K696="SAP"),N696=""),"Add HTTP status + endpoint",IF(AND(OR(K696="Backend",K696="SAP",K696="Network"),P696=""),"Add Correlation ID",IF(AND(I696="Fail",T696=""),"Write Root Cause / evidence gap",IF(AND(I696="Fail",V696=""),"Assign team","OK"))))))))</f>
        <v/>
      </c>
    </row>
    <row r="697">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f>IF(I697="","",IF(AND(I697="Fail",K697=""),"Classify Issue Source",IF(AND(I697="Fail",W697=""),"Set Confidence",IF(AND(K697="Unknown",W697&lt;&gt;"Low"),"Unknown must be Low confidence",IF(AND(OR(K697="Backend",K697="SAP"),N697=""),"Add HTTP status + endpoint",IF(AND(OR(K697="Backend",K697="SAP",K697="Network"),P697=""),"Add Correlation ID",IF(AND(I697="Fail",T697=""),"Write Root Cause / evidence gap",IF(AND(I697="Fail",V697=""),"Assign team","OK"))))))))</f>
        <v/>
      </c>
    </row>
    <row r="698">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f>IF(I698="","",IF(AND(I698="Fail",K698=""),"Classify Issue Source",IF(AND(I698="Fail",W698=""),"Set Confidence",IF(AND(K698="Unknown",W698&lt;&gt;"Low"),"Unknown must be Low confidence",IF(AND(OR(K698="Backend",K698="SAP"),N698=""),"Add HTTP status + endpoint",IF(AND(OR(K698="Backend",K698="SAP",K698="Network"),P698=""),"Add Correlation ID",IF(AND(I698="Fail",T698=""),"Write Root Cause / evidence gap",IF(AND(I698="Fail",V698=""),"Assign team","OK"))))))))</f>
        <v/>
      </c>
    </row>
    <row r="69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f>IF(I699="","",IF(AND(I699="Fail",K699=""),"Classify Issue Source",IF(AND(I699="Fail",W699=""),"Set Confidence",IF(AND(K699="Unknown",W699&lt;&gt;"Low"),"Unknown must be Low confidence",IF(AND(OR(K699="Backend",K699="SAP"),N699=""),"Add HTTP status + endpoint",IF(AND(OR(K699="Backend",K699="SAP",K699="Network"),P699=""),"Add Correlation ID",IF(AND(I699="Fail",T699=""),"Write Root Cause / evidence gap",IF(AND(I699="Fail",V699=""),"Assign team","OK"))))))))</f>
        <v/>
      </c>
    </row>
    <row r="700">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f>IF(I700="","",IF(AND(I700="Fail",K700=""),"Classify Issue Source",IF(AND(I700="Fail",W700=""),"Set Confidence",IF(AND(K700="Unknown",W700&lt;&gt;"Low"),"Unknown must be Low confidence",IF(AND(OR(K700="Backend",K700="SAP"),N700=""),"Add HTTP status + endpoint",IF(AND(OR(K700="Backend",K700="SAP",K700="Network"),P700=""),"Add Correlation ID",IF(AND(I700="Fail",T700=""),"Write Root Cause / evidence gap",IF(AND(I700="Fail",V700=""),"Assign team","OK"))))))))</f>
        <v/>
      </c>
    </row>
    <row r="701">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f>IF(I701="","",IF(AND(I701="Fail",K701=""),"Classify Issue Source",IF(AND(I701="Fail",W701=""),"Set Confidence",IF(AND(K701="Unknown",W701&lt;&gt;"Low"),"Unknown must be Low confidence",IF(AND(OR(K701="Backend",K701="SAP"),N701=""),"Add HTTP status + endpoint",IF(AND(OR(K701="Backend",K701="SAP",K701="Network"),P701=""),"Add Correlation ID",IF(AND(I701="Fail",T701=""),"Write Root Cause / evidence gap",IF(AND(I701="Fail",V701=""),"Assign team","OK"))))))))</f>
        <v/>
      </c>
    </row>
    <row r="702">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f>IF(I702="","",IF(AND(I702="Fail",K702=""),"Classify Issue Source",IF(AND(I702="Fail",W702=""),"Set Confidence",IF(AND(K702="Unknown",W702&lt;&gt;"Low"),"Unknown must be Low confidence",IF(AND(OR(K702="Backend",K702="SAP"),N702=""),"Add HTTP status + endpoint",IF(AND(OR(K702="Backend",K702="SAP",K702="Network"),P702=""),"Add Correlation ID",IF(AND(I702="Fail",T702=""),"Write Root Cause / evidence gap",IF(AND(I702="Fail",V702=""),"Assign team","OK"))))))))</f>
        <v/>
      </c>
    </row>
    <row r="703">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f>IF(I703="","",IF(AND(I703="Fail",K703=""),"Classify Issue Source",IF(AND(I703="Fail",W703=""),"Set Confidence",IF(AND(K703="Unknown",W703&lt;&gt;"Low"),"Unknown must be Low confidence",IF(AND(OR(K703="Backend",K703="SAP"),N703=""),"Add HTTP status + endpoint",IF(AND(OR(K703="Backend",K703="SAP",K703="Network"),P703=""),"Add Correlation ID",IF(AND(I703="Fail",T703=""),"Write Root Cause / evidence gap",IF(AND(I703="Fail",V703=""),"Assign team","OK"))))))))</f>
        <v/>
      </c>
    </row>
    <row r="704">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f>IF(I704="","",IF(AND(I704="Fail",K704=""),"Classify Issue Source",IF(AND(I704="Fail",W704=""),"Set Confidence",IF(AND(K704="Unknown",W704&lt;&gt;"Low"),"Unknown must be Low confidence",IF(AND(OR(K704="Backend",K704="SAP"),N704=""),"Add HTTP status + endpoint",IF(AND(OR(K704="Backend",K704="SAP",K704="Network"),P704=""),"Add Correlation ID",IF(AND(I704="Fail",T704=""),"Write Root Cause / evidence gap",IF(AND(I704="Fail",V704=""),"Assign team","OK"))))))))</f>
        <v/>
      </c>
    </row>
    <row r="705">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f>IF(I705="","",IF(AND(I705="Fail",K705=""),"Classify Issue Source",IF(AND(I705="Fail",W705=""),"Set Confidence",IF(AND(K705="Unknown",W705&lt;&gt;"Low"),"Unknown must be Low confidence",IF(AND(OR(K705="Backend",K705="SAP"),N705=""),"Add HTTP status + endpoint",IF(AND(OR(K705="Backend",K705="SAP",K705="Network"),P705=""),"Add Correlation ID",IF(AND(I705="Fail",T705=""),"Write Root Cause / evidence gap",IF(AND(I705="Fail",V705=""),"Assign team","OK"))))))))</f>
        <v/>
      </c>
    </row>
    <row r="706">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f>IF(I706="","",IF(AND(I706="Fail",K706=""),"Classify Issue Source",IF(AND(I706="Fail",W706=""),"Set Confidence",IF(AND(K706="Unknown",W706&lt;&gt;"Low"),"Unknown must be Low confidence",IF(AND(OR(K706="Backend",K706="SAP"),N706=""),"Add HTTP status + endpoint",IF(AND(OR(K706="Backend",K706="SAP",K706="Network"),P706=""),"Add Correlation ID",IF(AND(I706="Fail",T706=""),"Write Root Cause / evidence gap",IF(AND(I706="Fail",V706=""),"Assign team","OK"))))))))</f>
        <v/>
      </c>
    </row>
    <row r="707">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f>IF(I707="","",IF(AND(I707="Fail",K707=""),"Classify Issue Source",IF(AND(I707="Fail",W707=""),"Set Confidence",IF(AND(K707="Unknown",W707&lt;&gt;"Low"),"Unknown must be Low confidence",IF(AND(OR(K707="Backend",K707="SAP"),N707=""),"Add HTTP status + endpoint",IF(AND(OR(K707="Backend",K707="SAP",K707="Network"),P707=""),"Add Correlation ID",IF(AND(I707="Fail",T707=""),"Write Root Cause / evidence gap",IF(AND(I707="Fail",V707=""),"Assign team","OK"))))))))</f>
        <v/>
      </c>
    </row>
    <row r="708">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f>IF(I708="","",IF(AND(I708="Fail",K708=""),"Classify Issue Source",IF(AND(I708="Fail",W708=""),"Set Confidence",IF(AND(K708="Unknown",W708&lt;&gt;"Low"),"Unknown must be Low confidence",IF(AND(OR(K708="Backend",K708="SAP"),N708=""),"Add HTTP status + endpoint",IF(AND(OR(K708="Backend",K708="SAP",K708="Network"),P708=""),"Add Correlation ID",IF(AND(I708="Fail",T708=""),"Write Root Cause / evidence gap",IF(AND(I708="Fail",V708=""),"Assign team","OK"))))))))</f>
        <v/>
      </c>
    </row>
    <row r="70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f>IF(I709="","",IF(AND(I709="Fail",K709=""),"Classify Issue Source",IF(AND(I709="Fail",W709=""),"Set Confidence",IF(AND(K709="Unknown",W709&lt;&gt;"Low"),"Unknown must be Low confidence",IF(AND(OR(K709="Backend",K709="SAP"),N709=""),"Add HTTP status + endpoint",IF(AND(OR(K709="Backend",K709="SAP",K709="Network"),P709=""),"Add Correlation ID",IF(AND(I709="Fail",T709=""),"Write Root Cause / evidence gap",IF(AND(I709="Fail",V709=""),"Assign team","OK"))))))))</f>
        <v/>
      </c>
    </row>
    <row r="710">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f>IF(I710="","",IF(AND(I710="Fail",K710=""),"Classify Issue Source",IF(AND(I710="Fail",W710=""),"Set Confidence",IF(AND(K710="Unknown",W710&lt;&gt;"Low"),"Unknown must be Low confidence",IF(AND(OR(K710="Backend",K710="SAP"),N710=""),"Add HTTP status + endpoint",IF(AND(OR(K710="Backend",K710="SAP",K710="Network"),P710=""),"Add Correlation ID",IF(AND(I710="Fail",T710=""),"Write Root Cause / evidence gap",IF(AND(I710="Fail",V710=""),"Assign team","OK"))))))))</f>
        <v/>
      </c>
    </row>
    <row r="711">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f>IF(I711="","",IF(AND(I711="Fail",K711=""),"Classify Issue Source",IF(AND(I711="Fail",W711=""),"Set Confidence",IF(AND(K711="Unknown",W711&lt;&gt;"Low"),"Unknown must be Low confidence",IF(AND(OR(K711="Backend",K711="SAP"),N711=""),"Add HTTP status + endpoint",IF(AND(OR(K711="Backend",K711="SAP",K711="Network"),P711=""),"Add Correlation ID",IF(AND(I711="Fail",T711=""),"Write Root Cause / evidence gap",IF(AND(I711="Fail",V711=""),"Assign team","OK"))))))))</f>
        <v/>
      </c>
    </row>
    <row r="712">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f>IF(I712="","",IF(AND(I712="Fail",K712=""),"Classify Issue Source",IF(AND(I712="Fail",W712=""),"Set Confidence",IF(AND(K712="Unknown",W712&lt;&gt;"Low"),"Unknown must be Low confidence",IF(AND(OR(K712="Backend",K712="SAP"),N712=""),"Add HTTP status + endpoint",IF(AND(OR(K712="Backend",K712="SAP",K712="Network"),P712=""),"Add Correlation ID",IF(AND(I712="Fail",T712=""),"Write Root Cause / evidence gap",IF(AND(I712="Fail",V712=""),"Assign team","OK"))))))))</f>
        <v/>
      </c>
    </row>
    <row r="713">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f>IF(I713="","",IF(AND(I713="Fail",K713=""),"Classify Issue Source",IF(AND(I713="Fail",W713=""),"Set Confidence",IF(AND(K713="Unknown",W713&lt;&gt;"Low"),"Unknown must be Low confidence",IF(AND(OR(K713="Backend",K713="SAP"),N713=""),"Add HTTP status + endpoint",IF(AND(OR(K713="Backend",K713="SAP",K713="Network"),P713=""),"Add Correlation ID",IF(AND(I713="Fail",T713=""),"Write Root Cause / evidence gap",IF(AND(I713="Fail",V713=""),"Assign team","OK"))))))))</f>
        <v/>
      </c>
    </row>
    <row r="714">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f>IF(I714="","",IF(AND(I714="Fail",K714=""),"Classify Issue Source",IF(AND(I714="Fail",W714=""),"Set Confidence",IF(AND(K714="Unknown",W714&lt;&gt;"Low"),"Unknown must be Low confidence",IF(AND(OR(K714="Backend",K714="SAP"),N714=""),"Add HTTP status + endpoint",IF(AND(OR(K714="Backend",K714="SAP",K714="Network"),P714=""),"Add Correlation ID",IF(AND(I714="Fail",T714=""),"Write Root Cause / evidence gap",IF(AND(I714="Fail",V714=""),"Assign team","OK"))))))))</f>
        <v/>
      </c>
    </row>
    <row r="715">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f>IF(I715="","",IF(AND(I715="Fail",K715=""),"Classify Issue Source",IF(AND(I715="Fail",W715=""),"Set Confidence",IF(AND(K715="Unknown",W715&lt;&gt;"Low"),"Unknown must be Low confidence",IF(AND(OR(K715="Backend",K715="SAP"),N715=""),"Add HTTP status + endpoint",IF(AND(OR(K715="Backend",K715="SAP",K715="Network"),P715=""),"Add Correlation ID",IF(AND(I715="Fail",T715=""),"Write Root Cause / evidence gap",IF(AND(I715="Fail",V715=""),"Assign team","OK"))))))))</f>
        <v/>
      </c>
    </row>
    <row r="716">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f>IF(I716="","",IF(AND(I716="Fail",K716=""),"Classify Issue Source",IF(AND(I716="Fail",W716=""),"Set Confidence",IF(AND(K716="Unknown",W716&lt;&gt;"Low"),"Unknown must be Low confidence",IF(AND(OR(K716="Backend",K716="SAP"),N716=""),"Add HTTP status + endpoint",IF(AND(OR(K716="Backend",K716="SAP",K716="Network"),P716=""),"Add Correlation ID",IF(AND(I716="Fail",T716=""),"Write Root Cause / evidence gap",IF(AND(I716="Fail",V716=""),"Assign team","OK"))))))))</f>
        <v/>
      </c>
    </row>
    <row r="717">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f>IF(I717="","",IF(AND(I717="Fail",K717=""),"Classify Issue Source",IF(AND(I717="Fail",W717=""),"Set Confidence",IF(AND(K717="Unknown",W717&lt;&gt;"Low"),"Unknown must be Low confidence",IF(AND(OR(K717="Backend",K717="SAP"),N717=""),"Add HTTP status + endpoint",IF(AND(OR(K717="Backend",K717="SAP",K717="Network"),P717=""),"Add Correlation ID",IF(AND(I717="Fail",T717=""),"Write Root Cause / evidence gap",IF(AND(I717="Fail",V717=""),"Assign team","OK"))))))))</f>
        <v/>
      </c>
    </row>
    <row r="718">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f>IF(I718="","",IF(AND(I718="Fail",K718=""),"Classify Issue Source",IF(AND(I718="Fail",W718=""),"Set Confidence",IF(AND(K718="Unknown",W718&lt;&gt;"Low"),"Unknown must be Low confidence",IF(AND(OR(K718="Backend",K718="SAP"),N718=""),"Add HTTP status + endpoint",IF(AND(OR(K718="Backend",K718="SAP",K718="Network"),P718=""),"Add Correlation ID",IF(AND(I718="Fail",T718=""),"Write Root Cause / evidence gap",IF(AND(I718="Fail",V718=""),"Assign team","OK"))))))))</f>
        <v/>
      </c>
    </row>
    <row r="71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f>IF(I719="","",IF(AND(I719="Fail",K719=""),"Classify Issue Source",IF(AND(I719="Fail",W719=""),"Set Confidence",IF(AND(K719="Unknown",W719&lt;&gt;"Low"),"Unknown must be Low confidence",IF(AND(OR(K719="Backend",K719="SAP"),N719=""),"Add HTTP status + endpoint",IF(AND(OR(K719="Backend",K719="SAP",K719="Network"),P719=""),"Add Correlation ID",IF(AND(I719="Fail",T719=""),"Write Root Cause / evidence gap",IF(AND(I719="Fail",V719=""),"Assign team","OK"))))))))</f>
        <v/>
      </c>
    </row>
    <row r="720">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f>IF(I720="","",IF(AND(I720="Fail",K720=""),"Classify Issue Source",IF(AND(I720="Fail",W720=""),"Set Confidence",IF(AND(K720="Unknown",W720&lt;&gt;"Low"),"Unknown must be Low confidence",IF(AND(OR(K720="Backend",K720="SAP"),N720=""),"Add HTTP status + endpoint",IF(AND(OR(K720="Backend",K720="SAP",K720="Network"),P720=""),"Add Correlation ID",IF(AND(I720="Fail",T720=""),"Write Root Cause / evidence gap",IF(AND(I720="Fail",V720=""),"Assign team","OK"))))))))</f>
        <v/>
      </c>
    </row>
    <row r="721">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f>IF(I721="","",IF(AND(I721="Fail",K721=""),"Classify Issue Source",IF(AND(I721="Fail",W721=""),"Set Confidence",IF(AND(K721="Unknown",W721&lt;&gt;"Low"),"Unknown must be Low confidence",IF(AND(OR(K721="Backend",K721="SAP"),N721=""),"Add HTTP status + endpoint",IF(AND(OR(K721="Backend",K721="SAP",K721="Network"),P721=""),"Add Correlation ID",IF(AND(I721="Fail",T721=""),"Write Root Cause / evidence gap",IF(AND(I721="Fail",V721=""),"Assign team","OK"))))))))</f>
        <v/>
      </c>
    </row>
    <row r="722">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f>IF(I722="","",IF(AND(I722="Fail",K722=""),"Classify Issue Source",IF(AND(I722="Fail",W722=""),"Set Confidence",IF(AND(K722="Unknown",W722&lt;&gt;"Low"),"Unknown must be Low confidence",IF(AND(OR(K722="Backend",K722="SAP"),N722=""),"Add HTTP status + endpoint",IF(AND(OR(K722="Backend",K722="SAP",K722="Network"),P722=""),"Add Correlation ID",IF(AND(I722="Fail",T722=""),"Write Root Cause / evidence gap",IF(AND(I722="Fail",V722=""),"Assign team","OK"))))))))</f>
        <v/>
      </c>
    </row>
    <row r="723">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f>IF(I723="","",IF(AND(I723="Fail",K723=""),"Classify Issue Source",IF(AND(I723="Fail",W723=""),"Set Confidence",IF(AND(K723="Unknown",W723&lt;&gt;"Low"),"Unknown must be Low confidence",IF(AND(OR(K723="Backend",K723="SAP"),N723=""),"Add HTTP status + endpoint",IF(AND(OR(K723="Backend",K723="SAP",K723="Network"),P723=""),"Add Correlation ID",IF(AND(I723="Fail",T723=""),"Write Root Cause / evidence gap",IF(AND(I723="Fail",V723=""),"Assign team","OK"))))))))</f>
        <v/>
      </c>
    </row>
    <row r="724">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f>IF(I724="","",IF(AND(I724="Fail",K724=""),"Classify Issue Source",IF(AND(I724="Fail",W724=""),"Set Confidence",IF(AND(K724="Unknown",W724&lt;&gt;"Low"),"Unknown must be Low confidence",IF(AND(OR(K724="Backend",K724="SAP"),N724=""),"Add HTTP status + endpoint",IF(AND(OR(K724="Backend",K724="SAP",K724="Network"),P724=""),"Add Correlation ID",IF(AND(I724="Fail",T724=""),"Write Root Cause / evidence gap",IF(AND(I724="Fail",V724=""),"Assign team","OK"))))))))</f>
        <v/>
      </c>
    </row>
    <row r="725">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f>IF(I725="","",IF(AND(I725="Fail",K725=""),"Classify Issue Source",IF(AND(I725="Fail",W725=""),"Set Confidence",IF(AND(K725="Unknown",W725&lt;&gt;"Low"),"Unknown must be Low confidence",IF(AND(OR(K725="Backend",K725="SAP"),N725=""),"Add HTTP status + endpoint",IF(AND(OR(K725="Backend",K725="SAP",K725="Network"),P725=""),"Add Correlation ID",IF(AND(I725="Fail",T725=""),"Write Root Cause / evidence gap",IF(AND(I725="Fail",V725=""),"Assign team","OK"))))))))</f>
        <v/>
      </c>
    </row>
    <row r="726">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f>IF(I726="","",IF(AND(I726="Fail",K726=""),"Classify Issue Source",IF(AND(I726="Fail",W726=""),"Set Confidence",IF(AND(K726="Unknown",W726&lt;&gt;"Low"),"Unknown must be Low confidence",IF(AND(OR(K726="Backend",K726="SAP"),N726=""),"Add HTTP status + endpoint",IF(AND(OR(K726="Backend",K726="SAP",K726="Network"),P726=""),"Add Correlation ID",IF(AND(I726="Fail",T726=""),"Write Root Cause / evidence gap",IF(AND(I726="Fail",V726=""),"Assign team","OK"))))))))</f>
        <v/>
      </c>
    </row>
    <row r="727">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f>IF(I727="","",IF(AND(I727="Fail",K727=""),"Classify Issue Source",IF(AND(I727="Fail",W727=""),"Set Confidence",IF(AND(K727="Unknown",W727&lt;&gt;"Low"),"Unknown must be Low confidence",IF(AND(OR(K727="Backend",K727="SAP"),N727=""),"Add HTTP status + endpoint",IF(AND(OR(K727="Backend",K727="SAP",K727="Network"),P727=""),"Add Correlation ID",IF(AND(I727="Fail",T727=""),"Write Root Cause / evidence gap",IF(AND(I727="Fail",V727=""),"Assign team","OK"))))))))</f>
        <v/>
      </c>
    </row>
    <row r="728">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f>IF(I728="","",IF(AND(I728="Fail",K728=""),"Classify Issue Source",IF(AND(I728="Fail",W728=""),"Set Confidence",IF(AND(K728="Unknown",W728&lt;&gt;"Low"),"Unknown must be Low confidence",IF(AND(OR(K728="Backend",K728="SAP"),N728=""),"Add HTTP status + endpoint",IF(AND(OR(K728="Backend",K728="SAP",K728="Network"),P728=""),"Add Correlation ID",IF(AND(I728="Fail",T728=""),"Write Root Cause / evidence gap",IF(AND(I728="Fail",V728=""),"Assign team","OK"))))))))</f>
        <v/>
      </c>
    </row>
    <row r="72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f>IF(I729="","",IF(AND(I729="Fail",K729=""),"Classify Issue Source",IF(AND(I729="Fail",W729=""),"Set Confidence",IF(AND(K729="Unknown",W729&lt;&gt;"Low"),"Unknown must be Low confidence",IF(AND(OR(K729="Backend",K729="SAP"),N729=""),"Add HTTP status + endpoint",IF(AND(OR(K729="Backend",K729="SAP",K729="Network"),P729=""),"Add Correlation ID",IF(AND(I729="Fail",T729=""),"Write Root Cause / evidence gap",IF(AND(I729="Fail",V729=""),"Assign team","OK"))))))))</f>
        <v/>
      </c>
    </row>
    <row r="730">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f>IF(I730="","",IF(AND(I730="Fail",K730=""),"Classify Issue Source",IF(AND(I730="Fail",W730=""),"Set Confidence",IF(AND(K730="Unknown",W730&lt;&gt;"Low"),"Unknown must be Low confidence",IF(AND(OR(K730="Backend",K730="SAP"),N730=""),"Add HTTP status + endpoint",IF(AND(OR(K730="Backend",K730="SAP",K730="Network"),P730=""),"Add Correlation ID",IF(AND(I730="Fail",T730=""),"Write Root Cause / evidence gap",IF(AND(I730="Fail",V730=""),"Assign team","OK"))))))))</f>
        <v/>
      </c>
    </row>
    <row r="731">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f>IF(I731="","",IF(AND(I731="Fail",K731=""),"Classify Issue Source",IF(AND(I731="Fail",W731=""),"Set Confidence",IF(AND(K731="Unknown",W731&lt;&gt;"Low"),"Unknown must be Low confidence",IF(AND(OR(K731="Backend",K731="SAP"),N731=""),"Add HTTP status + endpoint",IF(AND(OR(K731="Backend",K731="SAP",K731="Network"),P731=""),"Add Correlation ID",IF(AND(I731="Fail",T731=""),"Write Root Cause / evidence gap",IF(AND(I731="Fail",V731=""),"Assign team","OK"))))))))</f>
        <v/>
      </c>
    </row>
    <row r="732">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f>IF(I732="","",IF(AND(I732="Fail",K732=""),"Classify Issue Source",IF(AND(I732="Fail",W732=""),"Set Confidence",IF(AND(K732="Unknown",W732&lt;&gt;"Low"),"Unknown must be Low confidence",IF(AND(OR(K732="Backend",K732="SAP"),N732=""),"Add HTTP status + endpoint",IF(AND(OR(K732="Backend",K732="SAP",K732="Network"),P732=""),"Add Correlation ID",IF(AND(I732="Fail",T732=""),"Write Root Cause / evidence gap",IF(AND(I732="Fail",V732=""),"Assign team","OK"))))))))</f>
        <v/>
      </c>
    </row>
    <row r="733">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f>IF(I733="","",IF(AND(I733="Fail",K733=""),"Classify Issue Source",IF(AND(I733="Fail",W733=""),"Set Confidence",IF(AND(K733="Unknown",W733&lt;&gt;"Low"),"Unknown must be Low confidence",IF(AND(OR(K733="Backend",K733="SAP"),N733=""),"Add HTTP status + endpoint",IF(AND(OR(K733="Backend",K733="SAP",K733="Network"),P733=""),"Add Correlation ID",IF(AND(I733="Fail",T733=""),"Write Root Cause / evidence gap",IF(AND(I733="Fail",V733=""),"Assign team","OK"))))))))</f>
        <v/>
      </c>
    </row>
    <row r="734">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f>IF(I734="","",IF(AND(I734="Fail",K734=""),"Classify Issue Source",IF(AND(I734="Fail",W734=""),"Set Confidence",IF(AND(K734="Unknown",W734&lt;&gt;"Low"),"Unknown must be Low confidence",IF(AND(OR(K734="Backend",K734="SAP"),N734=""),"Add HTTP status + endpoint",IF(AND(OR(K734="Backend",K734="SAP",K734="Network"),P734=""),"Add Correlation ID",IF(AND(I734="Fail",T734=""),"Write Root Cause / evidence gap",IF(AND(I734="Fail",V734=""),"Assign team","OK"))))))))</f>
        <v/>
      </c>
    </row>
    <row r="735">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f>IF(I735="","",IF(AND(I735="Fail",K735=""),"Classify Issue Source",IF(AND(I735="Fail",W735=""),"Set Confidence",IF(AND(K735="Unknown",W735&lt;&gt;"Low"),"Unknown must be Low confidence",IF(AND(OR(K735="Backend",K735="SAP"),N735=""),"Add HTTP status + endpoint",IF(AND(OR(K735="Backend",K735="SAP",K735="Network"),P735=""),"Add Correlation ID",IF(AND(I735="Fail",T735=""),"Write Root Cause / evidence gap",IF(AND(I735="Fail",V735=""),"Assign team","OK"))))))))</f>
        <v/>
      </c>
    </row>
    <row r="736">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f>IF(I736="","",IF(AND(I736="Fail",K736=""),"Classify Issue Source",IF(AND(I736="Fail",W736=""),"Set Confidence",IF(AND(K736="Unknown",W736&lt;&gt;"Low"),"Unknown must be Low confidence",IF(AND(OR(K736="Backend",K736="SAP"),N736=""),"Add HTTP status + endpoint",IF(AND(OR(K736="Backend",K736="SAP",K736="Network"),P736=""),"Add Correlation ID",IF(AND(I736="Fail",T736=""),"Write Root Cause / evidence gap",IF(AND(I736="Fail",V736=""),"Assign team","OK"))))))))</f>
        <v/>
      </c>
    </row>
    <row r="737">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f>IF(I737="","",IF(AND(I737="Fail",K737=""),"Classify Issue Source",IF(AND(I737="Fail",W737=""),"Set Confidence",IF(AND(K737="Unknown",W737&lt;&gt;"Low"),"Unknown must be Low confidence",IF(AND(OR(K737="Backend",K737="SAP"),N737=""),"Add HTTP status + endpoint",IF(AND(OR(K737="Backend",K737="SAP",K737="Network"),P737=""),"Add Correlation ID",IF(AND(I737="Fail",T737=""),"Write Root Cause / evidence gap",IF(AND(I737="Fail",V737=""),"Assign team","OK"))))))))</f>
        <v/>
      </c>
    </row>
    <row r="738">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f>IF(I738="","",IF(AND(I738="Fail",K738=""),"Classify Issue Source",IF(AND(I738="Fail",W738=""),"Set Confidence",IF(AND(K738="Unknown",W738&lt;&gt;"Low"),"Unknown must be Low confidence",IF(AND(OR(K738="Backend",K738="SAP"),N738=""),"Add HTTP status + endpoint",IF(AND(OR(K738="Backend",K738="SAP",K738="Network"),P738=""),"Add Correlation ID",IF(AND(I738="Fail",T738=""),"Write Root Cause / evidence gap",IF(AND(I738="Fail",V738=""),"Assign team","OK"))))))))</f>
        <v/>
      </c>
    </row>
    <row r="73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f>IF(I739="","",IF(AND(I739="Fail",K739=""),"Classify Issue Source",IF(AND(I739="Fail",W739=""),"Set Confidence",IF(AND(K739="Unknown",W739&lt;&gt;"Low"),"Unknown must be Low confidence",IF(AND(OR(K739="Backend",K739="SAP"),N739=""),"Add HTTP status + endpoint",IF(AND(OR(K739="Backend",K739="SAP",K739="Network"),P739=""),"Add Correlation ID",IF(AND(I739="Fail",T739=""),"Write Root Cause / evidence gap",IF(AND(I739="Fail",V739=""),"Assign team","OK"))))))))</f>
        <v/>
      </c>
    </row>
    <row r="740">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f>IF(I740="","",IF(AND(I740="Fail",K740=""),"Classify Issue Source",IF(AND(I740="Fail",W740=""),"Set Confidence",IF(AND(K740="Unknown",W740&lt;&gt;"Low"),"Unknown must be Low confidence",IF(AND(OR(K740="Backend",K740="SAP"),N740=""),"Add HTTP status + endpoint",IF(AND(OR(K740="Backend",K740="SAP",K740="Network"),P740=""),"Add Correlation ID",IF(AND(I740="Fail",T740=""),"Write Root Cause / evidence gap",IF(AND(I740="Fail",V740=""),"Assign team","OK"))))))))</f>
        <v/>
      </c>
    </row>
    <row r="741">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f>IF(I741="","",IF(AND(I741="Fail",K741=""),"Classify Issue Source",IF(AND(I741="Fail",W741=""),"Set Confidence",IF(AND(K741="Unknown",W741&lt;&gt;"Low"),"Unknown must be Low confidence",IF(AND(OR(K741="Backend",K741="SAP"),N741=""),"Add HTTP status + endpoint",IF(AND(OR(K741="Backend",K741="SAP",K741="Network"),P741=""),"Add Correlation ID",IF(AND(I741="Fail",T741=""),"Write Root Cause / evidence gap",IF(AND(I741="Fail",V741=""),"Assign team","OK"))))))))</f>
        <v/>
      </c>
    </row>
    <row r="742">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f>IF(I742="","",IF(AND(I742="Fail",K742=""),"Classify Issue Source",IF(AND(I742="Fail",W742=""),"Set Confidence",IF(AND(K742="Unknown",W742&lt;&gt;"Low"),"Unknown must be Low confidence",IF(AND(OR(K742="Backend",K742="SAP"),N742=""),"Add HTTP status + endpoint",IF(AND(OR(K742="Backend",K742="SAP",K742="Network"),P742=""),"Add Correlation ID",IF(AND(I742="Fail",T742=""),"Write Root Cause / evidence gap",IF(AND(I742="Fail",V742=""),"Assign team","OK"))))))))</f>
        <v/>
      </c>
    </row>
    <row r="743">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f>IF(I743="","",IF(AND(I743="Fail",K743=""),"Classify Issue Source",IF(AND(I743="Fail",W743=""),"Set Confidence",IF(AND(K743="Unknown",W743&lt;&gt;"Low"),"Unknown must be Low confidence",IF(AND(OR(K743="Backend",K743="SAP"),N743=""),"Add HTTP status + endpoint",IF(AND(OR(K743="Backend",K743="SAP",K743="Network"),P743=""),"Add Correlation ID",IF(AND(I743="Fail",T743=""),"Write Root Cause / evidence gap",IF(AND(I743="Fail",V743=""),"Assign team","OK"))))))))</f>
        <v/>
      </c>
    </row>
    <row r="744">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f>IF(I744="","",IF(AND(I744="Fail",K744=""),"Classify Issue Source",IF(AND(I744="Fail",W744=""),"Set Confidence",IF(AND(K744="Unknown",W744&lt;&gt;"Low"),"Unknown must be Low confidence",IF(AND(OR(K744="Backend",K744="SAP"),N744=""),"Add HTTP status + endpoint",IF(AND(OR(K744="Backend",K744="SAP",K744="Network"),P744=""),"Add Correlation ID",IF(AND(I744="Fail",T744=""),"Write Root Cause / evidence gap",IF(AND(I744="Fail",V744=""),"Assign team","OK"))))))))</f>
        <v/>
      </c>
    </row>
    <row r="745">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f>IF(I745="","",IF(AND(I745="Fail",K745=""),"Classify Issue Source",IF(AND(I745="Fail",W745=""),"Set Confidence",IF(AND(K745="Unknown",W745&lt;&gt;"Low"),"Unknown must be Low confidence",IF(AND(OR(K745="Backend",K745="SAP"),N745=""),"Add HTTP status + endpoint",IF(AND(OR(K745="Backend",K745="SAP",K745="Network"),P745=""),"Add Correlation ID",IF(AND(I745="Fail",T745=""),"Write Root Cause / evidence gap",IF(AND(I745="Fail",V745=""),"Assign team","OK"))))))))</f>
        <v/>
      </c>
    </row>
    <row r="746">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f>IF(I746="","",IF(AND(I746="Fail",K746=""),"Classify Issue Source",IF(AND(I746="Fail",W746=""),"Set Confidence",IF(AND(K746="Unknown",W746&lt;&gt;"Low"),"Unknown must be Low confidence",IF(AND(OR(K746="Backend",K746="SAP"),N746=""),"Add HTTP status + endpoint",IF(AND(OR(K746="Backend",K746="SAP",K746="Network"),P746=""),"Add Correlation ID",IF(AND(I746="Fail",T746=""),"Write Root Cause / evidence gap",IF(AND(I746="Fail",V746=""),"Assign team","OK"))))))))</f>
        <v/>
      </c>
    </row>
    <row r="747">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f>IF(I747="","",IF(AND(I747="Fail",K747=""),"Classify Issue Source",IF(AND(I747="Fail",W747=""),"Set Confidence",IF(AND(K747="Unknown",W747&lt;&gt;"Low"),"Unknown must be Low confidence",IF(AND(OR(K747="Backend",K747="SAP"),N747=""),"Add HTTP status + endpoint",IF(AND(OR(K747="Backend",K747="SAP",K747="Network"),P747=""),"Add Correlation ID",IF(AND(I747="Fail",T747=""),"Write Root Cause / evidence gap",IF(AND(I747="Fail",V747=""),"Assign team","OK"))))))))</f>
        <v/>
      </c>
    </row>
    <row r="748">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f>IF(I748="","",IF(AND(I748="Fail",K748=""),"Classify Issue Source",IF(AND(I748="Fail",W748=""),"Set Confidence",IF(AND(K748="Unknown",W748&lt;&gt;"Low"),"Unknown must be Low confidence",IF(AND(OR(K748="Backend",K748="SAP"),N748=""),"Add HTTP status + endpoint",IF(AND(OR(K748="Backend",K748="SAP",K748="Network"),P748=""),"Add Correlation ID",IF(AND(I748="Fail",T748=""),"Write Root Cause / evidence gap",IF(AND(I748="Fail",V748=""),"Assign team","OK"))))))))</f>
        <v/>
      </c>
    </row>
    <row r="74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f>IF(I749="","",IF(AND(I749="Fail",K749=""),"Classify Issue Source",IF(AND(I749="Fail",W749=""),"Set Confidence",IF(AND(K749="Unknown",W749&lt;&gt;"Low"),"Unknown must be Low confidence",IF(AND(OR(K749="Backend",K749="SAP"),N749=""),"Add HTTP status + endpoint",IF(AND(OR(K749="Backend",K749="SAP",K749="Network"),P749=""),"Add Correlation ID",IF(AND(I749="Fail",T749=""),"Write Root Cause / evidence gap",IF(AND(I749="Fail",V749=""),"Assign team","OK"))))))))</f>
        <v/>
      </c>
    </row>
    <row r="750">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f>IF(I750="","",IF(AND(I750="Fail",K750=""),"Classify Issue Source",IF(AND(I750="Fail",W750=""),"Set Confidence",IF(AND(K750="Unknown",W750&lt;&gt;"Low"),"Unknown must be Low confidence",IF(AND(OR(K750="Backend",K750="SAP"),N750=""),"Add HTTP status + endpoint",IF(AND(OR(K750="Backend",K750="SAP",K750="Network"),P750=""),"Add Correlation ID",IF(AND(I750="Fail",T750=""),"Write Root Cause / evidence gap",IF(AND(I750="Fail",V750=""),"Assign team","OK"))))))))</f>
        <v/>
      </c>
    </row>
    <row r="751">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f>IF(I751="","",IF(AND(I751="Fail",K751=""),"Classify Issue Source",IF(AND(I751="Fail",W751=""),"Set Confidence",IF(AND(K751="Unknown",W751&lt;&gt;"Low"),"Unknown must be Low confidence",IF(AND(OR(K751="Backend",K751="SAP"),N751=""),"Add HTTP status + endpoint",IF(AND(OR(K751="Backend",K751="SAP",K751="Network"),P751=""),"Add Correlation ID",IF(AND(I751="Fail",T751=""),"Write Root Cause / evidence gap",IF(AND(I751="Fail",V751=""),"Assign team","OK"))))))))</f>
        <v/>
      </c>
    </row>
    <row r="752">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f>IF(I752="","",IF(AND(I752="Fail",K752=""),"Classify Issue Source",IF(AND(I752="Fail",W752=""),"Set Confidence",IF(AND(K752="Unknown",W752&lt;&gt;"Low"),"Unknown must be Low confidence",IF(AND(OR(K752="Backend",K752="SAP"),N752=""),"Add HTTP status + endpoint",IF(AND(OR(K752="Backend",K752="SAP",K752="Network"),P752=""),"Add Correlation ID",IF(AND(I752="Fail",T752=""),"Write Root Cause / evidence gap",IF(AND(I752="Fail",V752=""),"Assign team","OK"))))))))</f>
        <v/>
      </c>
    </row>
    <row r="753">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f>IF(I753="","",IF(AND(I753="Fail",K753=""),"Classify Issue Source",IF(AND(I753="Fail",W753=""),"Set Confidence",IF(AND(K753="Unknown",W753&lt;&gt;"Low"),"Unknown must be Low confidence",IF(AND(OR(K753="Backend",K753="SAP"),N753=""),"Add HTTP status + endpoint",IF(AND(OR(K753="Backend",K753="SAP",K753="Network"),P753=""),"Add Correlation ID",IF(AND(I753="Fail",T753=""),"Write Root Cause / evidence gap",IF(AND(I753="Fail",V753=""),"Assign team","OK"))))))))</f>
        <v/>
      </c>
    </row>
    <row r="754">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f>IF(I754="","",IF(AND(I754="Fail",K754=""),"Classify Issue Source",IF(AND(I754="Fail",W754=""),"Set Confidence",IF(AND(K754="Unknown",W754&lt;&gt;"Low"),"Unknown must be Low confidence",IF(AND(OR(K754="Backend",K754="SAP"),N754=""),"Add HTTP status + endpoint",IF(AND(OR(K754="Backend",K754="SAP",K754="Network"),P754=""),"Add Correlation ID",IF(AND(I754="Fail",T754=""),"Write Root Cause / evidence gap",IF(AND(I754="Fail",V754=""),"Assign team","OK"))))))))</f>
        <v/>
      </c>
    </row>
    <row r="755">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f>IF(I755="","",IF(AND(I755="Fail",K755=""),"Classify Issue Source",IF(AND(I755="Fail",W755=""),"Set Confidence",IF(AND(K755="Unknown",W755&lt;&gt;"Low"),"Unknown must be Low confidence",IF(AND(OR(K755="Backend",K755="SAP"),N755=""),"Add HTTP status + endpoint",IF(AND(OR(K755="Backend",K755="SAP",K755="Network"),P755=""),"Add Correlation ID",IF(AND(I755="Fail",T755=""),"Write Root Cause / evidence gap",IF(AND(I755="Fail",V755=""),"Assign team","OK"))))))))</f>
        <v/>
      </c>
    </row>
    <row r="756">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f>IF(I756="","",IF(AND(I756="Fail",K756=""),"Classify Issue Source",IF(AND(I756="Fail",W756=""),"Set Confidence",IF(AND(K756="Unknown",W756&lt;&gt;"Low"),"Unknown must be Low confidence",IF(AND(OR(K756="Backend",K756="SAP"),N756=""),"Add HTTP status + endpoint",IF(AND(OR(K756="Backend",K756="SAP",K756="Network"),P756=""),"Add Correlation ID",IF(AND(I756="Fail",T756=""),"Write Root Cause / evidence gap",IF(AND(I756="Fail",V756=""),"Assign team","OK"))))))))</f>
        <v/>
      </c>
    </row>
    <row r="757">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f>IF(I757="","",IF(AND(I757="Fail",K757=""),"Classify Issue Source",IF(AND(I757="Fail",W757=""),"Set Confidence",IF(AND(K757="Unknown",W757&lt;&gt;"Low"),"Unknown must be Low confidence",IF(AND(OR(K757="Backend",K757="SAP"),N757=""),"Add HTTP status + endpoint",IF(AND(OR(K757="Backend",K757="SAP",K757="Network"),P757=""),"Add Correlation ID",IF(AND(I757="Fail",T757=""),"Write Root Cause / evidence gap",IF(AND(I757="Fail",V757=""),"Assign team","OK"))))))))</f>
        <v/>
      </c>
    </row>
    <row r="758">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f>IF(I758="","",IF(AND(I758="Fail",K758=""),"Classify Issue Source",IF(AND(I758="Fail",W758=""),"Set Confidence",IF(AND(K758="Unknown",W758&lt;&gt;"Low"),"Unknown must be Low confidence",IF(AND(OR(K758="Backend",K758="SAP"),N758=""),"Add HTTP status + endpoint",IF(AND(OR(K758="Backend",K758="SAP",K758="Network"),P758=""),"Add Correlation ID",IF(AND(I758="Fail",T758=""),"Write Root Cause / evidence gap",IF(AND(I758="Fail",V758=""),"Assign team","OK"))))))))</f>
        <v/>
      </c>
    </row>
    <row r="75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f>IF(I759="","",IF(AND(I759="Fail",K759=""),"Classify Issue Source",IF(AND(I759="Fail",W759=""),"Set Confidence",IF(AND(K759="Unknown",W759&lt;&gt;"Low"),"Unknown must be Low confidence",IF(AND(OR(K759="Backend",K759="SAP"),N759=""),"Add HTTP status + endpoint",IF(AND(OR(K759="Backend",K759="SAP",K759="Network"),P759=""),"Add Correlation ID",IF(AND(I759="Fail",T759=""),"Write Root Cause / evidence gap",IF(AND(I759="Fail",V759=""),"Assign team","OK"))))))))</f>
        <v/>
      </c>
    </row>
    <row r="760">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f>IF(I760="","",IF(AND(I760="Fail",K760=""),"Classify Issue Source",IF(AND(I760="Fail",W760=""),"Set Confidence",IF(AND(K760="Unknown",W760&lt;&gt;"Low"),"Unknown must be Low confidence",IF(AND(OR(K760="Backend",K760="SAP"),N760=""),"Add HTTP status + endpoint",IF(AND(OR(K760="Backend",K760="SAP",K760="Network"),P760=""),"Add Correlation ID",IF(AND(I760="Fail",T760=""),"Write Root Cause / evidence gap",IF(AND(I760="Fail",V760=""),"Assign team","OK"))))))))</f>
        <v/>
      </c>
    </row>
    <row r="761">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f>IF(I761="","",IF(AND(I761="Fail",K761=""),"Classify Issue Source",IF(AND(I761="Fail",W761=""),"Set Confidence",IF(AND(K761="Unknown",W761&lt;&gt;"Low"),"Unknown must be Low confidence",IF(AND(OR(K761="Backend",K761="SAP"),N761=""),"Add HTTP status + endpoint",IF(AND(OR(K761="Backend",K761="SAP",K761="Network"),P761=""),"Add Correlation ID",IF(AND(I761="Fail",T761=""),"Write Root Cause / evidence gap",IF(AND(I761="Fail",V761=""),"Assign team","OK"))))))))</f>
        <v/>
      </c>
    </row>
    <row r="762">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f>IF(I762="","",IF(AND(I762="Fail",K762=""),"Classify Issue Source",IF(AND(I762="Fail",W762=""),"Set Confidence",IF(AND(K762="Unknown",W762&lt;&gt;"Low"),"Unknown must be Low confidence",IF(AND(OR(K762="Backend",K762="SAP"),N762=""),"Add HTTP status + endpoint",IF(AND(OR(K762="Backend",K762="SAP",K762="Network"),P762=""),"Add Correlation ID",IF(AND(I762="Fail",T762=""),"Write Root Cause / evidence gap",IF(AND(I762="Fail",V762=""),"Assign team","OK"))))))))</f>
        <v/>
      </c>
    </row>
    <row r="763">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f>IF(I763="","",IF(AND(I763="Fail",K763=""),"Classify Issue Source",IF(AND(I763="Fail",W763=""),"Set Confidence",IF(AND(K763="Unknown",W763&lt;&gt;"Low"),"Unknown must be Low confidence",IF(AND(OR(K763="Backend",K763="SAP"),N763=""),"Add HTTP status + endpoint",IF(AND(OR(K763="Backend",K763="SAP",K763="Network"),P763=""),"Add Correlation ID",IF(AND(I763="Fail",T763=""),"Write Root Cause / evidence gap",IF(AND(I763="Fail",V763=""),"Assign team","OK"))))))))</f>
        <v/>
      </c>
    </row>
    <row r="764">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f>IF(I764="","",IF(AND(I764="Fail",K764=""),"Classify Issue Source",IF(AND(I764="Fail",W764=""),"Set Confidence",IF(AND(K764="Unknown",W764&lt;&gt;"Low"),"Unknown must be Low confidence",IF(AND(OR(K764="Backend",K764="SAP"),N764=""),"Add HTTP status + endpoint",IF(AND(OR(K764="Backend",K764="SAP",K764="Network"),P764=""),"Add Correlation ID",IF(AND(I764="Fail",T764=""),"Write Root Cause / evidence gap",IF(AND(I764="Fail",V764=""),"Assign team","OK"))))))))</f>
        <v/>
      </c>
    </row>
    <row r="765">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f>IF(I765="","",IF(AND(I765="Fail",K765=""),"Classify Issue Source",IF(AND(I765="Fail",W765=""),"Set Confidence",IF(AND(K765="Unknown",W765&lt;&gt;"Low"),"Unknown must be Low confidence",IF(AND(OR(K765="Backend",K765="SAP"),N765=""),"Add HTTP status + endpoint",IF(AND(OR(K765="Backend",K765="SAP",K765="Network"),P765=""),"Add Correlation ID",IF(AND(I765="Fail",T765=""),"Write Root Cause / evidence gap",IF(AND(I765="Fail",V765=""),"Assign team","OK"))))))))</f>
        <v/>
      </c>
    </row>
    <row r="766">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f>IF(I766="","",IF(AND(I766="Fail",K766=""),"Classify Issue Source",IF(AND(I766="Fail",W766=""),"Set Confidence",IF(AND(K766="Unknown",W766&lt;&gt;"Low"),"Unknown must be Low confidence",IF(AND(OR(K766="Backend",K766="SAP"),N766=""),"Add HTTP status + endpoint",IF(AND(OR(K766="Backend",K766="SAP",K766="Network"),P766=""),"Add Correlation ID",IF(AND(I766="Fail",T766=""),"Write Root Cause / evidence gap",IF(AND(I766="Fail",V766=""),"Assign team","OK"))))))))</f>
        <v/>
      </c>
    </row>
    <row r="767">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f>IF(I767="","",IF(AND(I767="Fail",K767=""),"Classify Issue Source",IF(AND(I767="Fail",W767=""),"Set Confidence",IF(AND(K767="Unknown",W767&lt;&gt;"Low"),"Unknown must be Low confidence",IF(AND(OR(K767="Backend",K767="SAP"),N767=""),"Add HTTP status + endpoint",IF(AND(OR(K767="Backend",K767="SAP",K767="Network"),P767=""),"Add Correlation ID",IF(AND(I767="Fail",T767=""),"Write Root Cause / evidence gap",IF(AND(I767="Fail",V767=""),"Assign team","OK"))))))))</f>
        <v/>
      </c>
    </row>
    <row r="768">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f>IF(I768="","",IF(AND(I768="Fail",K768=""),"Classify Issue Source",IF(AND(I768="Fail",W768=""),"Set Confidence",IF(AND(K768="Unknown",W768&lt;&gt;"Low"),"Unknown must be Low confidence",IF(AND(OR(K768="Backend",K768="SAP"),N768=""),"Add HTTP status + endpoint",IF(AND(OR(K768="Backend",K768="SAP",K768="Network"),P768=""),"Add Correlation ID",IF(AND(I768="Fail",T768=""),"Write Root Cause / evidence gap",IF(AND(I768="Fail",V768=""),"Assign team","OK"))))))))</f>
        <v/>
      </c>
    </row>
    <row r="76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f>IF(I769="","",IF(AND(I769="Fail",K769=""),"Classify Issue Source",IF(AND(I769="Fail",W769=""),"Set Confidence",IF(AND(K769="Unknown",W769&lt;&gt;"Low"),"Unknown must be Low confidence",IF(AND(OR(K769="Backend",K769="SAP"),N769=""),"Add HTTP status + endpoint",IF(AND(OR(K769="Backend",K769="SAP",K769="Network"),P769=""),"Add Correlation ID",IF(AND(I769="Fail",T769=""),"Write Root Cause / evidence gap",IF(AND(I769="Fail",V769=""),"Assign team","OK"))))))))</f>
        <v/>
      </c>
    </row>
    <row r="770">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f>IF(I770="","",IF(AND(I770="Fail",K770=""),"Classify Issue Source",IF(AND(I770="Fail",W770=""),"Set Confidence",IF(AND(K770="Unknown",W770&lt;&gt;"Low"),"Unknown must be Low confidence",IF(AND(OR(K770="Backend",K770="SAP"),N770=""),"Add HTTP status + endpoint",IF(AND(OR(K770="Backend",K770="SAP",K770="Network"),P770=""),"Add Correlation ID",IF(AND(I770="Fail",T770=""),"Write Root Cause / evidence gap",IF(AND(I770="Fail",V770=""),"Assign team","OK"))))))))</f>
        <v/>
      </c>
    </row>
    <row r="771">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f>IF(I771="","",IF(AND(I771="Fail",K771=""),"Classify Issue Source",IF(AND(I771="Fail",W771=""),"Set Confidence",IF(AND(K771="Unknown",W771&lt;&gt;"Low"),"Unknown must be Low confidence",IF(AND(OR(K771="Backend",K771="SAP"),N771=""),"Add HTTP status + endpoint",IF(AND(OR(K771="Backend",K771="SAP",K771="Network"),P771=""),"Add Correlation ID",IF(AND(I771="Fail",T771=""),"Write Root Cause / evidence gap",IF(AND(I771="Fail",V771=""),"Assign team","OK"))))))))</f>
        <v/>
      </c>
    </row>
    <row r="772">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f>IF(I772="","",IF(AND(I772="Fail",K772=""),"Classify Issue Source",IF(AND(I772="Fail",W772=""),"Set Confidence",IF(AND(K772="Unknown",W772&lt;&gt;"Low"),"Unknown must be Low confidence",IF(AND(OR(K772="Backend",K772="SAP"),N772=""),"Add HTTP status + endpoint",IF(AND(OR(K772="Backend",K772="SAP",K772="Network"),P772=""),"Add Correlation ID",IF(AND(I772="Fail",T772=""),"Write Root Cause / evidence gap",IF(AND(I772="Fail",V772=""),"Assign team","OK"))))))))</f>
        <v/>
      </c>
    </row>
    <row r="773">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f>IF(I773="","",IF(AND(I773="Fail",K773=""),"Classify Issue Source",IF(AND(I773="Fail",W773=""),"Set Confidence",IF(AND(K773="Unknown",W773&lt;&gt;"Low"),"Unknown must be Low confidence",IF(AND(OR(K773="Backend",K773="SAP"),N773=""),"Add HTTP status + endpoint",IF(AND(OR(K773="Backend",K773="SAP",K773="Network"),P773=""),"Add Correlation ID",IF(AND(I773="Fail",T773=""),"Write Root Cause / evidence gap",IF(AND(I773="Fail",V773=""),"Assign team","OK"))))))))</f>
        <v/>
      </c>
    </row>
    <row r="774">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f>IF(I774="","",IF(AND(I774="Fail",K774=""),"Classify Issue Source",IF(AND(I774="Fail",W774=""),"Set Confidence",IF(AND(K774="Unknown",W774&lt;&gt;"Low"),"Unknown must be Low confidence",IF(AND(OR(K774="Backend",K774="SAP"),N774=""),"Add HTTP status + endpoint",IF(AND(OR(K774="Backend",K774="SAP",K774="Network"),P774=""),"Add Correlation ID",IF(AND(I774="Fail",T774=""),"Write Root Cause / evidence gap",IF(AND(I774="Fail",V774=""),"Assign team","OK"))))))))</f>
        <v/>
      </c>
    </row>
    <row r="775">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f>IF(I775="","",IF(AND(I775="Fail",K775=""),"Classify Issue Source",IF(AND(I775="Fail",W775=""),"Set Confidence",IF(AND(K775="Unknown",W775&lt;&gt;"Low"),"Unknown must be Low confidence",IF(AND(OR(K775="Backend",K775="SAP"),N775=""),"Add HTTP status + endpoint",IF(AND(OR(K775="Backend",K775="SAP",K775="Network"),P775=""),"Add Correlation ID",IF(AND(I775="Fail",T775=""),"Write Root Cause / evidence gap",IF(AND(I775="Fail",V775=""),"Assign team","OK"))))))))</f>
        <v/>
      </c>
    </row>
    <row r="776">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f>IF(I776="","",IF(AND(I776="Fail",K776=""),"Classify Issue Source",IF(AND(I776="Fail",W776=""),"Set Confidence",IF(AND(K776="Unknown",W776&lt;&gt;"Low"),"Unknown must be Low confidence",IF(AND(OR(K776="Backend",K776="SAP"),N776=""),"Add HTTP status + endpoint",IF(AND(OR(K776="Backend",K776="SAP",K776="Network"),P776=""),"Add Correlation ID",IF(AND(I776="Fail",T776=""),"Write Root Cause / evidence gap",IF(AND(I776="Fail",V776=""),"Assign team","OK"))))))))</f>
        <v/>
      </c>
    </row>
    <row r="777">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f>IF(I777="","",IF(AND(I777="Fail",K777=""),"Classify Issue Source",IF(AND(I777="Fail",W777=""),"Set Confidence",IF(AND(K777="Unknown",W777&lt;&gt;"Low"),"Unknown must be Low confidence",IF(AND(OR(K777="Backend",K777="SAP"),N777=""),"Add HTTP status + endpoint",IF(AND(OR(K777="Backend",K777="SAP",K777="Network"),P777=""),"Add Correlation ID",IF(AND(I777="Fail",T777=""),"Write Root Cause / evidence gap",IF(AND(I777="Fail",V777=""),"Assign team","OK"))))))))</f>
        <v/>
      </c>
    </row>
    <row r="778">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f>IF(I778="","",IF(AND(I778="Fail",K778=""),"Classify Issue Source",IF(AND(I778="Fail",W778=""),"Set Confidence",IF(AND(K778="Unknown",W778&lt;&gt;"Low"),"Unknown must be Low confidence",IF(AND(OR(K778="Backend",K778="SAP"),N778=""),"Add HTTP status + endpoint",IF(AND(OR(K778="Backend",K778="SAP",K778="Network"),P778=""),"Add Correlation ID",IF(AND(I778="Fail",T778=""),"Write Root Cause / evidence gap",IF(AND(I778="Fail",V778=""),"Assign team","OK"))))))))</f>
        <v/>
      </c>
    </row>
    <row r="7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f>IF(I779="","",IF(AND(I779="Fail",K779=""),"Classify Issue Source",IF(AND(I779="Fail",W779=""),"Set Confidence",IF(AND(K779="Unknown",W779&lt;&gt;"Low"),"Unknown must be Low confidence",IF(AND(OR(K779="Backend",K779="SAP"),N779=""),"Add HTTP status + endpoint",IF(AND(OR(K779="Backend",K779="SAP",K779="Network"),P779=""),"Add Correlation ID",IF(AND(I779="Fail",T779=""),"Write Root Cause / evidence gap",IF(AND(I779="Fail",V779=""),"Assign team","OK"))))))))</f>
        <v/>
      </c>
    </row>
    <row r="780">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f>IF(I780="","",IF(AND(I780="Fail",K780=""),"Classify Issue Source",IF(AND(I780="Fail",W780=""),"Set Confidence",IF(AND(K780="Unknown",W780&lt;&gt;"Low"),"Unknown must be Low confidence",IF(AND(OR(K780="Backend",K780="SAP"),N780=""),"Add HTTP status + endpoint",IF(AND(OR(K780="Backend",K780="SAP",K780="Network"),P780=""),"Add Correlation ID",IF(AND(I780="Fail",T780=""),"Write Root Cause / evidence gap",IF(AND(I780="Fail",V780=""),"Assign team","OK"))))))))</f>
        <v/>
      </c>
    </row>
    <row r="781">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f>IF(I781="","",IF(AND(I781="Fail",K781=""),"Classify Issue Source",IF(AND(I781="Fail",W781=""),"Set Confidence",IF(AND(K781="Unknown",W781&lt;&gt;"Low"),"Unknown must be Low confidence",IF(AND(OR(K781="Backend",K781="SAP"),N781=""),"Add HTTP status + endpoint",IF(AND(OR(K781="Backend",K781="SAP",K781="Network"),P781=""),"Add Correlation ID",IF(AND(I781="Fail",T781=""),"Write Root Cause / evidence gap",IF(AND(I781="Fail",V781=""),"Assign team","OK"))))))))</f>
        <v/>
      </c>
    </row>
    <row r="782">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f>IF(I782="","",IF(AND(I782="Fail",K782=""),"Classify Issue Source",IF(AND(I782="Fail",W782=""),"Set Confidence",IF(AND(K782="Unknown",W782&lt;&gt;"Low"),"Unknown must be Low confidence",IF(AND(OR(K782="Backend",K782="SAP"),N782=""),"Add HTTP status + endpoint",IF(AND(OR(K782="Backend",K782="SAP",K782="Network"),P782=""),"Add Correlation ID",IF(AND(I782="Fail",T782=""),"Write Root Cause / evidence gap",IF(AND(I782="Fail",V782=""),"Assign team","OK"))))))))</f>
        <v/>
      </c>
    </row>
    <row r="783">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f>IF(I783="","",IF(AND(I783="Fail",K783=""),"Classify Issue Source",IF(AND(I783="Fail",W783=""),"Set Confidence",IF(AND(K783="Unknown",W783&lt;&gt;"Low"),"Unknown must be Low confidence",IF(AND(OR(K783="Backend",K783="SAP"),N783=""),"Add HTTP status + endpoint",IF(AND(OR(K783="Backend",K783="SAP",K783="Network"),P783=""),"Add Correlation ID",IF(AND(I783="Fail",T783=""),"Write Root Cause / evidence gap",IF(AND(I783="Fail",V783=""),"Assign team","OK"))))))))</f>
        <v/>
      </c>
    </row>
    <row r="784">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f>IF(I784="","",IF(AND(I784="Fail",K784=""),"Classify Issue Source",IF(AND(I784="Fail",W784=""),"Set Confidence",IF(AND(K784="Unknown",W784&lt;&gt;"Low"),"Unknown must be Low confidence",IF(AND(OR(K784="Backend",K784="SAP"),N784=""),"Add HTTP status + endpoint",IF(AND(OR(K784="Backend",K784="SAP",K784="Network"),P784=""),"Add Correlation ID",IF(AND(I784="Fail",T784=""),"Write Root Cause / evidence gap",IF(AND(I784="Fail",V784=""),"Assign team","OK"))))))))</f>
        <v/>
      </c>
    </row>
    <row r="785">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f>IF(I785="","",IF(AND(I785="Fail",K785=""),"Classify Issue Source",IF(AND(I785="Fail",W785=""),"Set Confidence",IF(AND(K785="Unknown",W785&lt;&gt;"Low"),"Unknown must be Low confidence",IF(AND(OR(K785="Backend",K785="SAP"),N785=""),"Add HTTP status + endpoint",IF(AND(OR(K785="Backend",K785="SAP",K785="Network"),P785=""),"Add Correlation ID",IF(AND(I785="Fail",T785=""),"Write Root Cause / evidence gap",IF(AND(I785="Fail",V785=""),"Assign team","OK"))))))))</f>
        <v/>
      </c>
    </row>
    <row r="786">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f>IF(I786="","",IF(AND(I786="Fail",K786=""),"Classify Issue Source",IF(AND(I786="Fail",W786=""),"Set Confidence",IF(AND(K786="Unknown",W786&lt;&gt;"Low"),"Unknown must be Low confidence",IF(AND(OR(K786="Backend",K786="SAP"),N786=""),"Add HTTP status + endpoint",IF(AND(OR(K786="Backend",K786="SAP",K786="Network"),P786=""),"Add Correlation ID",IF(AND(I786="Fail",T786=""),"Write Root Cause / evidence gap",IF(AND(I786="Fail",V786=""),"Assign team","OK"))))))))</f>
        <v/>
      </c>
    </row>
    <row r="787">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f>IF(I787="","",IF(AND(I787="Fail",K787=""),"Classify Issue Source",IF(AND(I787="Fail",W787=""),"Set Confidence",IF(AND(K787="Unknown",W787&lt;&gt;"Low"),"Unknown must be Low confidence",IF(AND(OR(K787="Backend",K787="SAP"),N787=""),"Add HTTP status + endpoint",IF(AND(OR(K787="Backend",K787="SAP",K787="Network"),P787=""),"Add Correlation ID",IF(AND(I787="Fail",T787=""),"Write Root Cause / evidence gap",IF(AND(I787="Fail",V787=""),"Assign team","OK"))))))))</f>
        <v/>
      </c>
    </row>
    <row r="788">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f>IF(I788="","",IF(AND(I788="Fail",K788=""),"Classify Issue Source",IF(AND(I788="Fail",W788=""),"Set Confidence",IF(AND(K788="Unknown",W788&lt;&gt;"Low"),"Unknown must be Low confidence",IF(AND(OR(K788="Backend",K788="SAP"),N788=""),"Add HTTP status + endpoint",IF(AND(OR(K788="Backend",K788="SAP",K788="Network"),P788=""),"Add Correlation ID",IF(AND(I788="Fail",T788=""),"Write Root Cause / evidence gap",IF(AND(I788="Fail",V788=""),"Assign team","OK"))))))))</f>
        <v/>
      </c>
    </row>
    <row r="78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f>IF(I789="","",IF(AND(I789="Fail",K789=""),"Classify Issue Source",IF(AND(I789="Fail",W789=""),"Set Confidence",IF(AND(K789="Unknown",W789&lt;&gt;"Low"),"Unknown must be Low confidence",IF(AND(OR(K789="Backend",K789="SAP"),N789=""),"Add HTTP status + endpoint",IF(AND(OR(K789="Backend",K789="SAP",K789="Network"),P789=""),"Add Correlation ID",IF(AND(I789="Fail",T789=""),"Write Root Cause / evidence gap",IF(AND(I789="Fail",V789=""),"Assign team","OK"))))))))</f>
        <v/>
      </c>
    </row>
    <row r="790">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f>IF(I790="","",IF(AND(I790="Fail",K790=""),"Classify Issue Source",IF(AND(I790="Fail",W790=""),"Set Confidence",IF(AND(K790="Unknown",W790&lt;&gt;"Low"),"Unknown must be Low confidence",IF(AND(OR(K790="Backend",K790="SAP"),N790=""),"Add HTTP status + endpoint",IF(AND(OR(K790="Backend",K790="SAP",K790="Network"),P790=""),"Add Correlation ID",IF(AND(I790="Fail",T790=""),"Write Root Cause / evidence gap",IF(AND(I790="Fail",V790=""),"Assign team","OK"))))))))</f>
        <v/>
      </c>
    </row>
    <row r="791">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f>IF(I791="","",IF(AND(I791="Fail",K791=""),"Classify Issue Source",IF(AND(I791="Fail",W791=""),"Set Confidence",IF(AND(K791="Unknown",W791&lt;&gt;"Low"),"Unknown must be Low confidence",IF(AND(OR(K791="Backend",K791="SAP"),N791=""),"Add HTTP status + endpoint",IF(AND(OR(K791="Backend",K791="SAP",K791="Network"),P791=""),"Add Correlation ID",IF(AND(I791="Fail",T791=""),"Write Root Cause / evidence gap",IF(AND(I791="Fail",V791=""),"Assign team","OK"))))))))</f>
        <v/>
      </c>
    </row>
    <row r="792">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f>IF(I792="","",IF(AND(I792="Fail",K792=""),"Classify Issue Source",IF(AND(I792="Fail",W792=""),"Set Confidence",IF(AND(K792="Unknown",W792&lt;&gt;"Low"),"Unknown must be Low confidence",IF(AND(OR(K792="Backend",K792="SAP"),N792=""),"Add HTTP status + endpoint",IF(AND(OR(K792="Backend",K792="SAP",K792="Network"),P792=""),"Add Correlation ID",IF(AND(I792="Fail",T792=""),"Write Root Cause / evidence gap",IF(AND(I792="Fail",V792=""),"Assign team","OK"))))))))</f>
        <v/>
      </c>
    </row>
    <row r="793">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f>IF(I793="","",IF(AND(I793="Fail",K793=""),"Classify Issue Source",IF(AND(I793="Fail",W793=""),"Set Confidence",IF(AND(K793="Unknown",W793&lt;&gt;"Low"),"Unknown must be Low confidence",IF(AND(OR(K793="Backend",K793="SAP"),N793=""),"Add HTTP status + endpoint",IF(AND(OR(K793="Backend",K793="SAP",K793="Network"),P793=""),"Add Correlation ID",IF(AND(I793="Fail",T793=""),"Write Root Cause / evidence gap",IF(AND(I793="Fail",V793=""),"Assign team","OK"))))))))</f>
        <v/>
      </c>
    </row>
    <row r="794">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f>IF(I794="","",IF(AND(I794="Fail",K794=""),"Classify Issue Source",IF(AND(I794="Fail",W794=""),"Set Confidence",IF(AND(K794="Unknown",W794&lt;&gt;"Low"),"Unknown must be Low confidence",IF(AND(OR(K794="Backend",K794="SAP"),N794=""),"Add HTTP status + endpoint",IF(AND(OR(K794="Backend",K794="SAP",K794="Network"),P794=""),"Add Correlation ID",IF(AND(I794="Fail",T794=""),"Write Root Cause / evidence gap",IF(AND(I794="Fail",V794=""),"Assign team","OK"))))))))</f>
        <v/>
      </c>
    </row>
    <row r="795">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f>IF(I795="","",IF(AND(I795="Fail",K795=""),"Classify Issue Source",IF(AND(I795="Fail",W795=""),"Set Confidence",IF(AND(K795="Unknown",W795&lt;&gt;"Low"),"Unknown must be Low confidence",IF(AND(OR(K795="Backend",K795="SAP"),N795=""),"Add HTTP status + endpoint",IF(AND(OR(K795="Backend",K795="SAP",K795="Network"),P795=""),"Add Correlation ID",IF(AND(I795="Fail",T795=""),"Write Root Cause / evidence gap",IF(AND(I795="Fail",V795=""),"Assign team","OK"))))))))</f>
        <v/>
      </c>
    </row>
    <row r="796">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f>IF(I796="","",IF(AND(I796="Fail",K796=""),"Classify Issue Source",IF(AND(I796="Fail",W796=""),"Set Confidence",IF(AND(K796="Unknown",W796&lt;&gt;"Low"),"Unknown must be Low confidence",IF(AND(OR(K796="Backend",K796="SAP"),N796=""),"Add HTTP status + endpoint",IF(AND(OR(K796="Backend",K796="SAP",K796="Network"),P796=""),"Add Correlation ID",IF(AND(I796="Fail",T796=""),"Write Root Cause / evidence gap",IF(AND(I796="Fail",V796=""),"Assign team","OK"))))))))</f>
        <v/>
      </c>
    </row>
    <row r="797">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f>IF(I797="","",IF(AND(I797="Fail",K797=""),"Classify Issue Source",IF(AND(I797="Fail",W797=""),"Set Confidence",IF(AND(K797="Unknown",W797&lt;&gt;"Low"),"Unknown must be Low confidence",IF(AND(OR(K797="Backend",K797="SAP"),N797=""),"Add HTTP status + endpoint",IF(AND(OR(K797="Backend",K797="SAP",K797="Network"),P797=""),"Add Correlation ID",IF(AND(I797="Fail",T797=""),"Write Root Cause / evidence gap",IF(AND(I797="Fail",V797=""),"Assign team","OK"))))))))</f>
        <v/>
      </c>
    </row>
    <row r="798">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f>IF(I798="","",IF(AND(I798="Fail",K798=""),"Classify Issue Source",IF(AND(I798="Fail",W798=""),"Set Confidence",IF(AND(K798="Unknown",W798&lt;&gt;"Low"),"Unknown must be Low confidence",IF(AND(OR(K798="Backend",K798="SAP"),N798=""),"Add HTTP status + endpoint",IF(AND(OR(K798="Backend",K798="SAP",K798="Network"),P798=""),"Add Correlation ID",IF(AND(I798="Fail",T798=""),"Write Root Cause / evidence gap",IF(AND(I798="Fail",V798=""),"Assign team","OK"))))))))</f>
        <v/>
      </c>
    </row>
    <row r="79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f>IF(I799="","",IF(AND(I799="Fail",K799=""),"Classify Issue Source",IF(AND(I799="Fail",W799=""),"Set Confidence",IF(AND(K799="Unknown",W799&lt;&gt;"Low"),"Unknown must be Low confidence",IF(AND(OR(K799="Backend",K799="SAP"),N799=""),"Add HTTP status + endpoint",IF(AND(OR(K799="Backend",K799="SAP",K799="Network"),P799=""),"Add Correlation ID",IF(AND(I799="Fail",T799=""),"Write Root Cause / evidence gap",IF(AND(I799="Fail",V799=""),"Assign team","OK"))))))))</f>
        <v/>
      </c>
    </row>
    <row r="800">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f>IF(I800="","",IF(AND(I800="Fail",K800=""),"Classify Issue Source",IF(AND(I800="Fail",W800=""),"Set Confidence",IF(AND(K800="Unknown",W800&lt;&gt;"Low"),"Unknown must be Low confidence",IF(AND(OR(K800="Backend",K800="SAP"),N800=""),"Add HTTP status + endpoint",IF(AND(OR(K800="Backend",K800="SAP",K800="Network"),P800=""),"Add Correlation ID",IF(AND(I800="Fail",T800=""),"Write Root Cause / evidence gap",IF(AND(I800="Fail",V800=""),"Assign team","OK"))))))))</f>
        <v/>
      </c>
    </row>
    <row r="801">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f>IF(I801="","",IF(AND(I801="Fail",K801=""),"Classify Issue Source",IF(AND(I801="Fail",W801=""),"Set Confidence",IF(AND(K801="Unknown",W801&lt;&gt;"Low"),"Unknown must be Low confidence",IF(AND(OR(K801="Backend",K801="SAP"),N801=""),"Add HTTP status + endpoint",IF(AND(OR(K801="Backend",K801="SAP",K801="Network"),P801=""),"Add Correlation ID",IF(AND(I801="Fail",T801=""),"Write Root Cause / evidence gap",IF(AND(I801="Fail",V801=""),"Assign team","OK"))))))))</f>
        <v/>
      </c>
    </row>
    <row r="802">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f>IF(I802="","",IF(AND(I802="Fail",K802=""),"Classify Issue Source",IF(AND(I802="Fail",W802=""),"Set Confidence",IF(AND(K802="Unknown",W802&lt;&gt;"Low"),"Unknown must be Low confidence",IF(AND(OR(K802="Backend",K802="SAP"),N802=""),"Add HTTP status + endpoint",IF(AND(OR(K802="Backend",K802="SAP",K802="Network"),P802=""),"Add Correlation ID",IF(AND(I802="Fail",T802=""),"Write Root Cause / evidence gap",IF(AND(I802="Fail",V802=""),"Assign team","OK"))))))))</f>
        <v/>
      </c>
    </row>
    <row r="803">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f>IF(I803="","",IF(AND(I803="Fail",K803=""),"Classify Issue Source",IF(AND(I803="Fail",W803=""),"Set Confidence",IF(AND(K803="Unknown",W803&lt;&gt;"Low"),"Unknown must be Low confidence",IF(AND(OR(K803="Backend",K803="SAP"),N803=""),"Add HTTP status + endpoint",IF(AND(OR(K803="Backend",K803="SAP",K803="Network"),P803=""),"Add Correlation ID",IF(AND(I803="Fail",T803=""),"Write Root Cause / evidence gap",IF(AND(I803="Fail",V803=""),"Assign team","OK"))))))))</f>
        <v/>
      </c>
    </row>
    <row r="804">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f>IF(I804="","",IF(AND(I804="Fail",K804=""),"Classify Issue Source",IF(AND(I804="Fail",W804=""),"Set Confidence",IF(AND(K804="Unknown",W804&lt;&gt;"Low"),"Unknown must be Low confidence",IF(AND(OR(K804="Backend",K804="SAP"),N804=""),"Add HTTP status + endpoint",IF(AND(OR(K804="Backend",K804="SAP",K804="Network"),P804=""),"Add Correlation ID",IF(AND(I804="Fail",T804=""),"Write Root Cause / evidence gap",IF(AND(I804="Fail",V804=""),"Assign team","OK"))))))))</f>
        <v/>
      </c>
    </row>
    <row r="805">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f>IF(I805="","",IF(AND(I805="Fail",K805=""),"Classify Issue Source",IF(AND(I805="Fail",W805=""),"Set Confidence",IF(AND(K805="Unknown",W805&lt;&gt;"Low"),"Unknown must be Low confidence",IF(AND(OR(K805="Backend",K805="SAP"),N805=""),"Add HTTP status + endpoint",IF(AND(OR(K805="Backend",K805="SAP",K805="Network"),P805=""),"Add Correlation ID",IF(AND(I805="Fail",T805=""),"Write Root Cause / evidence gap",IF(AND(I805="Fail",V805=""),"Assign team","OK"))))))))</f>
        <v/>
      </c>
    </row>
    <row r="806">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f>IF(I806="","",IF(AND(I806="Fail",K806=""),"Classify Issue Source",IF(AND(I806="Fail",W806=""),"Set Confidence",IF(AND(K806="Unknown",W806&lt;&gt;"Low"),"Unknown must be Low confidence",IF(AND(OR(K806="Backend",K806="SAP"),N806=""),"Add HTTP status + endpoint",IF(AND(OR(K806="Backend",K806="SAP",K806="Network"),P806=""),"Add Correlation ID",IF(AND(I806="Fail",T806=""),"Write Root Cause / evidence gap",IF(AND(I806="Fail",V806=""),"Assign team","OK"))))))))</f>
        <v/>
      </c>
    </row>
    <row r="807">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f>IF(I807="","",IF(AND(I807="Fail",K807=""),"Classify Issue Source",IF(AND(I807="Fail",W807=""),"Set Confidence",IF(AND(K807="Unknown",W807&lt;&gt;"Low"),"Unknown must be Low confidence",IF(AND(OR(K807="Backend",K807="SAP"),N807=""),"Add HTTP status + endpoint",IF(AND(OR(K807="Backend",K807="SAP",K807="Network"),P807=""),"Add Correlation ID",IF(AND(I807="Fail",T807=""),"Write Root Cause / evidence gap",IF(AND(I807="Fail",V807=""),"Assign team","OK"))))))))</f>
        <v/>
      </c>
    </row>
    <row r="808">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f>IF(I808="","",IF(AND(I808="Fail",K808=""),"Classify Issue Source",IF(AND(I808="Fail",W808=""),"Set Confidence",IF(AND(K808="Unknown",W808&lt;&gt;"Low"),"Unknown must be Low confidence",IF(AND(OR(K808="Backend",K808="SAP"),N808=""),"Add HTTP status + endpoint",IF(AND(OR(K808="Backend",K808="SAP",K808="Network"),P808=""),"Add Correlation ID",IF(AND(I808="Fail",T808=""),"Write Root Cause / evidence gap",IF(AND(I808="Fail",V808=""),"Assign team","OK"))))))))</f>
        <v/>
      </c>
    </row>
    <row r="80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f>IF(I809="","",IF(AND(I809="Fail",K809=""),"Classify Issue Source",IF(AND(I809="Fail",W809=""),"Set Confidence",IF(AND(K809="Unknown",W809&lt;&gt;"Low"),"Unknown must be Low confidence",IF(AND(OR(K809="Backend",K809="SAP"),N809=""),"Add HTTP status + endpoint",IF(AND(OR(K809="Backend",K809="SAP",K809="Network"),P809=""),"Add Correlation ID",IF(AND(I809="Fail",T809=""),"Write Root Cause / evidence gap",IF(AND(I809="Fail",V809=""),"Assign team","OK"))))))))</f>
        <v/>
      </c>
    </row>
    <row r="810">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f>IF(I810="","",IF(AND(I810="Fail",K810=""),"Classify Issue Source",IF(AND(I810="Fail",W810=""),"Set Confidence",IF(AND(K810="Unknown",W810&lt;&gt;"Low"),"Unknown must be Low confidence",IF(AND(OR(K810="Backend",K810="SAP"),N810=""),"Add HTTP status + endpoint",IF(AND(OR(K810="Backend",K810="SAP",K810="Network"),P810=""),"Add Correlation ID",IF(AND(I810="Fail",T810=""),"Write Root Cause / evidence gap",IF(AND(I810="Fail",V810=""),"Assign team","OK"))))))))</f>
        <v/>
      </c>
    </row>
    <row r="811">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f>IF(I811="","",IF(AND(I811="Fail",K811=""),"Classify Issue Source",IF(AND(I811="Fail",W811=""),"Set Confidence",IF(AND(K811="Unknown",W811&lt;&gt;"Low"),"Unknown must be Low confidence",IF(AND(OR(K811="Backend",K811="SAP"),N811=""),"Add HTTP status + endpoint",IF(AND(OR(K811="Backend",K811="SAP",K811="Network"),P811=""),"Add Correlation ID",IF(AND(I811="Fail",T811=""),"Write Root Cause / evidence gap",IF(AND(I811="Fail",V811=""),"Assign team","OK"))))))))</f>
        <v/>
      </c>
    </row>
    <row r="812">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f>IF(I812="","",IF(AND(I812="Fail",K812=""),"Classify Issue Source",IF(AND(I812="Fail",W812=""),"Set Confidence",IF(AND(K812="Unknown",W812&lt;&gt;"Low"),"Unknown must be Low confidence",IF(AND(OR(K812="Backend",K812="SAP"),N812=""),"Add HTTP status + endpoint",IF(AND(OR(K812="Backend",K812="SAP",K812="Network"),P812=""),"Add Correlation ID",IF(AND(I812="Fail",T812=""),"Write Root Cause / evidence gap",IF(AND(I812="Fail",V812=""),"Assign team","OK"))))))))</f>
        <v/>
      </c>
    </row>
    <row r="813">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f>IF(I813="","",IF(AND(I813="Fail",K813=""),"Classify Issue Source",IF(AND(I813="Fail",W813=""),"Set Confidence",IF(AND(K813="Unknown",W813&lt;&gt;"Low"),"Unknown must be Low confidence",IF(AND(OR(K813="Backend",K813="SAP"),N813=""),"Add HTTP status + endpoint",IF(AND(OR(K813="Backend",K813="SAP",K813="Network"),P813=""),"Add Correlation ID",IF(AND(I813="Fail",T813=""),"Write Root Cause / evidence gap",IF(AND(I813="Fail",V813=""),"Assign team","OK"))))))))</f>
        <v/>
      </c>
    </row>
    <row r="814">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f>IF(I814="","",IF(AND(I814="Fail",K814=""),"Classify Issue Source",IF(AND(I814="Fail",W814=""),"Set Confidence",IF(AND(K814="Unknown",W814&lt;&gt;"Low"),"Unknown must be Low confidence",IF(AND(OR(K814="Backend",K814="SAP"),N814=""),"Add HTTP status + endpoint",IF(AND(OR(K814="Backend",K814="SAP",K814="Network"),P814=""),"Add Correlation ID",IF(AND(I814="Fail",T814=""),"Write Root Cause / evidence gap",IF(AND(I814="Fail",V814=""),"Assign team","OK"))))))))</f>
        <v/>
      </c>
    </row>
    <row r="815">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f>IF(I815="","",IF(AND(I815="Fail",K815=""),"Classify Issue Source",IF(AND(I815="Fail",W815=""),"Set Confidence",IF(AND(K815="Unknown",W815&lt;&gt;"Low"),"Unknown must be Low confidence",IF(AND(OR(K815="Backend",K815="SAP"),N815=""),"Add HTTP status + endpoint",IF(AND(OR(K815="Backend",K815="SAP",K815="Network"),P815=""),"Add Correlation ID",IF(AND(I815="Fail",T815=""),"Write Root Cause / evidence gap",IF(AND(I815="Fail",V815=""),"Assign team","OK"))))))))</f>
        <v/>
      </c>
    </row>
    <row r="816">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f>IF(I816="","",IF(AND(I816="Fail",K816=""),"Classify Issue Source",IF(AND(I816="Fail",W816=""),"Set Confidence",IF(AND(K816="Unknown",W816&lt;&gt;"Low"),"Unknown must be Low confidence",IF(AND(OR(K816="Backend",K816="SAP"),N816=""),"Add HTTP status + endpoint",IF(AND(OR(K816="Backend",K816="SAP",K816="Network"),P816=""),"Add Correlation ID",IF(AND(I816="Fail",T816=""),"Write Root Cause / evidence gap",IF(AND(I816="Fail",V816=""),"Assign team","OK"))))))))</f>
        <v/>
      </c>
    </row>
    <row r="817">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f>IF(I817="","",IF(AND(I817="Fail",K817=""),"Classify Issue Source",IF(AND(I817="Fail",W817=""),"Set Confidence",IF(AND(K817="Unknown",W817&lt;&gt;"Low"),"Unknown must be Low confidence",IF(AND(OR(K817="Backend",K817="SAP"),N817=""),"Add HTTP status + endpoint",IF(AND(OR(K817="Backend",K817="SAP",K817="Network"),P817=""),"Add Correlation ID",IF(AND(I817="Fail",T817=""),"Write Root Cause / evidence gap",IF(AND(I817="Fail",V817=""),"Assign team","OK"))))))))</f>
        <v/>
      </c>
    </row>
    <row r="818">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f>IF(I818="","",IF(AND(I818="Fail",K818=""),"Classify Issue Source",IF(AND(I818="Fail",W818=""),"Set Confidence",IF(AND(K818="Unknown",W818&lt;&gt;"Low"),"Unknown must be Low confidence",IF(AND(OR(K818="Backend",K818="SAP"),N818=""),"Add HTTP status + endpoint",IF(AND(OR(K818="Backend",K818="SAP",K818="Network"),P818=""),"Add Correlation ID",IF(AND(I818="Fail",T818=""),"Write Root Cause / evidence gap",IF(AND(I818="Fail",V818=""),"Assign team","OK"))))))))</f>
        <v/>
      </c>
    </row>
    <row r="81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f>IF(I819="","",IF(AND(I819="Fail",K819=""),"Classify Issue Source",IF(AND(I819="Fail",W819=""),"Set Confidence",IF(AND(K819="Unknown",W819&lt;&gt;"Low"),"Unknown must be Low confidence",IF(AND(OR(K819="Backend",K819="SAP"),N819=""),"Add HTTP status + endpoint",IF(AND(OR(K819="Backend",K819="SAP",K819="Network"),P819=""),"Add Correlation ID",IF(AND(I819="Fail",T819=""),"Write Root Cause / evidence gap",IF(AND(I819="Fail",V819=""),"Assign team","OK"))))))))</f>
        <v/>
      </c>
    </row>
    <row r="820">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f>IF(I820="","",IF(AND(I820="Fail",K820=""),"Classify Issue Source",IF(AND(I820="Fail",W820=""),"Set Confidence",IF(AND(K820="Unknown",W820&lt;&gt;"Low"),"Unknown must be Low confidence",IF(AND(OR(K820="Backend",K820="SAP"),N820=""),"Add HTTP status + endpoint",IF(AND(OR(K820="Backend",K820="SAP",K820="Network"),P820=""),"Add Correlation ID",IF(AND(I820="Fail",T820=""),"Write Root Cause / evidence gap",IF(AND(I820="Fail",V820=""),"Assign team","OK"))))))))</f>
        <v/>
      </c>
    </row>
    <row r="821">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f>IF(I821="","",IF(AND(I821="Fail",K821=""),"Classify Issue Source",IF(AND(I821="Fail",W821=""),"Set Confidence",IF(AND(K821="Unknown",W821&lt;&gt;"Low"),"Unknown must be Low confidence",IF(AND(OR(K821="Backend",K821="SAP"),N821=""),"Add HTTP status + endpoint",IF(AND(OR(K821="Backend",K821="SAP",K821="Network"),P821=""),"Add Correlation ID",IF(AND(I821="Fail",T821=""),"Write Root Cause / evidence gap",IF(AND(I821="Fail",V821=""),"Assign team","OK"))))))))</f>
        <v/>
      </c>
    </row>
    <row r="822">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f>IF(I822="","",IF(AND(I822="Fail",K822=""),"Classify Issue Source",IF(AND(I822="Fail",W822=""),"Set Confidence",IF(AND(K822="Unknown",W822&lt;&gt;"Low"),"Unknown must be Low confidence",IF(AND(OR(K822="Backend",K822="SAP"),N822=""),"Add HTTP status + endpoint",IF(AND(OR(K822="Backend",K822="SAP",K822="Network"),P822=""),"Add Correlation ID",IF(AND(I822="Fail",T822=""),"Write Root Cause / evidence gap",IF(AND(I822="Fail",V822=""),"Assign team","OK"))))))))</f>
        <v/>
      </c>
    </row>
    <row r="823">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f>IF(I823="","",IF(AND(I823="Fail",K823=""),"Classify Issue Source",IF(AND(I823="Fail",W823=""),"Set Confidence",IF(AND(K823="Unknown",W823&lt;&gt;"Low"),"Unknown must be Low confidence",IF(AND(OR(K823="Backend",K823="SAP"),N823=""),"Add HTTP status + endpoint",IF(AND(OR(K823="Backend",K823="SAP",K823="Network"),P823=""),"Add Correlation ID",IF(AND(I823="Fail",T823=""),"Write Root Cause / evidence gap",IF(AND(I823="Fail",V823=""),"Assign team","OK"))))))))</f>
        <v/>
      </c>
    </row>
    <row r="824">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f>IF(I824="","",IF(AND(I824="Fail",K824=""),"Classify Issue Source",IF(AND(I824="Fail",W824=""),"Set Confidence",IF(AND(K824="Unknown",W824&lt;&gt;"Low"),"Unknown must be Low confidence",IF(AND(OR(K824="Backend",K824="SAP"),N824=""),"Add HTTP status + endpoint",IF(AND(OR(K824="Backend",K824="SAP",K824="Network"),P824=""),"Add Correlation ID",IF(AND(I824="Fail",T824=""),"Write Root Cause / evidence gap",IF(AND(I824="Fail",V824=""),"Assign team","OK"))))))))</f>
        <v/>
      </c>
    </row>
    <row r="825">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f>IF(I825="","",IF(AND(I825="Fail",K825=""),"Classify Issue Source",IF(AND(I825="Fail",W825=""),"Set Confidence",IF(AND(K825="Unknown",W825&lt;&gt;"Low"),"Unknown must be Low confidence",IF(AND(OR(K825="Backend",K825="SAP"),N825=""),"Add HTTP status + endpoint",IF(AND(OR(K825="Backend",K825="SAP",K825="Network"),P825=""),"Add Correlation ID",IF(AND(I825="Fail",T825=""),"Write Root Cause / evidence gap",IF(AND(I825="Fail",V825=""),"Assign team","OK"))))))))</f>
        <v/>
      </c>
    </row>
    <row r="826">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f>IF(I826="","",IF(AND(I826="Fail",K826=""),"Classify Issue Source",IF(AND(I826="Fail",W826=""),"Set Confidence",IF(AND(K826="Unknown",W826&lt;&gt;"Low"),"Unknown must be Low confidence",IF(AND(OR(K826="Backend",K826="SAP"),N826=""),"Add HTTP status + endpoint",IF(AND(OR(K826="Backend",K826="SAP",K826="Network"),P826=""),"Add Correlation ID",IF(AND(I826="Fail",T826=""),"Write Root Cause / evidence gap",IF(AND(I826="Fail",V826=""),"Assign team","OK"))))))))</f>
        <v/>
      </c>
    </row>
    <row r="827">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f>IF(I827="","",IF(AND(I827="Fail",K827=""),"Classify Issue Source",IF(AND(I827="Fail",W827=""),"Set Confidence",IF(AND(K827="Unknown",W827&lt;&gt;"Low"),"Unknown must be Low confidence",IF(AND(OR(K827="Backend",K827="SAP"),N827=""),"Add HTTP status + endpoint",IF(AND(OR(K827="Backend",K827="SAP",K827="Network"),P827=""),"Add Correlation ID",IF(AND(I827="Fail",T827=""),"Write Root Cause / evidence gap",IF(AND(I827="Fail",V827=""),"Assign team","OK"))))))))</f>
        <v/>
      </c>
    </row>
    <row r="828">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f>IF(I828="","",IF(AND(I828="Fail",K828=""),"Classify Issue Source",IF(AND(I828="Fail",W828=""),"Set Confidence",IF(AND(K828="Unknown",W828&lt;&gt;"Low"),"Unknown must be Low confidence",IF(AND(OR(K828="Backend",K828="SAP"),N828=""),"Add HTTP status + endpoint",IF(AND(OR(K828="Backend",K828="SAP",K828="Network"),P828=""),"Add Correlation ID",IF(AND(I828="Fail",T828=""),"Write Root Cause / evidence gap",IF(AND(I828="Fail",V828=""),"Assign team","OK"))))))))</f>
        <v/>
      </c>
    </row>
    <row r="82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f>IF(I829="","",IF(AND(I829="Fail",K829=""),"Classify Issue Source",IF(AND(I829="Fail",W829=""),"Set Confidence",IF(AND(K829="Unknown",W829&lt;&gt;"Low"),"Unknown must be Low confidence",IF(AND(OR(K829="Backend",K829="SAP"),N829=""),"Add HTTP status + endpoint",IF(AND(OR(K829="Backend",K829="SAP",K829="Network"),P829=""),"Add Correlation ID",IF(AND(I829="Fail",T829=""),"Write Root Cause / evidence gap",IF(AND(I829="Fail",V829=""),"Assign team","OK"))))))))</f>
        <v/>
      </c>
    </row>
    <row r="830">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f>IF(I830="","",IF(AND(I830="Fail",K830=""),"Classify Issue Source",IF(AND(I830="Fail",W830=""),"Set Confidence",IF(AND(K830="Unknown",W830&lt;&gt;"Low"),"Unknown must be Low confidence",IF(AND(OR(K830="Backend",K830="SAP"),N830=""),"Add HTTP status + endpoint",IF(AND(OR(K830="Backend",K830="SAP",K830="Network"),P830=""),"Add Correlation ID",IF(AND(I830="Fail",T830=""),"Write Root Cause / evidence gap",IF(AND(I830="Fail",V830=""),"Assign team","OK"))))))))</f>
        <v/>
      </c>
    </row>
    <row r="831">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f>IF(I831="","",IF(AND(I831="Fail",K831=""),"Classify Issue Source",IF(AND(I831="Fail",W831=""),"Set Confidence",IF(AND(K831="Unknown",W831&lt;&gt;"Low"),"Unknown must be Low confidence",IF(AND(OR(K831="Backend",K831="SAP"),N831=""),"Add HTTP status + endpoint",IF(AND(OR(K831="Backend",K831="SAP",K831="Network"),P831=""),"Add Correlation ID",IF(AND(I831="Fail",T831=""),"Write Root Cause / evidence gap",IF(AND(I831="Fail",V831=""),"Assign team","OK"))))))))</f>
        <v/>
      </c>
    </row>
    <row r="832">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f>IF(I832="","",IF(AND(I832="Fail",K832=""),"Classify Issue Source",IF(AND(I832="Fail",W832=""),"Set Confidence",IF(AND(K832="Unknown",W832&lt;&gt;"Low"),"Unknown must be Low confidence",IF(AND(OR(K832="Backend",K832="SAP"),N832=""),"Add HTTP status + endpoint",IF(AND(OR(K832="Backend",K832="SAP",K832="Network"),P832=""),"Add Correlation ID",IF(AND(I832="Fail",T832=""),"Write Root Cause / evidence gap",IF(AND(I832="Fail",V832=""),"Assign team","OK"))))))))</f>
        <v/>
      </c>
    </row>
    <row r="833">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f>IF(I833="","",IF(AND(I833="Fail",K833=""),"Classify Issue Source",IF(AND(I833="Fail",W833=""),"Set Confidence",IF(AND(K833="Unknown",W833&lt;&gt;"Low"),"Unknown must be Low confidence",IF(AND(OR(K833="Backend",K833="SAP"),N833=""),"Add HTTP status + endpoint",IF(AND(OR(K833="Backend",K833="SAP",K833="Network"),P833=""),"Add Correlation ID",IF(AND(I833="Fail",T833=""),"Write Root Cause / evidence gap",IF(AND(I833="Fail",V833=""),"Assign team","OK"))))))))</f>
        <v/>
      </c>
    </row>
    <row r="834">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f>IF(I834="","",IF(AND(I834="Fail",K834=""),"Classify Issue Source",IF(AND(I834="Fail",W834=""),"Set Confidence",IF(AND(K834="Unknown",W834&lt;&gt;"Low"),"Unknown must be Low confidence",IF(AND(OR(K834="Backend",K834="SAP"),N834=""),"Add HTTP status + endpoint",IF(AND(OR(K834="Backend",K834="SAP",K834="Network"),P834=""),"Add Correlation ID",IF(AND(I834="Fail",T834=""),"Write Root Cause / evidence gap",IF(AND(I834="Fail",V834=""),"Assign team","OK"))))))))</f>
        <v/>
      </c>
    </row>
    <row r="835">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f>IF(I835="","",IF(AND(I835="Fail",K835=""),"Classify Issue Source",IF(AND(I835="Fail",W835=""),"Set Confidence",IF(AND(K835="Unknown",W835&lt;&gt;"Low"),"Unknown must be Low confidence",IF(AND(OR(K835="Backend",K835="SAP"),N835=""),"Add HTTP status + endpoint",IF(AND(OR(K835="Backend",K835="SAP",K835="Network"),P835=""),"Add Correlation ID",IF(AND(I835="Fail",T835=""),"Write Root Cause / evidence gap",IF(AND(I835="Fail",V835=""),"Assign team","OK"))))))))</f>
        <v/>
      </c>
    </row>
    <row r="836">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f>IF(I836="","",IF(AND(I836="Fail",K836=""),"Classify Issue Source",IF(AND(I836="Fail",W836=""),"Set Confidence",IF(AND(K836="Unknown",W836&lt;&gt;"Low"),"Unknown must be Low confidence",IF(AND(OR(K836="Backend",K836="SAP"),N836=""),"Add HTTP status + endpoint",IF(AND(OR(K836="Backend",K836="SAP",K836="Network"),P836=""),"Add Correlation ID",IF(AND(I836="Fail",T836=""),"Write Root Cause / evidence gap",IF(AND(I836="Fail",V836=""),"Assign team","OK"))))))))</f>
        <v/>
      </c>
    </row>
    <row r="837">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f>IF(I837="","",IF(AND(I837="Fail",K837=""),"Classify Issue Source",IF(AND(I837="Fail",W837=""),"Set Confidence",IF(AND(K837="Unknown",W837&lt;&gt;"Low"),"Unknown must be Low confidence",IF(AND(OR(K837="Backend",K837="SAP"),N837=""),"Add HTTP status + endpoint",IF(AND(OR(K837="Backend",K837="SAP",K837="Network"),P837=""),"Add Correlation ID",IF(AND(I837="Fail",T837=""),"Write Root Cause / evidence gap",IF(AND(I837="Fail",V837=""),"Assign team","OK"))))))))</f>
        <v/>
      </c>
    </row>
    <row r="838">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f>IF(I838="","",IF(AND(I838="Fail",K838=""),"Classify Issue Source",IF(AND(I838="Fail",W838=""),"Set Confidence",IF(AND(K838="Unknown",W838&lt;&gt;"Low"),"Unknown must be Low confidence",IF(AND(OR(K838="Backend",K838="SAP"),N838=""),"Add HTTP status + endpoint",IF(AND(OR(K838="Backend",K838="SAP",K838="Network"),P838=""),"Add Correlation ID",IF(AND(I838="Fail",T838=""),"Write Root Cause / evidence gap",IF(AND(I838="Fail",V838=""),"Assign team","OK"))))))))</f>
        <v/>
      </c>
    </row>
    <row r="83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f>IF(I839="","",IF(AND(I839="Fail",K839=""),"Classify Issue Source",IF(AND(I839="Fail",W839=""),"Set Confidence",IF(AND(K839="Unknown",W839&lt;&gt;"Low"),"Unknown must be Low confidence",IF(AND(OR(K839="Backend",K839="SAP"),N839=""),"Add HTTP status + endpoint",IF(AND(OR(K839="Backend",K839="SAP",K839="Network"),P839=""),"Add Correlation ID",IF(AND(I839="Fail",T839=""),"Write Root Cause / evidence gap",IF(AND(I839="Fail",V839=""),"Assign team","OK"))))))))</f>
        <v/>
      </c>
    </row>
    <row r="840">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f>IF(I840="","",IF(AND(I840="Fail",K840=""),"Classify Issue Source",IF(AND(I840="Fail",W840=""),"Set Confidence",IF(AND(K840="Unknown",W840&lt;&gt;"Low"),"Unknown must be Low confidence",IF(AND(OR(K840="Backend",K840="SAP"),N840=""),"Add HTTP status + endpoint",IF(AND(OR(K840="Backend",K840="SAP",K840="Network"),P840=""),"Add Correlation ID",IF(AND(I840="Fail",T840=""),"Write Root Cause / evidence gap",IF(AND(I840="Fail",V840=""),"Assign team","OK"))))))))</f>
        <v/>
      </c>
    </row>
    <row r="841">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f>IF(I841="","",IF(AND(I841="Fail",K841=""),"Classify Issue Source",IF(AND(I841="Fail",W841=""),"Set Confidence",IF(AND(K841="Unknown",W841&lt;&gt;"Low"),"Unknown must be Low confidence",IF(AND(OR(K841="Backend",K841="SAP"),N841=""),"Add HTTP status + endpoint",IF(AND(OR(K841="Backend",K841="SAP",K841="Network"),P841=""),"Add Correlation ID",IF(AND(I841="Fail",T841=""),"Write Root Cause / evidence gap",IF(AND(I841="Fail",V841=""),"Assign team","OK"))))))))</f>
        <v/>
      </c>
    </row>
    <row r="842">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f>IF(I842="","",IF(AND(I842="Fail",K842=""),"Classify Issue Source",IF(AND(I842="Fail",W842=""),"Set Confidence",IF(AND(K842="Unknown",W842&lt;&gt;"Low"),"Unknown must be Low confidence",IF(AND(OR(K842="Backend",K842="SAP"),N842=""),"Add HTTP status + endpoint",IF(AND(OR(K842="Backend",K842="SAP",K842="Network"),P842=""),"Add Correlation ID",IF(AND(I842="Fail",T842=""),"Write Root Cause / evidence gap",IF(AND(I842="Fail",V842=""),"Assign team","OK"))))))))</f>
        <v/>
      </c>
    </row>
    <row r="843">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f>IF(I843="","",IF(AND(I843="Fail",K843=""),"Classify Issue Source",IF(AND(I843="Fail",W843=""),"Set Confidence",IF(AND(K843="Unknown",W843&lt;&gt;"Low"),"Unknown must be Low confidence",IF(AND(OR(K843="Backend",K843="SAP"),N843=""),"Add HTTP status + endpoint",IF(AND(OR(K843="Backend",K843="SAP",K843="Network"),P843=""),"Add Correlation ID",IF(AND(I843="Fail",T843=""),"Write Root Cause / evidence gap",IF(AND(I843="Fail",V843=""),"Assign team","OK"))))))))</f>
        <v/>
      </c>
    </row>
    <row r="844">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f>IF(I844="","",IF(AND(I844="Fail",K844=""),"Classify Issue Source",IF(AND(I844="Fail",W844=""),"Set Confidence",IF(AND(K844="Unknown",W844&lt;&gt;"Low"),"Unknown must be Low confidence",IF(AND(OR(K844="Backend",K844="SAP"),N844=""),"Add HTTP status + endpoint",IF(AND(OR(K844="Backend",K844="SAP",K844="Network"),P844=""),"Add Correlation ID",IF(AND(I844="Fail",T844=""),"Write Root Cause / evidence gap",IF(AND(I844="Fail",V844=""),"Assign team","OK"))))))))</f>
        <v/>
      </c>
    </row>
    <row r="845">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f>IF(I845="","",IF(AND(I845="Fail",K845=""),"Classify Issue Source",IF(AND(I845="Fail",W845=""),"Set Confidence",IF(AND(K845="Unknown",W845&lt;&gt;"Low"),"Unknown must be Low confidence",IF(AND(OR(K845="Backend",K845="SAP"),N845=""),"Add HTTP status + endpoint",IF(AND(OR(K845="Backend",K845="SAP",K845="Network"),P845=""),"Add Correlation ID",IF(AND(I845="Fail",T845=""),"Write Root Cause / evidence gap",IF(AND(I845="Fail",V845=""),"Assign team","OK"))))))))</f>
        <v/>
      </c>
    </row>
    <row r="846">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f>IF(I846="","",IF(AND(I846="Fail",K846=""),"Classify Issue Source",IF(AND(I846="Fail",W846=""),"Set Confidence",IF(AND(K846="Unknown",W846&lt;&gt;"Low"),"Unknown must be Low confidence",IF(AND(OR(K846="Backend",K846="SAP"),N846=""),"Add HTTP status + endpoint",IF(AND(OR(K846="Backend",K846="SAP",K846="Network"),P846=""),"Add Correlation ID",IF(AND(I846="Fail",T846=""),"Write Root Cause / evidence gap",IF(AND(I846="Fail",V846=""),"Assign team","OK"))))))))</f>
        <v/>
      </c>
    </row>
    <row r="847">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f>IF(I847="","",IF(AND(I847="Fail",K847=""),"Classify Issue Source",IF(AND(I847="Fail",W847=""),"Set Confidence",IF(AND(K847="Unknown",W847&lt;&gt;"Low"),"Unknown must be Low confidence",IF(AND(OR(K847="Backend",K847="SAP"),N847=""),"Add HTTP status + endpoint",IF(AND(OR(K847="Backend",K847="SAP",K847="Network"),P847=""),"Add Correlation ID",IF(AND(I847="Fail",T847=""),"Write Root Cause / evidence gap",IF(AND(I847="Fail",V847=""),"Assign team","OK"))))))))</f>
        <v/>
      </c>
    </row>
    <row r="848">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f>IF(I848="","",IF(AND(I848="Fail",K848=""),"Classify Issue Source",IF(AND(I848="Fail",W848=""),"Set Confidence",IF(AND(K848="Unknown",W848&lt;&gt;"Low"),"Unknown must be Low confidence",IF(AND(OR(K848="Backend",K848="SAP"),N848=""),"Add HTTP status + endpoint",IF(AND(OR(K848="Backend",K848="SAP",K848="Network"),P848=""),"Add Correlation ID",IF(AND(I848="Fail",T848=""),"Write Root Cause / evidence gap",IF(AND(I848="Fail",V848=""),"Assign team","OK"))))))))</f>
        <v/>
      </c>
    </row>
    <row r="84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f>IF(I849="","",IF(AND(I849="Fail",K849=""),"Classify Issue Source",IF(AND(I849="Fail",W849=""),"Set Confidence",IF(AND(K849="Unknown",W849&lt;&gt;"Low"),"Unknown must be Low confidence",IF(AND(OR(K849="Backend",K849="SAP"),N849=""),"Add HTTP status + endpoint",IF(AND(OR(K849="Backend",K849="SAP",K849="Network"),P849=""),"Add Correlation ID",IF(AND(I849="Fail",T849=""),"Write Root Cause / evidence gap",IF(AND(I849="Fail",V849=""),"Assign team","OK"))))))))</f>
        <v/>
      </c>
    </row>
    <row r="850">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f>IF(I850="","",IF(AND(I850="Fail",K850=""),"Classify Issue Source",IF(AND(I850="Fail",W850=""),"Set Confidence",IF(AND(K850="Unknown",W850&lt;&gt;"Low"),"Unknown must be Low confidence",IF(AND(OR(K850="Backend",K850="SAP"),N850=""),"Add HTTP status + endpoint",IF(AND(OR(K850="Backend",K850="SAP",K850="Network"),P850=""),"Add Correlation ID",IF(AND(I850="Fail",T850=""),"Write Root Cause / evidence gap",IF(AND(I850="Fail",V850=""),"Assign team","OK"))))))))</f>
        <v/>
      </c>
    </row>
    <row r="851">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f>IF(I851="","",IF(AND(I851="Fail",K851=""),"Classify Issue Source",IF(AND(I851="Fail",W851=""),"Set Confidence",IF(AND(K851="Unknown",W851&lt;&gt;"Low"),"Unknown must be Low confidence",IF(AND(OR(K851="Backend",K851="SAP"),N851=""),"Add HTTP status + endpoint",IF(AND(OR(K851="Backend",K851="SAP",K851="Network"),P851=""),"Add Correlation ID",IF(AND(I851="Fail",T851=""),"Write Root Cause / evidence gap",IF(AND(I851="Fail",V851=""),"Assign team","OK"))))))))</f>
        <v/>
      </c>
    </row>
    <row r="852">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f>IF(I852="","",IF(AND(I852="Fail",K852=""),"Classify Issue Source",IF(AND(I852="Fail",W852=""),"Set Confidence",IF(AND(K852="Unknown",W852&lt;&gt;"Low"),"Unknown must be Low confidence",IF(AND(OR(K852="Backend",K852="SAP"),N852=""),"Add HTTP status + endpoint",IF(AND(OR(K852="Backend",K852="SAP",K852="Network"),P852=""),"Add Correlation ID",IF(AND(I852="Fail",T852=""),"Write Root Cause / evidence gap",IF(AND(I852="Fail",V852=""),"Assign team","OK"))))))))</f>
        <v/>
      </c>
    </row>
    <row r="853">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f>IF(I853="","",IF(AND(I853="Fail",K853=""),"Classify Issue Source",IF(AND(I853="Fail",W853=""),"Set Confidence",IF(AND(K853="Unknown",W853&lt;&gt;"Low"),"Unknown must be Low confidence",IF(AND(OR(K853="Backend",K853="SAP"),N853=""),"Add HTTP status + endpoint",IF(AND(OR(K853="Backend",K853="SAP",K853="Network"),P853=""),"Add Correlation ID",IF(AND(I853="Fail",T853=""),"Write Root Cause / evidence gap",IF(AND(I853="Fail",V853=""),"Assign team","OK"))))))))</f>
        <v/>
      </c>
    </row>
    <row r="854">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f>IF(I854="","",IF(AND(I854="Fail",K854=""),"Classify Issue Source",IF(AND(I854="Fail",W854=""),"Set Confidence",IF(AND(K854="Unknown",W854&lt;&gt;"Low"),"Unknown must be Low confidence",IF(AND(OR(K854="Backend",K854="SAP"),N854=""),"Add HTTP status + endpoint",IF(AND(OR(K854="Backend",K854="SAP",K854="Network"),P854=""),"Add Correlation ID",IF(AND(I854="Fail",T854=""),"Write Root Cause / evidence gap",IF(AND(I854="Fail",V854=""),"Assign team","OK"))))))))</f>
        <v/>
      </c>
    </row>
    <row r="855">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f>IF(I855="","",IF(AND(I855="Fail",K855=""),"Classify Issue Source",IF(AND(I855="Fail",W855=""),"Set Confidence",IF(AND(K855="Unknown",W855&lt;&gt;"Low"),"Unknown must be Low confidence",IF(AND(OR(K855="Backend",K855="SAP"),N855=""),"Add HTTP status + endpoint",IF(AND(OR(K855="Backend",K855="SAP",K855="Network"),P855=""),"Add Correlation ID",IF(AND(I855="Fail",T855=""),"Write Root Cause / evidence gap",IF(AND(I855="Fail",V855=""),"Assign team","OK"))))))))</f>
        <v/>
      </c>
    </row>
    <row r="856">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f>IF(I856="","",IF(AND(I856="Fail",K856=""),"Classify Issue Source",IF(AND(I856="Fail",W856=""),"Set Confidence",IF(AND(K856="Unknown",W856&lt;&gt;"Low"),"Unknown must be Low confidence",IF(AND(OR(K856="Backend",K856="SAP"),N856=""),"Add HTTP status + endpoint",IF(AND(OR(K856="Backend",K856="SAP",K856="Network"),P856=""),"Add Correlation ID",IF(AND(I856="Fail",T856=""),"Write Root Cause / evidence gap",IF(AND(I856="Fail",V856=""),"Assign team","OK"))))))))</f>
        <v/>
      </c>
    </row>
    <row r="857">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f>IF(I857="","",IF(AND(I857="Fail",K857=""),"Classify Issue Source",IF(AND(I857="Fail",W857=""),"Set Confidence",IF(AND(K857="Unknown",W857&lt;&gt;"Low"),"Unknown must be Low confidence",IF(AND(OR(K857="Backend",K857="SAP"),N857=""),"Add HTTP status + endpoint",IF(AND(OR(K857="Backend",K857="SAP",K857="Network"),P857=""),"Add Correlation ID",IF(AND(I857="Fail",T857=""),"Write Root Cause / evidence gap",IF(AND(I857="Fail",V857=""),"Assign team","OK"))))))))</f>
        <v/>
      </c>
    </row>
    <row r="858">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f>IF(I858="","",IF(AND(I858="Fail",K858=""),"Classify Issue Source",IF(AND(I858="Fail",W858=""),"Set Confidence",IF(AND(K858="Unknown",W858&lt;&gt;"Low"),"Unknown must be Low confidence",IF(AND(OR(K858="Backend",K858="SAP"),N858=""),"Add HTTP status + endpoint",IF(AND(OR(K858="Backend",K858="SAP",K858="Network"),P858=""),"Add Correlation ID",IF(AND(I858="Fail",T858=""),"Write Root Cause / evidence gap",IF(AND(I858="Fail",V858=""),"Assign team","OK"))))))))</f>
        <v/>
      </c>
    </row>
    <row r="85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f>IF(I859="","",IF(AND(I859="Fail",K859=""),"Classify Issue Source",IF(AND(I859="Fail",W859=""),"Set Confidence",IF(AND(K859="Unknown",W859&lt;&gt;"Low"),"Unknown must be Low confidence",IF(AND(OR(K859="Backend",K859="SAP"),N859=""),"Add HTTP status + endpoint",IF(AND(OR(K859="Backend",K859="SAP",K859="Network"),P859=""),"Add Correlation ID",IF(AND(I859="Fail",T859=""),"Write Root Cause / evidence gap",IF(AND(I859="Fail",V859=""),"Assign team","OK"))))))))</f>
        <v/>
      </c>
    </row>
    <row r="860">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f>IF(I860="","",IF(AND(I860="Fail",K860=""),"Classify Issue Source",IF(AND(I860="Fail",W860=""),"Set Confidence",IF(AND(K860="Unknown",W860&lt;&gt;"Low"),"Unknown must be Low confidence",IF(AND(OR(K860="Backend",K860="SAP"),N860=""),"Add HTTP status + endpoint",IF(AND(OR(K860="Backend",K860="SAP",K860="Network"),P860=""),"Add Correlation ID",IF(AND(I860="Fail",T860=""),"Write Root Cause / evidence gap",IF(AND(I860="Fail",V860=""),"Assign team","OK"))))))))</f>
        <v/>
      </c>
    </row>
    <row r="861">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f>IF(I861="","",IF(AND(I861="Fail",K861=""),"Classify Issue Source",IF(AND(I861="Fail",W861=""),"Set Confidence",IF(AND(K861="Unknown",W861&lt;&gt;"Low"),"Unknown must be Low confidence",IF(AND(OR(K861="Backend",K861="SAP"),N861=""),"Add HTTP status + endpoint",IF(AND(OR(K861="Backend",K861="SAP",K861="Network"),P861=""),"Add Correlation ID",IF(AND(I861="Fail",T861=""),"Write Root Cause / evidence gap",IF(AND(I861="Fail",V861=""),"Assign team","OK"))))))))</f>
        <v/>
      </c>
    </row>
    <row r="862">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f>IF(I862="","",IF(AND(I862="Fail",K862=""),"Classify Issue Source",IF(AND(I862="Fail",W862=""),"Set Confidence",IF(AND(K862="Unknown",W862&lt;&gt;"Low"),"Unknown must be Low confidence",IF(AND(OR(K862="Backend",K862="SAP"),N862=""),"Add HTTP status + endpoint",IF(AND(OR(K862="Backend",K862="SAP",K862="Network"),P862=""),"Add Correlation ID",IF(AND(I862="Fail",T862=""),"Write Root Cause / evidence gap",IF(AND(I862="Fail",V862=""),"Assign team","OK"))))))))</f>
        <v/>
      </c>
    </row>
    <row r="863">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f>IF(I863="","",IF(AND(I863="Fail",K863=""),"Classify Issue Source",IF(AND(I863="Fail",W863=""),"Set Confidence",IF(AND(K863="Unknown",W863&lt;&gt;"Low"),"Unknown must be Low confidence",IF(AND(OR(K863="Backend",K863="SAP"),N863=""),"Add HTTP status + endpoint",IF(AND(OR(K863="Backend",K863="SAP",K863="Network"),P863=""),"Add Correlation ID",IF(AND(I863="Fail",T863=""),"Write Root Cause / evidence gap",IF(AND(I863="Fail",V863=""),"Assign team","OK"))))))))</f>
        <v/>
      </c>
    </row>
    <row r="864">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f>IF(I864="","",IF(AND(I864="Fail",K864=""),"Classify Issue Source",IF(AND(I864="Fail",W864=""),"Set Confidence",IF(AND(K864="Unknown",W864&lt;&gt;"Low"),"Unknown must be Low confidence",IF(AND(OR(K864="Backend",K864="SAP"),N864=""),"Add HTTP status + endpoint",IF(AND(OR(K864="Backend",K864="SAP",K864="Network"),P864=""),"Add Correlation ID",IF(AND(I864="Fail",T864=""),"Write Root Cause / evidence gap",IF(AND(I864="Fail",V864=""),"Assign team","OK"))))))))</f>
        <v/>
      </c>
    </row>
    <row r="865">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f>IF(I865="","",IF(AND(I865="Fail",K865=""),"Classify Issue Source",IF(AND(I865="Fail",W865=""),"Set Confidence",IF(AND(K865="Unknown",W865&lt;&gt;"Low"),"Unknown must be Low confidence",IF(AND(OR(K865="Backend",K865="SAP"),N865=""),"Add HTTP status + endpoint",IF(AND(OR(K865="Backend",K865="SAP",K865="Network"),P865=""),"Add Correlation ID",IF(AND(I865="Fail",T865=""),"Write Root Cause / evidence gap",IF(AND(I865="Fail",V865=""),"Assign team","OK"))))))))</f>
        <v/>
      </c>
    </row>
    <row r="866">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f>IF(I866="","",IF(AND(I866="Fail",K866=""),"Classify Issue Source",IF(AND(I866="Fail",W866=""),"Set Confidence",IF(AND(K866="Unknown",W866&lt;&gt;"Low"),"Unknown must be Low confidence",IF(AND(OR(K866="Backend",K866="SAP"),N866=""),"Add HTTP status + endpoint",IF(AND(OR(K866="Backend",K866="SAP",K866="Network"),P866=""),"Add Correlation ID",IF(AND(I866="Fail",T866=""),"Write Root Cause / evidence gap",IF(AND(I866="Fail",V866=""),"Assign team","OK"))))))))</f>
        <v/>
      </c>
    </row>
    <row r="867">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f>IF(I867="","",IF(AND(I867="Fail",K867=""),"Classify Issue Source",IF(AND(I867="Fail",W867=""),"Set Confidence",IF(AND(K867="Unknown",W867&lt;&gt;"Low"),"Unknown must be Low confidence",IF(AND(OR(K867="Backend",K867="SAP"),N867=""),"Add HTTP status + endpoint",IF(AND(OR(K867="Backend",K867="SAP",K867="Network"),P867=""),"Add Correlation ID",IF(AND(I867="Fail",T867=""),"Write Root Cause / evidence gap",IF(AND(I867="Fail",V867=""),"Assign team","OK"))))))))</f>
        <v/>
      </c>
    </row>
    <row r="868">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f>IF(I868="","",IF(AND(I868="Fail",K868=""),"Classify Issue Source",IF(AND(I868="Fail",W868=""),"Set Confidence",IF(AND(K868="Unknown",W868&lt;&gt;"Low"),"Unknown must be Low confidence",IF(AND(OR(K868="Backend",K868="SAP"),N868=""),"Add HTTP status + endpoint",IF(AND(OR(K868="Backend",K868="SAP",K868="Network"),P868=""),"Add Correlation ID",IF(AND(I868="Fail",T868=""),"Write Root Cause / evidence gap",IF(AND(I868="Fail",V868=""),"Assign team","OK"))))))))</f>
        <v/>
      </c>
    </row>
    <row r="86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f>IF(I869="","",IF(AND(I869="Fail",K869=""),"Classify Issue Source",IF(AND(I869="Fail",W869=""),"Set Confidence",IF(AND(K869="Unknown",W869&lt;&gt;"Low"),"Unknown must be Low confidence",IF(AND(OR(K869="Backend",K869="SAP"),N869=""),"Add HTTP status + endpoint",IF(AND(OR(K869="Backend",K869="SAP",K869="Network"),P869=""),"Add Correlation ID",IF(AND(I869="Fail",T869=""),"Write Root Cause / evidence gap",IF(AND(I869="Fail",V869=""),"Assign team","OK"))))))))</f>
        <v/>
      </c>
    </row>
    <row r="870">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f>IF(I870="","",IF(AND(I870="Fail",K870=""),"Classify Issue Source",IF(AND(I870="Fail",W870=""),"Set Confidence",IF(AND(K870="Unknown",W870&lt;&gt;"Low"),"Unknown must be Low confidence",IF(AND(OR(K870="Backend",K870="SAP"),N870=""),"Add HTTP status + endpoint",IF(AND(OR(K870="Backend",K870="SAP",K870="Network"),P870=""),"Add Correlation ID",IF(AND(I870="Fail",T870=""),"Write Root Cause / evidence gap",IF(AND(I870="Fail",V870=""),"Assign team","OK"))))))))</f>
        <v/>
      </c>
    </row>
    <row r="871">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f>IF(I871="","",IF(AND(I871="Fail",K871=""),"Classify Issue Source",IF(AND(I871="Fail",W871=""),"Set Confidence",IF(AND(K871="Unknown",W871&lt;&gt;"Low"),"Unknown must be Low confidence",IF(AND(OR(K871="Backend",K871="SAP"),N871=""),"Add HTTP status + endpoint",IF(AND(OR(K871="Backend",K871="SAP",K871="Network"),P871=""),"Add Correlation ID",IF(AND(I871="Fail",T871=""),"Write Root Cause / evidence gap",IF(AND(I871="Fail",V871=""),"Assign team","OK"))))))))</f>
        <v/>
      </c>
    </row>
    <row r="872">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f>IF(I872="","",IF(AND(I872="Fail",K872=""),"Classify Issue Source",IF(AND(I872="Fail",W872=""),"Set Confidence",IF(AND(K872="Unknown",W872&lt;&gt;"Low"),"Unknown must be Low confidence",IF(AND(OR(K872="Backend",K872="SAP"),N872=""),"Add HTTP status + endpoint",IF(AND(OR(K872="Backend",K872="SAP",K872="Network"),P872=""),"Add Correlation ID",IF(AND(I872="Fail",T872=""),"Write Root Cause / evidence gap",IF(AND(I872="Fail",V872=""),"Assign team","OK"))))))))</f>
        <v/>
      </c>
    </row>
    <row r="873">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f>IF(I873="","",IF(AND(I873="Fail",K873=""),"Classify Issue Source",IF(AND(I873="Fail",W873=""),"Set Confidence",IF(AND(K873="Unknown",W873&lt;&gt;"Low"),"Unknown must be Low confidence",IF(AND(OR(K873="Backend",K873="SAP"),N873=""),"Add HTTP status + endpoint",IF(AND(OR(K873="Backend",K873="SAP",K873="Network"),P873=""),"Add Correlation ID",IF(AND(I873="Fail",T873=""),"Write Root Cause / evidence gap",IF(AND(I873="Fail",V873=""),"Assign team","OK"))))))))</f>
        <v/>
      </c>
    </row>
    <row r="874">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f>IF(I874="","",IF(AND(I874="Fail",K874=""),"Classify Issue Source",IF(AND(I874="Fail",W874=""),"Set Confidence",IF(AND(K874="Unknown",W874&lt;&gt;"Low"),"Unknown must be Low confidence",IF(AND(OR(K874="Backend",K874="SAP"),N874=""),"Add HTTP status + endpoint",IF(AND(OR(K874="Backend",K874="SAP",K874="Network"),P874=""),"Add Correlation ID",IF(AND(I874="Fail",T874=""),"Write Root Cause / evidence gap",IF(AND(I874="Fail",V874=""),"Assign team","OK"))))))))</f>
        <v/>
      </c>
    </row>
    <row r="875">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f>IF(I875="","",IF(AND(I875="Fail",K875=""),"Classify Issue Source",IF(AND(I875="Fail",W875=""),"Set Confidence",IF(AND(K875="Unknown",W875&lt;&gt;"Low"),"Unknown must be Low confidence",IF(AND(OR(K875="Backend",K875="SAP"),N875=""),"Add HTTP status + endpoint",IF(AND(OR(K875="Backend",K875="SAP",K875="Network"),P875=""),"Add Correlation ID",IF(AND(I875="Fail",T875=""),"Write Root Cause / evidence gap",IF(AND(I875="Fail",V875=""),"Assign team","OK"))))))))</f>
        <v/>
      </c>
    </row>
    <row r="876">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f>IF(I876="","",IF(AND(I876="Fail",K876=""),"Classify Issue Source",IF(AND(I876="Fail",W876=""),"Set Confidence",IF(AND(K876="Unknown",W876&lt;&gt;"Low"),"Unknown must be Low confidence",IF(AND(OR(K876="Backend",K876="SAP"),N876=""),"Add HTTP status + endpoint",IF(AND(OR(K876="Backend",K876="SAP",K876="Network"),P876=""),"Add Correlation ID",IF(AND(I876="Fail",T876=""),"Write Root Cause / evidence gap",IF(AND(I876="Fail",V876=""),"Assign team","OK"))))))))</f>
        <v/>
      </c>
    </row>
    <row r="877">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f>IF(I877="","",IF(AND(I877="Fail",K877=""),"Classify Issue Source",IF(AND(I877="Fail",W877=""),"Set Confidence",IF(AND(K877="Unknown",W877&lt;&gt;"Low"),"Unknown must be Low confidence",IF(AND(OR(K877="Backend",K877="SAP"),N877=""),"Add HTTP status + endpoint",IF(AND(OR(K877="Backend",K877="SAP",K877="Network"),P877=""),"Add Correlation ID",IF(AND(I877="Fail",T877=""),"Write Root Cause / evidence gap",IF(AND(I877="Fail",V877=""),"Assign team","OK"))))))))</f>
        <v/>
      </c>
    </row>
    <row r="878">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f>IF(I878="","",IF(AND(I878="Fail",K878=""),"Classify Issue Source",IF(AND(I878="Fail",W878=""),"Set Confidence",IF(AND(K878="Unknown",W878&lt;&gt;"Low"),"Unknown must be Low confidence",IF(AND(OR(K878="Backend",K878="SAP"),N878=""),"Add HTTP status + endpoint",IF(AND(OR(K878="Backend",K878="SAP",K878="Network"),P878=""),"Add Correlation ID",IF(AND(I878="Fail",T878=""),"Write Root Cause / evidence gap",IF(AND(I878="Fail",V878=""),"Assign team","OK"))))))))</f>
        <v/>
      </c>
    </row>
    <row r="8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f>IF(I879="","",IF(AND(I879="Fail",K879=""),"Classify Issue Source",IF(AND(I879="Fail",W879=""),"Set Confidence",IF(AND(K879="Unknown",W879&lt;&gt;"Low"),"Unknown must be Low confidence",IF(AND(OR(K879="Backend",K879="SAP"),N879=""),"Add HTTP status + endpoint",IF(AND(OR(K879="Backend",K879="SAP",K879="Network"),P879=""),"Add Correlation ID",IF(AND(I879="Fail",T879=""),"Write Root Cause / evidence gap",IF(AND(I879="Fail",V879=""),"Assign team","OK"))))))))</f>
        <v/>
      </c>
    </row>
    <row r="880">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f>IF(I880="","",IF(AND(I880="Fail",K880=""),"Classify Issue Source",IF(AND(I880="Fail",W880=""),"Set Confidence",IF(AND(K880="Unknown",W880&lt;&gt;"Low"),"Unknown must be Low confidence",IF(AND(OR(K880="Backend",K880="SAP"),N880=""),"Add HTTP status + endpoint",IF(AND(OR(K880="Backend",K880="SAP",K880="Network"),P880=""),"Add Correlation ID",IF(AND(I880="Fail",T880=""),"Write Root Cause / evidence gap",IF(AND(I880="Fail",V880=""),"Assign team","OK"))))))))</f>
        <v/>
      </c>
    </row>
    <row r="881">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f>IF(I881="","",IF(AND(I881="Fail",K881=""),"Classify Issue Source",IF(AND(I881="Fail",W881=""),"Set Confidence",IF(AND(K881="Unknown",W881&lt;&gt;"Low"),"Unknown must be Low confidence",IF(AND(OR(K881="Backend",K881="SAP"),N881=""),"Add HTTP status + endpoint",IF(AND(OR(K881="Backend",K881="SAP",K881="Network"),P881=""),"Add Correlation ID",IF(AND(I881="Fail",T881=""),"Write Root Cause / evidence gap",IF(AND(I881="Fail",V881=""),"Assign team","OK"))))))))</f>
        <v/>
      </c>
    </row>
    <row r="882">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f>IF(I882="","",IF(AND(I882="Fail",K882=""),"Classify Issue Source",IF(AND(I882="Fail",W882=""),"Set Confidence",IF(AND(K882="Unknown",W882&lt;&gt;"Low"),"Unknown must be Low confidence",IF(AND(OR(K882="Backend",K882="SAP"),N882=""),"Add HTTP status + endpoint",IF(AND(OR(K882="Backend",K882="SAP",K882="Network"),P882=""),"Add Correlation ID",IF(AND(I882="Fail",T882=""),"Write Root Cause / evidence gap",IF(AND(I882="Fail",V882=""),"Assign team","OK"))))))))</f>
        <v/>
      </c>
    </row>
    <row r="883">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f>IF(I883="","",IF(AND(I883="Fail",K883=""),"Classify Issue Source",IF(AND(I883="Fail",W883=""),"Set Confidence",IF(AND(K883="Unknown",W883&lt;&gt;"Low"),"Unknown must be Low confidence",IF(AND(OR(K883="Backend",K883="SAP"),N883=""),"Add HTTP status + endpoint",IF(AND(OR(K883="Backend",K883="SAP",K883="Network"),P883=""),"Add Correlation ID",IF(AND(I883="Fail",T883=""),"Write Root Cause / evidence gap",IF(AND(I883="Fail",V883=""),"Assign team","OK"))))))))</f>
        <v/>
      </c>
    </row>
    <row r="884">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f>IF(I884="","",IF(AND(I884="Fail",K884=""),"Classify Issue Source",IF(AND(I884="Fail",W884=""),"Set Confidence",IF(AND(K884="Unknown",W884&lt;&gt;"Low"),"Unknown must be Low confidence",IF(AND(OR(K884="Backend",K884="SAP"),N884=""),"Add HTTP status + endpoint",IF(AND(OR(K884="Backend",K884="SAP",K884="Network"),P884=""),"Add Correlation ID",IF(AND(I884="Fail",T884=""),"Write Root Cause / evidence gap",IF(AND(I884="Fail",V884=""),"Assign team","OK"))))))))</f>
        <v/>
      </c>
    </row>
    <row r="885">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f>IF(I885="","",IF(AND(I885="Fail",K885=""),"Classify Issue Source",IF(AND(I885="Fail",W885=""),"Set Confidence",IF(AND(K885="Unknown",W885&lt;&gt;"Low"),"Unknown must be Low confidence",IF(AND(OR(K885="Backend",K885="SAP"),N885=""),"Add HTTP status + endpoint",IF(AND(OR(K885="Backend",K885="SAP",K885="Network"),P885=""),"Add Correlation ID",IF(AND(I885="Fail",T885=""),"Write Root Cause / evidence gap",IF(AND(I885="Fail",V885=""),"Assign team","OK"))))))))</f>
        <v/>
      </c>
    </row>
    <row r="886">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f>IF(I886="","",IF(AND(I886="Fail",K886=""),"Classify Issue Source",IF(AND(I886="Fail",W886=""),"Set Confidence",IF(AND(K886="Unknown",W886&lt;&gt;"Low"),"Unknown must be Low confidence",IF(AND(OR(K886="Backend",K886="SAP"),N886=""),"Add HTTP status + endpoint",IF(AND(OR(K886="Backend",K886="SAP",K886="Network"),P886=""),"Add Correlation ID",IF(AND(I886="Fail",T886=""),"Write Root Cause / evidence gap",IF(AND(I886="Fail",V886=""),"Assign team","OK"))))))))</f>
        <v/>
      </c>
    </row>
    <row r="887">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f>IF(I887="","",IF(AND(I887="Fail",K887=""),"Classify Issue Source",IF(AND(I887="Fail",W887=""),"Set Confidence",IF(AND(K887="Unknown",W887&lt;&gt;"Low"),"Unknown must be Low confidence",IF(AND(OR(K887="Backend",K887="SAP"),N887=""),"Add HTTP status + endpoint",IF(AND(OR(K887="Backend",K887="SAP",K887="Network"),P887=""),"Add Correlation ID",IF(AND(I887="Fail",T887=""),"Write Root Cause / evidence gap",IF(AND(I887="Fail",V887=""),"Assign team","OK"))))))))</f>
        <v/>
      </c>
    </row>
    <row r="888">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f>IF(I888="","",IF(AND(I888="Fail",K888=""),"Classify Issue Source",IF(AND(I888="Fail",W888=""),"Set Confidence",IF(AND(K888="Unknown",W888&lt;&gt;"Low"),"Unknown must be Low confidence",IF(AND(OR(K888="Backend",K888="SAP"),N888=""),"Add HTTP status + endpoint",IF(AND(OR(K888="Backend",K888="SAP",K888="Network"),P888=""),"Add Correlation ID",IF(AND(I888="Fail",T888=""),"Write Root Cause / evidence gap",IF(AND(I888="Fail",V888=""),"Assign team","OK"))))))))</f>
        <v/>
      </c>
    </row>
    <row r="88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f>IF(I889="","",IF(AND(I889="Fail",K889=""),"Classify Issue Source",IF(AND(I889="Fail",W889=""),"Set Confidence",IF(AND(K889="Unknown",W889&lt;&gt;"Low"),"Unknown must be Low confidence",IF(AND(OR(K889="Backend",K889="SAP"),N889=""),"Add HTTP status + endpoint",IF(AND(OR(K889="Backend",K889="SAP",K889="Network"),P889=""),"Add Correlation ID",IF(AND(I889="Fail",T889=""),"Write Root Cause / evidence gap",IF(AND(I889="Fail",V889=""),"Assign team","OK"))))))))</f>
        <v/>
      </c>
    </row>
    <row r="890">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f>IF(I890="","",IF(AND(I890="Fail",K890=""),"Classify Issue Source",IF(AND(I890="Fail",W890=""),"Set Confidence",IF(AND(K890="Unknown",W890&lt;&gt;"Low"),"Unknown must be Low confidence",IF(AND(OR(K890="Backend",K890="SAP"),N890=""),"Add HTTP status + endpoint",IF(AND(OR(K890="Backend",K890="SAP",K890="Network"),P890=""),"Add Correlation ID",IF(AND(I890="Fail",T890=""),"Write Root Cause / evidence gap",IF(AND(I890="Fail",V890=""),"Assign team","OK"))))))))</f>
        <v/>
      </c>
    </row>
    <row r="891">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f>IF(I891="","",IF(AND(I891="Fail",K891=""),"Classify Issue Source",IF(AND(I891="Fail",W891=""),"Set Confidence",IF(AND(K891="Unknown",W891&lt;&gt;"Low"),"Unknown must be Low confidence",IF(AND(OR(K891="Backend",K891="SAP"),N891=""),"Add HTTP status + endpoint",IF(AND(OR(K891="Backend",K891="SAP",K891="Network"),P891=""),"Add Correlation ID",IF(AND(I891="Fail",T891=""),"Write Root Cause / evidence gap",IF(AND(I891="Fail",V891=""),"Assign team","OK"))))))))</f>
        <v/>
      </c>
    </row>
    <row r="892">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f>IF(I892="","",IF(AND(I892="Fail",K892=""),"Classify Issue Source",IF(AND(I892="Fail",W892=""),"Set Confidence",IF(AND(K892="Unknown",W892&lt;&gt;"Low"),"Unknown must be Low confidence",IF(AND(OR(K892="Backend",K892="SAP"),N892=""),"Add HTTP status + endpoint",IF(AND(OR(K892="Backend",K892="SAP",K892="Network"),P892=""),"Add Correlation ID",IF(AND(I892="Fail",T892=""),"Write Root Cause / evidence gap",IF(AND(I892="Fail",V892=""),"Assign team","OK"))))))))</f>
        <v/>
      </c>
    </row>
    <row r="893">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f>IF(I893="","",IF(AND(I893="Fail",K893=""),"Classify Issue Source",IF(AND(I893="Fail",W893=""),"Set Confidence",IF(AND(K893="Unknown",W893&lt;&gt;"Low"),"Unknown must be Low confidence",IF(AND(OR(K893="Backend",K893="SAP"),N893=""),"Add HTTP status + endpoint",IF(AND(OR(K893="Backend",K893="SAP",K893="Network"),P893=""),"Add Correlation ID",IF(AND(I893="Fail",T893=""),"Write Root Cause / evidence gap",IF(AND(I893="Fail",V893=""),"Assign team","OK"))))))))</f>
        <v/>
      </c>
    </row>
    <row r="894">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f>IF(I894="","",IF(AND(I894="Fail",K894=""),"Classify Issue Source",IF(AND(I894="Fail",W894=""),"Set Confidence",IF(AND(K894="Unknown",W894&lt;&gt;"Low"),"Unknown must be Low confidence",IF(AND(OR(K894="Backend",K894="SAP"),N894=""),"Add HTTP status + endpoint",IF(AND(OR(K894="Backend",K894="SAP",K894="Network"),P894=""),"Add Correlation ID",IF(AND(I894="Fail",T894=""),"Write Root Cause / evidence gap",IF(AND(I894="Fail",V894=""),"Assign team","OK"))))))))</f>
        <v/>
      </c>
    </row>
    <row r="895">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f>IF(I895="","",IF(AND(I895="Fail",K895=""),"Classify Issue Source",IF(AND(I895="Fail",W895=""),"Set Confidence",IF(AND(K895="Unknown",W895&lt;&gt;"Low"),"Unknown must be Low confidence",IF(AND(OR(K895="Backend",K895="SAP"),N895=""),"Add HTTP status + endpoint",IF(AND(OR(K895="Backend",K895="SAP",K895="Network"),P895=""),"Add Correlation ID",IF(AND(I895="Fail",T895=""),"Write Root Cause / evidence gap",IF(AND(I895="Fail",V895=""),"Assign team","OK"))))))))</f>
        <v/>
      </c>
    </row>
    <row r="896">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f>IF(I896="","",IF(AND(I896="Fail",K896=""),"Classify Issue Source",IF(AND(I896="Fail",W896=""),"Set Confidence",IF(AND(K896="Unknown",W896&lt;&gt;"Low"),"Unknown must be Low confidence",IF(AND(OR(K896="Backend",K896="SAP"),N896=""),"Add HTTP status + endpoint",IF(AND(OR(K896="Backend",K896="SAP",K896="Network"),P896=""),"Add Correlation ID",IF(AND(I896="Fail",T896=""),"Write Root Cause / evidence gap",IF(AND(I896="Fail",V896=""),"Assign team","OK"))))))))</f>
        <v/>
      </c>
    </row>
    <row r="897">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f>IF(I897="","",IF(AND(I897="Fail",K897=""),"Classify Issue Source",IF(AND(I897="Fail",W897=""),"Set Confidence",IF(AND(K897="Unknown",W897&lt;&gt;"Low"),"Unknown must be Low confidence",IF(AND(OR(K897="Backend",K897="SAP"),N897=""),"Add HTTP status + endpoint",IF(AND(OR(K897="Backend",K897="SAP",K897="Network"),P897=""),"Add Correlation ID",IF(AND(I897="Fail",T897=""),"Write Root Cause / evidence gap",IF(AND(I897="Fail",V897=""),"Assign team","OK"))))))))</f>
        <v/>
      </c>
    </row>
    <row r="898">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f>IF(I898="","",IF(AND(I898="Fail",K898=""),"Classify Issue Source",IF(AND(I898="Fail",W898=""),"Set Confidence",IF(AND(K898="Unknown",W898&lt;&gt;"Low"),"Unknown must be Low confidence",IF(AND(OR(K898="Backend",K898="SAP"),N898=""),"Add HTTP status + endpoint",IF(AND(OR(K898="Backend",K898="SAP",K898="Network"),P898=""),"Add Correlation ID",IF(AND(I898="Fail",T898=""),"Write Root Cause / evidence gap",IF(AND(I898="Fail",V898=""),"Assign team","OK"))))))))</f>
        <v/>
      </c>
    </row>
    <row r="89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f>IF(I899="","",IF(AND(I899="Fail",K899=""),"Classify Issue Source",IF(AND(I899="Fail",W899=""),"Set Confidence",IF(AND(K899="Unknown",W899&lt;&gt;"Low"),"Unknown must be Low confidence",IF(AND(OR(K899="Backend",K899="SAP"),N899=""),"Add HTTP status + endpoint",IF(AND(OR(K899="Backend",K899="SAP",K899="Network"),P899=""),"Add Correlation ID",IF(AND(I899="Fail",T899=""),"Write Root Cause / evidence gap",IF(AND(I899="Fail",V899=""),"Assign team","OK"))))))))</f>
        <v/>
      </c>
    </row>
    <row r="900">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f>IF(I900="","",IF(AND(I900="Fail",K900=""),"Classify Issue Source",IF(AND(I900="Fail",W900=""),"Set Confidence",IF(AND(K900="Unknown",W900&lt;&gt;"Low"),"Unknown must be Low confidence",IF(AND(OR(K900="Backend",K900="SAP"),N900=""),"Add HTTP status + endpoint",IF(AND(OR(K900="Backend",K900="SAP",K900="Network"),P900=""),"Add Correlation ID",IF(AND(I900="Fail",T900=""),"Write Root Cause / evidence gap",IF(AND(I900="Fail",V900=""),"Assign team","OK"))))))))</f>
        <v/>
      </c>
    </row>
    <row r="901">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f>IF(I901="","",IF(AND(I901="Fail",K901=""),"Classify Issue Source",IF(AND(I901="Fail",W901=""),"Set Confidence",IF(AND(K901="Unknown",W901&lt;&gt;"Low"),"Unknown must be Low confidence",IF(AND(OR(K901="Backend",K901="SAP"),N901=""),"Add HTTP status + endpoint",IF(AND(OR(K901="Backend",K901="SAP",K901="Network"),P901=""),"Add Correlation ID",IF(AND(I901="Fail",T901=""),"Write Root Cause / evidence gap",IF(AND(I901="Fail",V901=""),"Assign team","OK"))))))))</f>
        <v/>
      </c>
    </row>
    <row r="902">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f>IF(I902="","",IF(AND(I902="Fail",K902=""),"Classify Issue Source",IF(AND(I902="Fail",W902=""),"Set Confidence",IF(AND(K902="Unknown",W902&lt;&gt;"Low"),"Unknown must be Low confidence",IF(AND(OR(K902="Backend",K902="SAP"),N902=""),"Add HTTP status + endpoint",IF(AND(OR(K902="Backend",K902="SAP",K902="Network"),P902=""),"Add Correlation ID",IF(AND(I902="Fail",T902=""),"Write Root Cause / evidence gap",IF(AND(I902="Fail",V902=""),"Assign team","OK"))))))))</f>
        <v/>
      </c>
    </row>
    <row r="903">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f>IF(I903="","",IF(AND(I903="Fail",K903=""),"Classify Issue Source",IF(AND(I903="Fail",W903=""),"Set Confidence",IF(AND(K903="Unknown",W903&lt;&gt;"Low"),"Unknown must be Low confidence",IF(AND(OR(K903="Backend",K903="SAP"),N903=""),"Add HTTP status + endpoint",IF(AND(OR(K903="Backend",K903="SAP",K903="Network"),P903=""),"Add Correlation ID",IF(AND(I903="Fail",T903=""),"Write Root Cause / evidence gap",IF(AND(I903="Fail",V903=""),"Assign team","OK"))))))))</f>
        <v/>
      </c>
    </row>
    <row r="904">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f>IF(I904="","",IF(AND(I904="Fail",K904=""),"Classify Issue Source",IF(AND(I904="Fail",W904=""),"Set Confidence",IF(AND(K904="Unknown",W904&lt;&gt;"Low"),"Unknown must be Low confidence",IF(AND(OR(K904="Backend",K904="SAP"),N904=""),"Add HTTP status + endpoint",IF(AND(OR(K904="Backend",K904="SAP",K904="Network"),P904=""),"Add Correlation ID",IF(AND(I904="Fail",T904=""),"Write Root Cause / evidence gap",IF(AND(I904="Fail",V904=""),"Assign team","OK"))))))))</f>
        <v/>
      </c>
    </row>
    <row r="905">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f>IF(I905="","",IF(AND(I905="Fail",K905=""),"Classify Issue Source",IF(AND(I905="Fail",W905=""),"Set Confidence",IF(AND(K905="Unknown",W905&lt;&gt;"Low"),"Unknown must be Low confidence",IF(AND(OR(K905="Backend",K905="SAP"),N905=""),"Add HTTP status + endpoint",IF(AND(OR(K905="Backend",K905="SAP",K905="Network"),P905=""),"Add Correlation ID",IF(AND(I905="Fail",T905=""),"Write Root Cause / evidence gap",IF(AND(I905="Fail",V905=""),"Assign team","OK"))))))))</f>
        <v/>
      </c>
    </row>
    <row r="906">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f>IF(I906="","",IF(AND(I906="Fail",K906=""),"Classify Issue Source",IF(AND(I906="Fail",W906=""),"Set Confidence",IF(AND(K906="Unknown",W906&lt;&gt;"Low"),"Unknown must be Low confidence",IF(AND(OR(K906="Backend",K906="SAP"),N906=""),"Add HTTP status + endpoint",IF(AND(OR(K906="Backend",K906="SAP",K906="Network"),P906=""),"Add Correlation ID",IF(AND(I906="Fail",T906=""),"Write Root Cause / evidence gap",IF(AND(I906="Fail",V906=""),"Assign team","OK"))))))))</f>
        <v/>
      </c>
    </row>
    <row r="907">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f>IF(I907="","",IF(AND(I907="Fail",K907=""),"Classify Issue Source",IF(AND(I907="Fail",W907=""),"Set Confidence",IF(AND(K907="Unknown",W907&lt;&gt;"Low"),"Unknown must be Low confidence",IF(AND(OR(K907="Backend",K907="SAP"),N907=""),"Add HTTP status + endpoint",IF(AND(OR(K907="Backend",K907="SAP",K907="Network"),P907=""),"Add Correlation ID",IF(AND(I907="Fail",T907=""),"Write Root Cause / evidence gap",IF(AND(I907="Fail",V907=""),"Assign team","OK"))))))))</f>
        <v/>
      </c>
    </row>
    <row r="908">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f>IF(I908="","",IF(AND(I908="Fail",K908=""),"Classify Issue Source",IF(AND(I908="Fail",W908=""),"Set Confidence",IF(AND(K908="Unknown",W908&lt;&gt;"Low"),"Unknown must be Low confidence",IF(AND(OR(K908="Backend",K908="SAP"),N908=""),"Add HTTP status + endpoint",IF(AND(OR(K908="Backend",K908="SAP",K908="Network"),P908=""),"Add Correlation ID",IF(AND(I908="Fail",T908=""),"Write Root Cause / evidence gap",IF(AND(I908="Fail",V908=""),"Assign team","OK"))))))))</f>
        <v/>
      </c>
    </row>
    <row r="90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f>IF(I909="","",IF(AND(I909="Fail",K909=""),"Classify Issue Source",IF(AND(I909="Fail",W909=""),"Set Confidence",IF(AND(K909="Unknown",W909&lt;&gt;"Low"),"Unknown must be Low confidence",IF(AND(OR(K909="Backend",K909="SAP"),N909=""),"Add HTTP status + endpoint",IF(AND(OR(K909="Backend",K909="SAP",K909="Network"),P909=""),"Add Correlation ID",IF(AND(I909="Fail",T909=""),"Write Root Cause / evidence gap",IF(AND(I909="Fail",V909=""),"Assign team","OK"))))))))</f>
        <v/>
      </c>
    </row>
    <row r="910">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f>IF(I910="","",IF(AND(I910="Fail",K910=""),"Classify Issue Source",IF(AND(I910="Fail",W910=""),"Set Confidence",IF(AND(K910="Unknown",W910&lt;&gt;"Low"),"Unknown must be Low confidence",IF(AND(OR(K910="Backend",K910="SAP"),N910=""),"Add HTTP status + endpoint",IF(AND(OR(K910="Backend",K910="SAP",K910="Network"),P910=""),"Add Correlation ID",IF(AND(I910="Fail",T910=""),"Write Root Cause / evidence gap",IF(AND(I910="Fail",V910=""),"Assign team","OK"))))))))</f>
        <v/>
      </c>
    </row>
    <row r="911">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f>IF(I911="","",IF(AND(I911="Fail",K911=""),"Classify Issue Source",IF(AND(I911="Fail",W911=""),"Set Confidence",IF(AND(K911="Unknown",W911&lt;&gt;"Low"),"Unknown must be Low confidence",IF(AND(OR(K911="Backend",K911="SAP"),N911=""),"Add HTTP status + endpoint",IF(AND(OR(K911="Backend",K911="SAP",K911="Network"),P911=""),"Add Correlation ID",IF(AND(I911="Fail",T911=""),"Write Root Cause / evidence gap",IF(AND(I911="Fail",V911=""),"Assign team","OK"))))))))</f>
        <v/>
      </c>
    </row>
    <row r="912">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f>IF(I912="","",IF(AND(I912="Fail",K912=""),"Classify Issue Source",IF(AND(I912="Fail",W912=""),"Set Confidence",IF(AND(K912="Unknown",W912&lt;&gt;"Low"),"Unknown must be Low confidence",IF(AND(OR(K912="Backend",K912="SAP"),N912=""),"Add HTTP status + endpoint",IF(AND(OR(K912="Backend",K912="SAP",K912="Network"),P912=""),"Add Correlation ID",IF(AND(I912="Fail",T912=""),"Write Root Cause / evidence gap",IF(AND(I912="Fail",V912=""),"Assign team","OK"))))))))</f>
        <v/>
      </c>
    </row>
    <row r="913">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f>IF(I913="","",IF(AND(I913="Fail",K913=""),"Classify Issue Source",IF(AND(I913="Fail",W913=""),"Set Confidence",IF(AND(K913="Unknown",W913&lt;&gt;"Low"),"Unknown must be Low confidence",IF(AND(OR(K913="Backend",K913="SAP"),N913=""),"Add HTTP status + endpoint",IF(AND(OR(K913="Backend",K913="SAP",K913="Network"),P913=""),"Add Correlation ID",IF(AND(I913="Fail",T913=""),"Write Root Cause / evidence gap",IF(AND(I913="Fail",V913=""),"Assign team","OK"))))))))</f>
        <v/>
      </c>
    </row>
    <row r="914">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f>IF(I914="","",IF(AND(I914="Fail",K914=""),"Classify Issue Source",IF(AND(I914="Fail",W914=""),"Set Confidence",IF(AND(K914="Unknown",W914&lt;&gt;"Low"),"Unknown must be Low confidence",IF(AND(OR(K914="Backend",K914="SAP"),N914=""),"Add HTTP status + endpoint",IF(AND(OR(K914="Backend",K914="SAP",K914="Network"),P914=""),"Add Correlation ID",IF(AND(I914="Fail",T914=""),"Write Root Cause / evidence gap",IF(AND(I914="Fail",V914=""),"Assign team","OK"))))))))</f>
        <v/>
      </c>
    </row>
    <row r="915">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f>IF(I915="","",IF(AND(I915="Fail",K915=""),"Classify Issue Source",IF(AND(I915="Fail",W915=""),"Set Confidence",IF(AND(K915="Unknown",W915&lt;&gt;"Low"),"Unknown must be Low confidence",IF(AND(OR(K915="Backend",K915="SAP"),N915=""),"Add HTTP status + endpoint",IF(AND(OR(K915="Backend",K915="SAP",K915="Network"),P915=""),"Add Correlation ID",IF(AND(I915="Fail",T915=""),"Write Root Cause / evidence gap",IF(AND(I915="Fail",V915=""),"Assign team","OK"))))))))</f>
        <v/>
      </c>
    </row>
    <row r="916">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f>IF(I916="","",IF(AND(I916="Fail",K916=""),"Classify Issue Source",IF(AND(I916="Fail",W916=""),"Set Confidence",IF(AND(K916="Unknown",W916&lt;&gt;"Low"),"Unknown must be Low confidence",IF(AND(OR(K916="Backend",K916="SAP"),N916=""),"Add HTTP status + endpoint",IF(AND(OR(K916="Backend",K916="SAP",K916="Network"),P916=""),"Add Correlation ID",IF(AND(I916="Fail",T916=""),"Write Root Cause / evidence gap",IF(AND(I916="Fail",V916=""),"Assign team","OK"))))))))</f>
        <v/>
      </c>
    </row>
    <row r="917">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f>IF(I917="","",IF(AND(I917="Fail",K917=""),"Classify Issue Source",IF(AND(I917="Fail",W917=""),"Set Confidence",IF(AND(K917="Unknown",W917&lt;&gt;"Low"),"Unknown must be Low confidence",IF(AND(OR(K917="Backend",K917="SAP"),N917=""),"Add HTTP status + endpoint",IF(AND(OR(K917="Backend",K917="SAP",K917="Network"),P917=""),"Add Correlation ID",IF(AND(I917="Fail",T917=""),"Write Root Cause / evidence gap",IF(AND(I917="Fail",V917=""),"Assign team","OK"))))))))</f>
        <v/>
      </c>
    </row>
    <row r="918">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f>IF(I918="","",IF(AND(I918="Fail",K918=""),"Classify Issue Source",IF(AND(I918="Fail",W918=""),"Set Confidence",IF(AND(K918="Unknown",W918&lt;&gt;"Low"),"Unknown must be Low confidence",IF(AND(OR(K918="Backend",K918="SAP"),N918=""),"Add HTTP status + endpoint",IF(AND(OR(K918="Backend",K918="SAP",K918="Network"),P918=""),"Add Correlation ID",IF(AND(I918="Fail",T918=""),"Write Root Cause / evidence gap",IF(AND(I918="Fail",V918=""),"Assign team","OK"))))))))</f>
        <v/>
      </c>
    </row>
    <row r="91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f>IF(I919="","",IF(AND(I919="Fail",K919=""),"Classify Issue Source",IF(AND(I919="Fail",W919=""),"Set Confidence",IF(AND(K919="Unknown",W919&lt;&gt;"Low"),"Unknown must be Low confidence",IF(AND(OR(K919="Backend",K919="SAP"),N919=""),"Add HTTP status + endpoint",IF(AND(OR(K919="Backend",K919="SAP",K919="Network"),P919=""),"Add Correlation ID",IF(AND(I919="Fail",T919=""),"Write Root Cause / evidence gap",IF(AND(I919="Fail",V919=""),"Assign team","OK"))))))))</f>
        <v/>
      </c>
    </row>
    <row r="920">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f>IF(I920="","",IF(AND(I920="Fail",K920=""),"Classify Issue Source",IF(AND(I920="Fail",W920=""),"Set Confidence",IF(AND(K920="Unknown",W920&lt;&gt;"Low"),"Unknown must be Low confidence",IF(AND(OR(K920="Backend",K920="SAP"),N920=""),"Add HTTP status + endpoint",IF(AND(OR(K920="Backend",K920="SAP",K920="Network"),P920=""),"Add Correlation ID",IF(AND(I920="Fail",T920=""),"Write Root Cause / evidence gap",IF(AND(I920="Fail",V920=""),"Assign team","OK"))))))))</f>
        <v/>
      </c>
    </row>
    <row r="921">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f>IF(I921="","",IF(AND(I921="Fail",K921=""),"Classify Issue Source",IF(AND(I921="Fail",W921=""),"Set Confidence",IF(AND(K921="Unknown",W921&lt;&gt;"Low"),"Unknown must be Low confidence",IF(AND(OR(K921="Backend",K921="SAP"),N921=""),"Add HTTP status + endpoint",IF(AND(OR(K921="Backend",K921="SAP",K921="Network"),P921=""),"Add Correlation ID",IF(AND(I921="Fail",T921=""),"Write Root Cause / evidence gap",IF(AND(I921="Fail",V921=""),"Assign team","OK"))))))))</f>
        <v/>
      </c>
    </row>
    <row r="922">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f>IF(I922="","",IF(AND(I922="Fail",K922=""),"Classify Issue Source",IF(AND(I922="Fail",W922=""),"Set Confidence",IF(AND(K922="Unknown",W922&lt;&gt;"Low"),"Unknown must be Low confidence",IF(AND(OR(K922="Backend",K922="SAP"),N922=""),"Add HTTP status + endpoint",IF(AND(OR(K922="Backend",K922="SAP",K922="Network"),P922=""),"Add Correlation ID",IF(AND(I922="Fail",T922=""),"Write Root Cause / evidence gap",IF(AND(I922="Fail",V922=""),"Assign team","OK"))))))))</f>
        <v/>
      </c>
    </row>
    <row r="923">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f>IF(I923="","",IF(AND(I923="Fail",K923=""),"Classify Issue Source",IF(AND(I923="Fail",W923=""),"Set Confidence",IF(AND(K923="Unknown",W923&lt;&gt;"Low"),"Unknown must be Low confidence",IF(AND(OR(K923="Backend",K923="SAP"),N923=""),"Add HTTP status + endpoint",IF(AND(OR(K923="Backend",K923="SAP",K923="Network"),P923=""),"Add Correlation ID",IF(AND(I923="Fail",T923=""),"Write Root Cause / evidence gap",IF(AND(I923="Fail",V923=""),"Assign team","OK"))))))))</f>
        <v/>
      </c>
    </row>
    <row r="924">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f>IF(I924="","",IF(AND(I924="Fail",K924=""),"Classify Issue Source",IF(AND(I924="Fail",W924=""),"Set Confidence",IF(AND(K924="Unknown",W924&lt;&gt;"Low"),"Unknown must be Low confidence",IF(AND(OR(K924="Backend",K924="SAP"),N924=""),"Add HTTP status + endpoint",IF(AND(OR(K924="Backend",K924="SAP",K924="Network"),P924=""),"Add Correlation ID",IF(AND(I924="Fail",T924=""),"Write Root Cause / evidence gap",IF(AND(I924="Fail",V924=""),"Assign team","OK"))))))))</f>
        <v/>
      </c>
    </row>
    <row r="925">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f>IF(I925="","",IF(AND(I925="Fail",K925=""),"Classify Issue Source",IF(AND(I925="Fail",W925=""),"Set Confidence",IF(AND(K925="Unknown",W925&lt;&gt;"Low"),"Unknown must be Low confidence",IF(AND(OR(K925="Backend",K925="SAP"),N925=""),"Add HTTP status + endpoint",IF(AND(OR(K925="Backend",K925="SAP",K925="Network"),P925=""),"Add Correlation ID",IF(AND(I925="Fail",T925=""),"Write Root Cause / evidence gap",IF(AND(I925="Fail",V925=""),"Assign team","OK"))))))))</f>
        <v/>
      </c>
    </row>
    <row r="926">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f>IF(I926="","",IF(AND(I926="Fail",K926=""),"Classify Issue Source",IF(AND(I926="Fail",W926=""),"Set Confidence",IF(AND(K926="Unknown",W926&lt;&gt;"Low"),"Unknown must be Low confidence",IF(AND(OR(K926="Backend",K926="SAP"),N926=""),"Add HTTP status + endpoint",IF(AND(OR(K926="Backend",K926="SAP",K926="Network"),P926=""),"Add Correlation ID",IF(AND(I926="Fail",T926=""),"Write Root Cause / evidence gap",IF(AND(I926="Fail",V926=""),"Assign team","OK"))))))))</f>
        <v/>
      </c>
    </row>
    <row r="927">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f>IF(I927="","",IF(AND(I927="Fail",K927=""),"Classify Issue Source",IF(AND(I927="Fail",W927=""),"Set Confidence",IF(AND(K927="Unknown",W927&lt;&gt;"Low"),"Unknown must be Low confidence",IF(AND(OR(K927="Backend",K927="SAP"),N927=""),"Add HTTP status + endpoint",IF(AND(OR(K927="Backend",K927="SAP",K927="Network"),P927=""),"Add Correlation ID",IF(AND(I927="Fail",T927=""),"Write Root Cause / evidence gap",IF(AND(I927="Fail",V927=""),"Assign team","OK"))))))))</f>
        <v/>
      </c>
    </row>
    <row r="928">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f>IF(I928="","",IF(AND(I928="Fail",K928=""),"Classify Issue Source",IF(AND(I928="Fail",W928=""),"Set Confidence",IF(AND(K928="Unknown",W928&lt;&gt;"Low"),"Unknown must be Low confidence",IF(AND(OR(K928="Backend",K928="SAP"),N928=""),"Add HTTP status + endpoint",IF(AND(OR(K928="Backend",K928="SAP",K928="Network"),P928=""),"Add Correlation ID",IF(AND(I928="Fail",T928=""),"Write Root Cause / evidence gap",IF(AND(I928="Fail",V928=""),"Assign team","OK"))))))))</f>
        <v/>
      </c>
    </row>
    <row r="92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f>IF(I929="","",IF(AND(I929="Fail",K929=""),"Classify Issue Source",IF(AND(I929="Fail",W929=""),"Set Confidence",IF(AND(K929="Unknown",W929&lt;&gt;"Low"),"Unknown must be Low confidence",IF(AND(OR(K929="Backend",K929="SAP"),N929=""),"Add HTTP status + endpoint",IF(AND(OR(K929="Backend",K929="SAP",K929="Network"),P929=""),"Add Correlation ID",IF(AND(I929="Fail",T929=""),"Write Root Cause / evidence gap",IF(AND(I929="Fail",V929=""),"Assign team","OK"))))))))</f>
        <v/>
      </c>
    </row>
    <row r="930">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f>IF(I930="","",IF(AND(I930="Fail",K930=""),"Classify Issue Source",IF(AND(I930="Fail",W930=""),"Set Confidence",IF(AND(K930="Unknown",W930&lt;&gt;"Low"),"Unknown must be Low confidence",IF(AND(OR(K930="Backend",K930="SAP"),N930=""),"Add HTTP status + endpoint",IF(AND(OR(K930="Backend",K930="SAP",K930="Network"),P930=""),"Add Correlation ID",IF(AND(I930="Fail",T930=""),"Write Root Cause / evidence gap",IF(AND(I930="Fail",V930=""),"Assign team","OK"))))))))</f>
        <v/>
      </c>
    </row>
    <row r="931">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f>IF(I931="","",IF(AND(I931="Fail",K931=""),"Classify Issue Source",IF(AND(I931="Fail",W931=""),"Set Confidence",IF(AND(K931="Unknown",W931&lt;&gt;"Low"),"Unknown must be Low confidence",IF(AND(OR(K931="Backend",K931="SAP"),N931=""),"Add HTTP status + endpoint",IF(AND(OR(K931="Backend",K931="SAP",K931="Network"),P931=""),"Add Correlation ID",IF(AND(I931="Fail",T931=""),"Write Root Cause / evidence gap",IF(AND(I931="Fail",V931=""),"Assign team","OK"))))))))</f>
        <v/>
      </c>
    </row>
    <row r="932">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f>IF(I932="","",IF(AND(I932="Fail",K932=""),"Classify Issue Source",IF(AND(I932="Fail",W932=""),"Set Confidence",IF(AND(K932="Unknown",W932&lt;&gt;"Low"),"Unknown must be Low confidence",IF(AND(OR(K932="Backend",K932="SAP"),N932=""),"Add HTTP status + endpoint",IF(AND(OR(K932="Backend",K932="SAP",K932="Network"),P932=""),"Add Correlation ID",IF(AND(I932="Fail",T932=""),"Write Root Cause / evidence gap",IF(AND(I932="Fail",V932=""),"Assign team","OK"))))))))</f>
        <v/>
      </c>
    </row>
    <row r="933">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f>IF(I933="","",IF(AND(I933="Fail",K933=""),"Classify Issue Source",IF(AND(I933="Fail",W933=""),"Set Confidence",IF(AND(K933="Unknown",W933&lt;&gt;"Low"),"Unknown must be Low confidence",IF(AND(OR(K933="Backend",K933="SAP"),N933=""),"Add HTTP status + endpoint",IF(AND(OR(K933="Backend",K933="SAP",K933="Network"),P933=""),"Add Correlation ID",IF(AND(I933="Fail",T933=""),"Write Root Cause / evidence gap",IF(AND(I933="Fail",V933=""),"Assign team","OK"))))))))</f>
        <v/>
      </c>
    </row>
    <row r="934">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f>IF(I934="","",IF(AND(I934="Fail",K934=""),"Classify Issue Source",IF(AND(I934="Fail",W934=""),"Set Confidence",IF(AND(K934="Unknown",W934&lt;&gt;"Low"),"Unknown must be Low confidence",IF(AND(OR(K934="Backend",K934="SAP"),N934=""),"Add HTTP status + endpoint",IF(AND(OR(K934="Backend",K934="SAP",K934="Network"),P934=""),"Add Correlation ID",IF(AND(I934="Fail",T934=""),"Write Root Cause / evidence gap",IF(AND(I934="Fail",V934=""),"Assign team","OK"))))))))</f>
        <v/>
      </c>
    </row>
    <row r="935">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f>IF(I935="","",IF(AND(I935="Fail",K935=""),"Classify Issue Source",IF(AND(I935="Fail",W935=""),"Set Confidence",IF(AND(K935="Unknown",W935&lt;&gt;"Low"),"Unknown must be Low confidence",IF(AND(OR(K935="Backend",K935="SAP"),N935=""),"Add HTTP status + endpoint",IF(AND(OR(K935="Backend",K935="SAP",K935="Network"),P935=""),"Add Correlation ID",IF(AND(I935="Fail",T935=""),"Write Root Cause / evidence gap",IF(AND(I935="Fail",V935=""),"Assign team","OK"))))))))</f>
        <v/>
      </c>
    </row>
    <row r="936">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f>IF(I936="","",IF(AND(I936="Fail",K936=""),"Classify Issue Source",IF(AND(I936="Fail",W936=""),"Set Confidence",IF(AND(K936="Unknown",W936&lt;&gt;"Low"),"Unknown must be Low confidence",IF(AND(OR(K936="Backend",K936="SAP"),N936=""),"Add HTTP status + endpoint",IF(AND(OR(K936="Backend",K936="SAP",K936="Network"),P936=""),"Add Correlation ID",IF(AND(I936="Fail",T936=""),"Write Root Cause / evidence gap",IF(AND(I936="Fail",V936=""),"Assign team","OK"))))))))</f>
        <v/>
      </c>
    </row>
    <row r="937">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f>IF(I937="","",IF(AND(I937="Fail",K937=""),"Classify Issue Source",IF(AND(I937="Fail",W937=""),"Set Confidence",IF(AND(K937="Unknown",W937&lt;&gt;"Low"),"Unknown must be Low confidence",IF(AND(OR(K937="Backend",K937="SAP"),N937=""),"Add HTTP status + endpoint",IF(AND(OR(K937="Backend",K937="SAP",K937="Network"),P937=""),"Add Correlation ID",IF(AND(I937="Fail",T937=""),"Write Root Cause / evidence gap",IF(AND(I937="Fail",V937=""),"Assign team","OK"))))))))</f>
        <v/>
      </c>
    </row>
    <row r="938">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f>IF(I938="","",IF(AND(I938="Fail",K938=""),"Classify Issue Source",IF(AND(I938="Fail",W938=""),"Set Confidence",IF(AND(K938="Unknown",W938&lt;&gt;"Low"),"Unknown must be Low confidence",IF(AND(OR(K938="Backend",K938="SAP"),N938=""),"Add HTTP status + endpoint",IF(AND(OR(K938="Backend",K938="SAP",K938="Network"),P938=""),"Add Correlation ID",IF(AND(I938="Fail",T938=""),"Write Root Cause / evidence gap",IF(AND(I938="Fail",V938=""),"Assign team","OK"))))))))</f>
        <v/>
      </c>
    </row>
    <row r="93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f>IF(I939="","",IF(AND(I939="Fail",K939=""),"Classify Issue Source",IF(AND(I939="Fail",W939=""),"Set Confidence",IF(AND(K939="Unknown",W939&lt;&gt;"Low"),"Unknown must be Low confidence",IF(AND(OR(K939="Backend",K939="SAP"),N939=""),"Add HTTP status + endpoint",IF(AND(OR(K939="Backend",K939="SAP",K939="Network"),P939=""),"Add Correlation ID",IF(AND(I939="Fail",T939=""),"Write Root Cause / evidence gap",IF(AND(I939="Fail",V939=""),"Assign team","OK"))))))))</f>
        <v/>
      </c>
    </row>
    <row r="940">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f>IF(I940="","",IF(AND(I940="Fail",K940=""),"Classify Issue Source",IF(AND(I940="Fail",W940=""),"Set Confidence",IF(AND(K940="Unknown",W940&lt;&gt;"Low"),"Unknown must be Low confidence",IF(AND(OR(K940="Backend",K940="SAP"),N940=""),"Add HTTP status + endpoint",IF(AND(OR(K940="Backend",K940="SAP",K940="Network"),P940=""),"Add Correlation ID",IF(AND(I940="Fail",T940=""),"Write Root Cause / evidence gap",IF(AND(I940="Fail",V940=""),"Assign team","OK"))))))))</f>
        <v/>
      </c>
    </row>
    <row r="941">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f>IF(I941="","",IF(AND(I941="Fail",K941=""),"Classify Issue Source",IF(AND(I941="Fail",W941=""),"Set Confidence",IF(AND(K941="Unknown",W941&lt;&gt;"Low"),"Unknown must be Low confidence",IF(AND(OR(K941="Backend",K941="SAP"),N941=""),"Add HTTP status + endpoint",IF(AND(OR(K941="Backend",K941="SAP",K941="Network"),P941=""),"Add Correlation ID",IF(AND(I941="Fail",T941=""),"Write Root Cause / evidence gap",IF(AND(I941="Fail",V941=""),"Assign team","OK"))))))))</f>
        <v/>
      </c>
    </row>
    <row r="942">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f>IF(I942="","",IF(AND(I942="Fail",K942=""),"Classify Issue Source",IF(AND(I942="Fail",W942=""),"Set Confidence",IF(AND(K942="Unknown",W942&lt;&gt;"Low"),"Unknown must be Low confidence",IF(AND(OR(K942="Backend",K942="SAP"),N942=""),"Add HTTP status + endpoint",IF(AND(OR(K942="Backend",K942="SAP",K942="Network"),P942=""),"Add Correlation ID",IF(AND(I942="Fail",T942=""),"Write Root Cause / evidence gap",IF(AND(I942="Fail",V942=""),"Assign team","OK"))))))))</f>
        <v/>
      </c>
    </row>
    <row r="943">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f>IF(I943="","",IF(AND(I943="Fail",K943=""),"Classify Issue Source",IF(AND(I943="Fail",W943=""),"Set Confidence",IF(AND(K943="Unknown",W943&lt;&gt;"Low"),"Unknown must be Low confidence",IF(AND(OR(K943="Backend",K943="SAP"),N943=""),"Add HTTP status + endpoint",IF(AND(OR(K943="Backend",K943="SAP",K943="Network"),P943=""),"Add Correlation ID",IF(AND(I943="Fail",T943=""),"Write Root Cause / evidence gap",IF(AND(I943="Fail",V943=""),"Assign team","OK"))))))))</f>
        <v/>
      </c>
    </row>
    <row r="944">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f>IF(I944="","",IF(AND(I944="Fail",K944=""),"Classify Issue Source",IF(AND(I944="Fail",W944=""),"Set Confidence",IF(AND(K944="Unknown",W944&lt;&gt;"Low"),"Unknown must be Low confidence",IF(AND(OR(K944="Backend",K944="SAP"),N944=""),"Add HTTP status + endpoint",IF(AND(OR(K944="Backend",K944="SAP",K944="Network"),P944=""),"Add Correlation ID",IF(AND(I944="Fail",T944=""),"Write Root Cause / evidence gap",IF(AND(I944="Fail",V944=""),"Assign team","OK"))))))))</f>
        <v/>
      </c>
    </row>
    <row r="945">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f>IF(I945="","",IF(AND(I945="Fail",K945=""),"Classify Issue Source",IF(AND(I945="Fail",W945=""),"Set Confidence",IF(AND(K945="Unknown",W945&lt;&gt;"Low"),"Unknown must be Low confidence",IF(AND(OR(K945="Backend",K945="SAP"),N945=""),"Add HTTP status + endpoint",IF(AND(OR(K945="Backend",K945="SAP",K945="Network"),P945=""),"Add Correlation ID",IF(AND(I945="Fail",T945=""),"Write Root Cause / evidence gap",IF(AND(I945="Fail",V945=""),"Assign team","OK"))))))))</f>
        <v/>
      </c>
    </row>
    <row r="946">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f>IF(I946="","",IF(AND(I946="Fail",K946=""),"Classify Issue Source",IF(AND(I946="Fail",W946=""),"Set Confidence",IF(AND(K946="Unknown",W946&lt;&gt;"Low"),"Unknown must be Low confidence",IF(AND(OR(K946="Backend",K946="SAP"),N946=""),"Add HTTP status + endpoint",IF(AND(OR(K946="Backend",K946="SAP",K946="Network"),P946=""),"Add Correlation ID",IF(AND(I946="Fail",T946=""),"Write Root Cause / evidence gap",IF(AND(I946="Fail",V946=""),"Assign team","OK"))))))))</f>
        <v/>
      </c>
    </row>
    <row r="947">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f>IF(I947="","",IF(AND(I947="Fail",K947=""),"Classify Issue Source",IF(AND(I947="Fail",W947=""),"Set Confidence",IF(AND(K947="Unknown",W947&lt;&gt;"Low"),"Unknown must be Low confidence",IF(AND(OR(K947="Backend",K947="SAP"),N947=""),"Add HTTP status + endpoint",IF(AND(OR(K947="Backend",K947="SAP",K947="Network"),P947=""),"Add Correlation ID",IF(AND(I947="Fail",T947=""),"Write Root Cause / evidence gap",IF(AND(I947="Fail",V947=""),"Assign team","OK"))))))))</f>
        <v/>
      </c>
    </row>
    <row r="948">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f>IF(I948="","",IF(AND(I948="Fail",K948=""),"Classify Issue Source",IF(AND(I948="Fail",W948=""),"Set Confidence",IF(AND(K948="Unknown",W948&lt;&gt;"Low"),"Unknown must be Low confidence",IF(AND(OR(K948="Backend",K948="SAP"),N948=""),"Add HTTP status + endpoint",IF(AND(OR(K948="Backend",K948="SAP",K948="Network"),P948=""),"Add Correlation ID",IF(AND(I948="Fail",T948=""),"Write Root Cause / evidence gap",IF(AND(I948="Fail",V948=""),"Assign team","OK"))))))))</f>
        <v/>
      </c>
    </row>
    <row r="94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f>IF(I949="","",IF(AND(I949="Fail",K949=""),"Classify Issue Source",IF(AND(I949="Fail",W949=""),"Set Confidence",IF(AND(K949="Unknown",W949&lt;&gt;"Low"),"Unknown must be Low confidence",IF(AND(OR(K949="Backend",K949="SAP"),N949=""),"Add HTTP status + endpoint",IF(AND(OR(K949="Backend",K949="SAP",K949="Network"),P949=""),"Add Correlation ID",IF(AND(I949="Fail",T949=""),"Write Root Cause / evidence gap",IF(AND(I949="Fail",V949=""),"Assign team","OK"))))))))</f>
        <v/>
      </c>
    </row>
    <row r="950">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f>IF(I950="","",IF(AND(I950="Fail",K950=""),"Classify Issue Source",IF(AND(I950="Fail",W950=""),"Set Confidence",IF(AND(K950="Unknown",W950&lt;&gt;"Low"),"Unknown must be Low confidence",IF(AND(OR(K950="Backend",K950="SAP"),N950=""),"Add HTTP status + endpoint",IF(AND(OR(K950="Backend",K950="SAP",K950="Network"),P950=""),"Add Correlation ID",IF(AND(I950="Fail",T950=""),"Write Root Cause / evidence gap",IF(AND(I950="Fail",V950=""),"Assign team","OK"))))))))</f>
        <v/>
      </c>
    </row>
    <row r="951">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f>IF(I951="","",IF(AND(I951="Fail",K951=""),"Classify Issue Source",IF(AND(I951="Fail",W951=""),"Set Confidence",IF(AND(K951="Unknown",W951&lt;&gt;"Low"),"Unknown must be Low confidence",IF(AND(OR(K951="Backend",K951="SAP"),N951=""),"Add HTTP status + endpoint",IF(AND(OR(K951="Backend",K951="SAP",K951="Network"),P951=""),"Add Correlation ID",IF(AND(I951="Fail",T951=""),"Write Root Cause / evidence gap",IF(AND(I951="Fail",V951=""),"Assign team","OK"))))))))</f>
        <v/>
      </c>
    </row>
    <row r="952">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f>IF(I952="","",IF(AND(I952="Fail",K952=""),"Classify Issue Source",IF(AND(I952="Fail",W952=""),"Set Confidence",IF(AND(K952="Unknown",W952&lt;&gt;"Low"),"Unknown must be Low confidence",IF(AND(OR(K952="Backend",K952="SAP"),N952=""),"Add HTTP status + endpoint",IF(AND(OR(K952="Backend",K952="SAP",K952="Network"),P952=""),"Add Correlation ID",IF(AND(I952="Fail",T952=""),"Write Root Cause / evidence gap",IF(AND(I952="Fail",V952=""),"Assign team","OK"))))))))</f>
        <v/>
      </c>
    </row>
    <row r="953">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f>IF(I953="","",IF(AND(I953="Fail",K953=""),"Classify Issue Source",IF(AND(I953="Fail",W953=""),"Set Confidence",IF(AND(K953="Unknown",W953&lt;&gt;"Low"),"Unknown must be Low confidence",IF(AND(OR(K953="Backend",K953="SAP"),N953=""),"Add HTTP status + endpoint",IF(AND(OR(K953="Backend",K953="SAP",K953="Network"),P953=""),"Add Correlation ID",IF(AND(I953="Fail",T953=""),"Write Root Cause / evidence gap",IF(AND(I953="Fail",V953=""),"Assign team","OK"))))))))</f>
        <v/>
      </c>
    </row>
    <row r="954">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f>IF(I954="","",IF(AND(I954="Fail",K954=""),"Classify Issue Source",IF(AND(I954="Fail",W954=""),"Set Confidence",IF(AND(K954="Unknown",W954&lt;&gt;"Low"),"Unknown must be Low confidence",IF(AND(OR(K954="Backend",K954="SAP"),N954=""),"Add HTTP status + endpoint",IF(AND(OR(K954="Backend",K954="SAP",K954="Network"),P954=""),"Add Correlation ID",IF(AND(I954="Fail",T954=""),"Write Root Cause / evidence gap",IF(AND(I954="Fail",V954=""),"Assign team","OK"))))))))</f>
        <v/>
      </c>
    </row>
    <row r="955">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f>IF(I955="","",IF(AND(I955="Fail",K955=""),"Classify Issue Source",IF(AND(I955="Fail",W955=""),"Set Confidence",IF(AND(K955="Unknown",W955&lt;&gt;"Low"),"Unknown must be Low confidence",IF(AND(OR(K955="Backend",K955="SAP"),N955=""),"Add HTTP status + endpoint",IF(AND(OR(K955="Backend",K955="SAP",K955="Network"),P955=""),"Add Correlation ID",IF(AND(I955="Fail",T955=""),"Write Root Cause / evidence gap",IF(AND(I955="Fail",V955=""),"Assign team","OK"))))))))</f>
        <v/>
      </c>
    </row>
    <row r="956">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f>IF(I956="","",IF(AND(I956="Fail",K956=""),"Classify Issue Source",IF(AND(I956="Fail",W956=""),"Set Confidence",IF(AND(K956="Unknown",W956&lt;&gt;"Low"),"Unknown must be Low confidence",IF(AND(OR(K956="Backend",K956="SAP"),N956=""),"Add HTTP status + endpoint",IF(AND(OR(K956="Backend",K956="SAP",K956="Network"),P956=""),"Add Correlation ID",IF(AND(I956="Fail",T956=""),"Write Root Cause / evidence gap",IF(AND(I956="Fail",V956=""),"Assign team","OK"))))))))</f>
        <v/>
      </c>
    </row>
    <row r="957">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f>IF(I957="","",IF(AND(I957="Fail",K957=""),"Classify Issue Source",IF(AND(I957="Fail",W957=""),"Set Confidence",IF(AND(K957="Unknown",W957&lt;&gt;"Low"),"Unknown must be Low confidence",IF(AND(OR(K957="Backend",K957="SAP"),N957=""),"Add HTTP status + endpoint",IF(AND(OR(K957="Backend",K957="SAP",K957="Network"),P957=""),"Add Correlation ID",IF(AND(I957="Fail",T957=""),"Write Root Cause / evidence gap",IF(AND(I957="Fail",V957=""),"Assign team","OK"))))))))</f>
        <v/>
      </c>
    </row>
    <row r="958">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f>IF(I958="","",IF(AND(I958="Fail",K958=""),"Classify Issue Source",IF(AND(I958="Fail",W958=""),"Set Confidence",IF(AND(K958="Unknown",W958&lt;&gt;"Low"),"Unknown must be Low confidence",IF(AND(OR(K958="Backend",K958="SAP"),N958=""),"Add HTTP status + endpoint",IF(AND(OR(K958="Backend",K958="SAP",K958="Network"),P958=""),"Add Correlation ID",IF(AND(I958="Fail",T958=""),"Write Root Cause / evidence gap",IF(AND(I958="Fail",V958=""),"Assign team","OK"))))))))</f>
        <v/>
      </c>
    </row>
    <row r="95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f>IF(I959="","",IF(AND(I959="Fail",K959=""),"Classify Issue Source",IF(AND(I959="Fail",W959=""),"Set Confidence",IF(AND(K959="Unknown",W959&lt;&gt;"Low"),"Unknown must be Low confidence",IF(AND(OR(K959="Backend",K959="SAP"),N959=""),"Add HTTP status + endpoint",IF(AND(OR(K959="Backend",K959="SAP",K959="Network"),P959=""),"Add Correlation ID",IF(AND(I959="Fail",T959=""),"Write Root Cause / evidence gap",IF(AND(I959="Fail",V959=""),"Assign team","OK"))))))))</f>
        <v/>
      </c>
    </row>
    <row r="960">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f>IF(I960="","",IF(AND(I960="Fail",K960=""),"Classify Issue Source",IF(AND(I960="Fail",W960=""),"Set Confidence",IF(AND(K960="Unknown",W960&lt;&gt;"Low"),"Unknown must be Low confidence",IF(AND(OR(K960="Backend",K960="SAP"),N960=""),"Add HTTP status + endpoint",IF(AND(OR(K960="Backend",K960="SAP",K960="Network"),P960=""),"Add Correlation ID",IF(AND(I960="Fail",T960=""),"Write Root Cause / evidence gap",IF(AND(I960="Fail",V960=""),"Assign team","OK"))))))))</f>
        <v/>
      </c>
    </row>
    <row r="961">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f>IF(I961="","",IF(AND(I961="Fail",K961=""),"Classify Issue Source",IF(AND(I961="Fail",W961=""),"Set Confidence",IF(AND(K961="Unknown",W961&lt;&gt;"Low"),"Unknown must be Low confidence",IF(AND(OR(K961="Backend",K961="SAP"),N961=""),"Add HTTP status + endpoint",IF(AND(OR(K961="Backend",K961="SAP",K961="Network"),P961=""),"Add Correlation ID",IF(AND(I961="Fail",T961=""),"Write Root Cause / evidence gap",IF(AND(I961="Fail",V961=""),"Assign team","OK"))))))))</f>
        <v/>
      </c>
    </row>
    <row r="962">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f>IF(I962="","",IF(AND(I962="Fail",K962=""),"Classify Issue Source",IF(AND(I962="Fail",W962=""),"Set Confidence",IF(AND(K962="Unknown",W962&lt;&gt;"Low"),"Unknown must be Low confidence",IF(AND(OR(K962="Backend",K962="SAP"),N962=""),"Add HTTP status + endpoint",IF(AND(OR(K962="Backend",K962="SAP",K962="Network"),P962=""),"Add Correlation ID",IF(AND(I962="Fail",T962=""),"Write Root Cause / evidence gap",IF(AND(I962="Fail",V962=""),"Assign team","OK"))))))))</f>
        <v/>
      </c>
    </row>
    <row r="963">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f>IF(I963="","",IF(AND(I963="Fail",K963=""),"Classify Issue Source",IF(AND(I963="Fail",W963=""),"Set Confidence",IF(AND(K963="Unknown",W963&lt;&gt;"Low"),"Unknown must be Low confidence",IF(AND(OR(K963="Backend",K963="SAP"),N963=""),"Add HTTP status + endpoint",IF(AND(OR(K963="Backend",K963="SAP",K963="Network"),P963=""),"Add Correlation ID",IF(AND(I963="Fail",T963=""),"Write Root Cause / evidence gap",IF(AND(I963="Fail",V963=""),"Assign team","OK"))))))))</f>
        <v/>
      </c>
    </row>
    <row r="964">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f>IF(I964="","",IF(AND(I964="Fail",K964=""),"Classify Issue Source",IF(AND(I964="Fail",W964=""),"Set Confidence",IF(AND(K964="Unknown",W964&lt;&gt;"Low"),"Unknown must be Low confidence",IF(AND(OR(K964="Backend",K964="SAP"),N964=""),"Add HTTP status + endpoint",IF(AND(OR(K964="Backend",K964="SAP",K964="Network"),P964=""),"Add Correlation ID",IF(AND(I964="Fail",T964=""),"Write Root Cause / evidence gap",IF(AND(I964="Fail",V964=""),"Assign team","OK"))))))))</f>
        <v/>
      </c>
    </row>
    <row r="965">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f>IF(I965="","",IF(AND(I965="Fail",K965=""),"Classify Issue Source",IF(AND(I965="Fail",W965=""),"Set Confidence",IF(AND(K965="Unknown",W965&lt;&gt;"Low"),"Unknown must be Low confidence",IF(AND(OR(K965="Backend",K965="SAP"),N965=""),"Add HTTP status + endpoint",IF(AND(OR(K965="Backend",K965="SAP",K965="Network"),P965=""),"Add Correlation ID",IF(AND(I965="Fail",T965=""),"Write Root Cause / evidence gap",IF(AND(I965="Fail",V965=""),"Assign team","OK"))))))))</f>
        <v/>
      </c>
    </row>
    <row r="966">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f>IF(I966="","",IF(AND(I966="Fail",K966=""),"Classify Issue Source",IF(AND(I966="Fail",W966=""),"Set Confidence",IF(AND(K966="Unknown",W966&lt;&gt;"Low"),"Unknown must be Low confidence",IF(AND(OR(K966="Backend",K966="SAP"),N966=""),"Add HTTP status + endpoint",IF(AND(OR(K966="Backend",K966="SAP",K966="Network"),P966=""),"Add Correlation ID",IF(AND(I966="Fail",T966=""),"Write Root Cause / evidence gap",IF(AND(I966="Fail",V966=""),"Assign team","OK"))))))))</f>
        <v/>
      </c>
    </row>
    <row r="967">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f>IF(I967="","",IF(AND(I967="Fail",K967=""),"Classify Issue Source",IF(AND(I967="Fail",W967=""),"Set Confidence",IF(AND(K967="Unknown",W967&lt;&gt;"Low"),"Unknown must be Low confidence",IF(AND(OR(K967="Backend",K967="SAP"),N967=""),"Add HTTP status + endpoint",IF(AND(OR(K967="Backend",K967="SAP",K967="Network"),P967=""),"Add Correlation ID",IF(AND(I967="Fail",T967=""),"Write Root Cause / evidence gap",IF(AND(I967="Fail",V967=""),"Assign team","OK"))))))))</f>
        <v/>
      </c>
    </row>
    <row r="968">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f>IF(I968="","",IF(AND(I968="Fail",K968=""),"Classify Issue Source",IF(AND(I968="Fail",W968=""),"Set Confidence",IF(AND(K968="Unknown",W968&lt;&gt;"Low"),"Unknown must be Low confidence",IF(AND(OR(K968="Backend",K968="SAP"),N968=""),"Add HTTP status + endpoint",IF(AND(OR(K968="Backend",K968="SAP",K968="Network"),P968=""),"Add Correlation ID",IF(AND(I968="Fail",T968=""),"Write Root Cause / evidence gap",IF(AND(I968="Fail",V968=""),"Assign team","OK"))))))))</f>
        <v/>
      </c>
    </row>
    <row r="96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f>IF(I969="","",IF(AND(I969="Fail",K969=""),"Classify Issue Source",IF(AND(I969="Fail",W969=""),"Set Confidence",IF(AND(K969="Unknown",W969&lt;&gt;"Low"),"Unknown must be Low confidence",IF(AND(OR(K969="Backend",K969="SAP"),N969=""),"Add HTTP status + endpoint",IF(AND(OR(K969="Backend",K969="SAP",K969="Network"),P969=""),"Add Correlation ID",IF(AND(I969="Fail",T969=""),"Write Root Cause / evidence gap",IF(AND(I969="Fail",V969=""),"Assign team","OK"))))))))</f>
        <v/>
      </c>
    </row>
    <row r="970">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f>IF(I970="","",IF(AND(I970="Fail",K970=""),"Classify Issue Source",IF(AND(I970="Fail",W970=""),"Set Confidence",IF(AND(K970="Unknown",W970&lt;&gt;"Low"),"Unknown must be Low confidence",IF(AND(OR(K970="Backend",K970="SAP"),N970=""),"Add HTTP status + endpoint",IF(AND(OR(K970="Backend",K970="SAP",K970="Network"),P970=""),"Add Correlation ID",IF(AND(I970="Fail",T970=""),"Write Root Cause / evidence gap",IF(AND(I970="Fail",V970=""),"Assign team","OK"))))))))</f>
        <v/>
      </c>
    </row>
    <row r="971">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f>IF(I971="","",IF(AND(I971="Fail",K971=""),"Classify Issue Source",IF(AND(I971="Fail",W971=""),"Set Confidence",IF(AND(K971="Unknown",W971&lt;&gt;"Low"),"Unknown must be Low confidence",IF(AND(OR(K971="Backend",K971="SAP"),N971=""),"Add HTTP status + endpoint",IF(AND(OR(K971="Backend",K971="SAP",K971="Network"),P971=""),"Add Correlation ID",IF(AND(I971="Fail",T971=""),"Write Root Cause / evidence gap",IF(AND(I971="Fail",V971=""),"Assign team","OK"))))))))</f>
        <v/>
      </c>
    </row>
    <row r="972">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f>IF(I972="","",IF(AND(I972="Fail",K972=""),"Classify Issue Source",IF(AND(I972="Fail",W972=""),"Set Confidence",IF(AND(K972="Unknown",W972&lt;&gt;"Low"),"Unknown must be Low confidence",IF(AND(OR(K972="Backend",K972="SAP"),N972=""),"Add HTTP status + endpoint",IF(AND(OR(K972="Backend",K972="SAP",K972="Network"),P972=""),"Add Correlation ID",IF(AND(I972="Fail",T972=""),"Write Root Cause / evidence gap",IF(AND(I972="Fail",V972=""),"Assign team","OK"))))))))</f>
        <v/>
      </c>
    </row>
    <row r="973">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f>IF(I973="","",IF(AND(I973="Fail",K973=""),"Classify Issue Source",IF(AND(I973="Fail",W973=""),"Set Confidence",IF(AND(K973="Unknown",W973&lt;&gt;"Low"),"Unknown must be Low confidence",IF(AND(OR(K973="Backend",K973="SAP"),N973=""),"Add HTTP status + endpoint",IF(AND(OR(K973="Backend",K973="SAP",K973="Network"),P973=""),"Add Correlation ID",IF(AND(I973="Fail",T973=""),"Write Root Cause / evidence gap",IF(AND(I973="Fail",V973=""),"Assign team","OK"))))))))</f>
        <v/>
      </c>
    </row>
    <row r="974">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f>IF(I974="","",IF(AND(I974="Fail",K974=""),"Classify Issue Source",IF(AND(I974="Fail",W974=""),"Set Confidence",IF(AND(K974="Unknown",W974&lt;&gt;"Low"),"Unknown must be Low confidence",IF(AND(OR(K974="Backend",K974="SAP"),N974=""),"Add HTTP status + endpoint",IF(AND(OR(K974="Backend",K974="SAP",K974="Network"),P974=""),"Add Correlation ID",IF(AND(I974="Fail",T974=""),"Write Root Cause / evidence gap",IF(AND(I974="Fail",V974=""),"Assign team","OK"))))))))</f>
        <v/>
      </c>
    </row>
    <row r="975">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f>IF(I975="","",IF(AND(I975="Fail",K975=""),"Classify Issue Source",IF(AND(I975="Fail",W975=""),"Set Confidence",IF(AND(K975="Unknown",W975&lt;&gt;"Low"),"Unknown must be Low confidence",IF(AND(OR(K975="Backend",K975="SAP"),N975=""),"Add HTTP status + endpoint",IF(AND(OR(K975="Backend",K975="SAP",K975="Network"),P975=""),"Add Correlation ID",IF(AND(I975="Fail",T975=""),"Write Root Cause / evidence gap",IF(AND(I975="Fail",V975=""),"Assign team","OK"))))))))</f>
        <v/>
      </c>
    </row>
    <row r="976">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f>IF(I976="","",IF(AND(I976="Fail",K976=""),"Classify Issue Source",IF(AND(I976="Fail",W976=""),"Set Confidence",IF(AND(K976="Unknown",W976&lt;&gt;"Low"),"Unknown must be Low confidence",IF(AND(OR(K976="Backend",K976="SAP"),N976=""),"Add HTTP status + endpoint",IF(AND(OR(K976="Backend",K976="SAP",K976="Network"),P976=""),"Add Correlation ID",IF(AND(I976="Fail",T976=""),"Write Root Cause / evidence gap",IF(AND(I976="Fail",V976=""),"Assign team","OK"))))))))</f>
        <v/>
      </c>
    </row>
    <row r="977">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f>IF(I977="","",IF(AND(I977="Fail",K977=""),"Classify Issue Source",IF(AND(I977="Fail",W977=""),"Set Confidence",IF(AND(K977="Unknown",W977&lt;&gt;"Low"),"Unknown must be Low confidence",IF(AND(OR(K977="Backend",K977="SAP"),N977=""),"Add HTTP status + endpoint",IF(AND(OR(K977="Backend",K977="SAP",K977="Network"),P977=""),"Add Correlation ID",IF(AND(I977="Fail",T977=""),"Write Root Cause / evidence gap",IF(AND(I977="Fail",V977=""),"Assign team","OK"))))))))</f>
        <v/>
      </c>
    </row>
    <row r="978">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f>IF(I978="","",IF(AND(I978="Fail",K978=""),"Classify Issue Source",IF(AND(I978="Fail",W978=""),"Set Confidence",IF(AND(K978="Unknown",W978&lt;&gt;"Low"),"Unknown must be Low confidence",IF(AND(OR(K978="Backend",K978="SAP"),N978=""),"Add HTTP status + endpoint",IF(AND(OR(K978="Backend",K978="SAP",K978="Network"),P978=""),"Add Correlation ID",IF(AND(I978="Fail",T978=""),"Write Root Cause / evidence gap",IF(AND(I978="Fail",V978=""),"Assign team","OK"))))))))</f>
        <v/>
      </c>
    </row>
    <row r="9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f>IF(I979="","",IF(AND(I979="Fail",K979=""),"Classify Issue Source",IF(AND(I979="Fail",W979=""),"Set Confidence",IF(AND(K979="Unknown",W979&lt;&gt;"Low"),"Unknown must be Low confidence",IF(AND(OR(K979="Backend",K979="SAP"),N979=""),"Add HTTP status + endpoint",IF(AND(OR(K979="Backend",K979="SAP",K979="Network"),P979=""),"Add Correlation ID",IF(AND(I979="Fail",T979=""),"Write Root Cause / evidence gap",IF(AND(I979="Fail",V979=""),"Assign team","OK"))))))))</f>
        <v/>
      </c>
    </row>
    <row r="980">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f>IF(I980="","",IF(AND(I980="Fail",K980=""),"Classify Issue Source",IF(AND(I980="Fail",W980=""),"Set Confidence",IF(AND(K980="Unknown",W980&lt;&gt;"Low"),"Unknown must be Low confidence",IF(AND(OR(K980="Backend",K980="SAP"),N980=""),"Add HTTP status + endpoint",IF(AND(OR(K980="Backend",K980="SAP",K980="Network"),P980=""),"Add Correlation ID",IF(AND(I980="Fail",T980=""),"Write Root Cause / evidence gap",IF(AND(I980="Fail",V980=""),"Assign team","OK"))))))))</f>
        <v/>
      </c>
    </row>
    <row r="981">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f>IF(I981="","",IF(AND(I981="Fail",K981=""),"Classify Issue Source",IF(AND(I981="Fail",W981=""),"Set Confidence",IF(AND(K981="Unknown",W981&lt;&gt;"Low"),"Unknown must be Low confidence",IF(AND(OR(K981="Backend",K981="SAP"),N981=""),"Add HTTP status + endpoint",IF(AND(OR(K981="Backend",K981="SAP",K981="Network"),P981=""),"Add Correlation ID",IF(AND(I981="Fail",T981=""),"Write Root Cause / evidence gap",IF(AND(I981="Fail",V981=""),"Assign team","OK"))))))))</f>
        <v/>
      </c>
    </row>
    <row r="982">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f>IF(I982="","",IF(AND(I982="Fail",K982=""),"Classify Issue Source",IF(AND(I982="Fail",W982=""),"Set Confidence",IF(AND(K982="Unknown",W982&lt;&gt;"Low"),"Unknown must be Low confidence",IF(AND(OR(K982="Backend",K982="SAP"),N982=""),"Add HTTP status + endpoint",IF(AND(OR(K982="Backend",K982="SAP",K982="Network"),P982=""),"Add Correlation ID",IF(AND(I982="Fail",T982=""),"Write Root Cause / evidence gap",IF(AND(I982="Fail",V982=""),"Assign team","OK"))))))))</f>
        <v/>
      </c>
    </row>
    <row r="983">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f>IF(I983="","",IF(AND(I983="Fail",K983=""),"Classify Issue Source",IF(AND(I983="Fail",W983=""),"Set Confidence",IF(AND(K983="Unknown",W983&lt;&gt;"Low"),"Unknown must be Low confidence",IF(AND(OR(K983="Backend",K983="SAP"),N983=""),"Add HTTP status + endpoint",IF(AND(OR(K983="Backend",K983="SAP",K983="Network"),P983=""),"Add Correlation ID",IF(AND(I983="Fail",T983=""),"Write Root Cause / evidence gap",IF(AND(I983="Fail",V983=""),"Assign team","OK"))))))))</f>
        <v/>
      </c>
    </row>
    <row r="984">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f>IF(I984="","",IF(AND(I984="Fail",K984=""),"Classify Issue Source",IF(AND(I984="Fail",W984=""),"Set Confidence",IF(AND(K984="Unknown",W984&lt;&gt;"Low"),"Unknown must be Low confidence",IF(AND(OR(K984="Backend",K984="SAP"),N984=""),"Add HTTP status + endpoint",IF(AND(OR(K984="Backend",K984="SAP",K984="Network"),P984=""),"Add Correlation ID",IF(AND(I984="Fail",T984=""),"Write Root Cause / evidence gap",IF(AND(I984="Fail",V984=""),"Assign team","OK"))))))))</f>
        <v/>
      </c>
    </row>
    <row r="985">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f>IF(I985="","",IF(AND(I985="Fail",K985=""),"Classify Issue Source",IF(AND(I985="Fail",W985=""),"Set Confidence",IF(AND(K985="Unknown",W985&lt;&gt;"Low"),"Unknown must be Low confidence",IF(AND(OR(K985="Backend",K985="SAP"),N985=""),"Add HTTP status + endpoint",IF(AND(OR(K985="Backend",K985="SAP",K985="Network"),P985=""),"Add Correlation ID",IF(AND(I985="Fail",T985=""),"Write Root Cause / evidence gap",IF(AND(I985="Fail",V985=""),"Assign team","OK"))))))))</f>
        <v/>
      </c>
    </row>
    <row r="986">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f>IF(I986="","",IF(AND(I986="Fail",K986=""),"Classify Issue Source",IF(AND(I986="Fail",W986=""),"Set Confidence",IF(AND(K986="Unknown",W986&lt;&gt;"Low"),"Unknown must be Low confidence",IF(AND(OR(K986="Backend",K986="SAP"),N986=""),"Add HTTP status + endpoint",IF(AND(OR(K986="Backend",K986="SAP",K986="Network"),P986=""),"Add Correlation ID",IF(AND(I986="Fail",T986=""),"Write Root Cause / evidence gap",IF(AND(I986="Fail",V986=""),"Assign team","OK"))))))))</f>
        <v/>
      </c>
    </row>
    <row r="987">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f>IF(I987="","",IF(AND(I987="Fail",K987=""),"Classify Issue Source",IF(AND(I987="Fail",W987=""),"Set Confidence",IF(AND(K987="Unknown",W987&lt;&gt;"Low"),"Unknown must be Low confidence",IF(AND(OR(K987="Backend",K987="SAP"),N987=""),"Add HTTP status + endpoint",IF(AND(OR(K987="Backend",K987="SAP",K987="Network"),P987=""),"Add Correlation ID",IF(AND(I987="Fail",T987=""),"Write Root Cause / evidence gap",IF(AND(I987="Fail",V987=""),"Assign team","OK"))))))))</f>
        <v/>
      </c>
    </row>
    <row r="988">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f>IF(I988="","",IF(AND(I988="Fail",K988=""),"Classify Issue Source",IF(AND(I988="Fail",W988=""),"Set Confidence",IF(AND(K988="Unknown",W988&lt;&gt;"Low"),"Unknown must be Low confidence",IF(AND(OR(K988="Backend",K988="SAP"),N988=""),"Add HTTP status + endpoint",IF(AND(OR(K988="Backend",K988="SAP",K988="Network"),P988=""),"Add Correlation ID",IF(AND(I988="Fail",T988=""),"Write Root Cause / evidence gap",IF(AND(I988="Fail",V988=""),"Assign team","OK"))))))))</f>
        <v/>
      </c>
    </row>
    <row r="98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f>IF(I989="","",IF(AND(I989="Fail",K989=""),"Classify Issue Source",IF(AND(I989="Fail",W989=""),"Set Confidence",IF(AND(K989="Unknown",W989&lt;&gt;"Low"),"Unknown must be Low confidence",IF(AND(OR(K989="Backend",K989="SAP"),N989=""),"Add HTTP status + endpoint",IF(AND(OR(K989="Backend",K989="SAP",K989="Network"),P989=""),"Add Correlation ID",IF(AND(I989="Fail",T989=""),"Write Root Cause / evidence gap",IF(AND(I989="Fail",V989=""),"Assign team","OK"))))))))</f>
        <v/>
      </c>
    </row>
    <row r="990">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f>IF(I990="","",IF(AND(I990="Fail",K990=""),"Classify Issue Source",IF(AND(I990="Fail",W990=""),"Set Confidence",IF(AND(K990="Unknown",W990&lt;&gt;"Low"),"Unknown must be Low confidence",IF(AND(OR(K990="Backend",K990="SAP"),N990=""),"Add HTTP status + endpoint",IF(AND(OR(K990="Backend",K990="SAP",K990="Network"),P990=""),"Add Correlation ID",IF(AND(I990="Fail",T990=""),"Write Root Cause / evidence gap",IF(AND(I990="Fail",V990=""),"Assign team","OK"))))))))</f>
        <v/>
      </c>
    </row>
    <row r="991">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f>IF(I991="","",IF(AND(I991="Fail",K991=""),"Classify Issue Source",IF(AND(I991="Fail",W991=""),"Set Confidence",IF(AND(K991="Unknown",W991&lt;&gt;"Low"),"Unknown must be Low confidence",IF(AND(OR(K991="Backend",K991="SAP"),N991=""),"Add HTTP status + endpoint",IF(AND(OR(K991="Backend",K991="SAP",K991="Network"),P991=""),"Add Correlation ID",IF(AND(I991="Fail",T991=""),"Write Root Cause / evidence gap",IF(AND(I991="Fail",V991=""),"Assign team","OK"))))))))</f>
        <v/>
      </c>
    </row>
    <row r="992">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f>IF(I992="","",IF(AND(I992="Fail",K992=""),"Classify Issue Source",IF(AND(I992="Fail",W992=""),"Set Confidence",IF(AND(K992="Unknown",W992&lt;&gt;"Low"),"Unknown must be Low confidence",IF(AND(OR(K992="Backend",K992="SAP"),N992=""),"Add HTTP status + endpoint",IF(AND(OR(K992="Backend",K992="SAP",K992="Network"),P992=""),"Add Correlation ID",IF(AND(I992="Fail",T992=""),"Write Root Cause / evidence gap",IF(AND(I992="Fail",V992=""),"Assign team","OK"))))))))</f>
        <v/>
      </c>
    </row>
    <row r="993">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f>IF(I993="","",IF(AND(I993="Fail",K993=""),"Classify Issue Source",IF(AND(I993="Fail",W993=""),"Set Confidence",IF(AND(K993="Unknown",W993&lt;&gt;"Low"),"Unknown must be Low confidence",IF(AND(OR(K993="Backend",K993="SAP"),N993=""),"Add HTTP status + endpoint",IF(AND(OR(K993="Backend",K993="SAP",K993="Network"),P993=""),"Add Correlation ID",IF(AND(I993="Fail",T993=""),"Write Root Cause / evidence gap",IF(AND(I993="Fail",V993=""),"Assign team","OK"))))))))</f>
        <v/>
      </c>
    </row>
    <row r="994">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f>IF(I994="","",IF(AND(I994="Fail",K994=""),"Classify Issue Source",IF(AND(I994="Fail",W994=""),"Set Confidence",IF(AND(K994="Unknown",W994&lt;&gt;"Low"),"Unknown must be Low confidence",IF(AND(OR(K994="Backend",K994="SAP"),N994=""),"Add HTTP status + endpoint",IF(AND(OR(K994="Backend",K994="SAP",K994="Network"),P994=""),"Add Correlation ID",IF(AND(I994="Fail",T994=""),"Write Root Cause / evidence gap",IF(AND(I994="Fail",V994=""),"Assign team","OK"))))))))</f>
        <v/>
      </c>
    </row>
    <row r="995">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f>IF(I995="","",IF(AND(I995="Fail",K995=""),"Classify Issue Source",IF(AND(I995="Fail",W995=""),"Set Confidence",IF(AND(K995="Unknown",W995&lt;&gt;"Low"),"Unknown must be Low confidence",IF(AND(OR(K995="Backend",K995="SAP"),N995=""),"Add HTTP status + endpoint",IF(AND(OR(K995="Backend",K995="SAP",K995="Network"),P995=""),"Add Correlation ID",IF(AND(I995="Fail",T995=""),"Write Root Cause / evidence gap",IF(AND(I995="Fail",V995=""),"Assign team","OK"))))))))</f>
        <v/>
      </c>
    </row>
    <row r="996">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f>IF(I996="","",IF(AND(I996="Fail",K996=""),"Classify Issue Source",IF(AND(I996="Fail",W996=""),"Set Confidence",IF(AND(K996="Unknown",W996&lt;&gt;"Low"),"Unknown must be Low confidence",IF(AND(OR(K996="Backend",K996="SAP"),N996=""),"Add HTTP status + endpoint",IF(AND(OR(K996="Backend",K996="SAP",K996="Network"),P996=""),"Add Correlation ID",IF(AND(I996="Fail",T996=""),"Write Root Cause / evidence gap",IF(AND(I996="Fail",V996=""),"Assign team","OK"))))))))</f>
        <v/>
      </c>
    </row>
    <row r="997">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f>IF(I997="","",IF(AND(I997="Fail",K997=""),"Classify Issue Source",IF(AND(I997="Fail",W997=""),"Set Confidence",IF(AND(K997="Unknown",W997&lt;&gt;"Low"),"Unknown must be Low confidence",IF(AND(OR(K997="Backend",K997="SAP"),N997=""),"Add HTTP status + endpoint",IF(AND(OR(K997="Backend",K997="SAP",K997="Network"),P997=""),"Add Correlation ID",IF(AND(I997="Fail",T997=""),"Write Root Cause / evidence gap",IF(AND(I997="Fail",V997=""),"Assign team","OK"))))))))</f>
        <v/>
      </c>
    </row>
    <row r="998">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f>IF(I998="","",IF(AND(I998="Fail",K998=""),"Classify Issue Source",IF(AND(I998="Fail",W998=""),"Set Confidence",IF(AND(K998="Unknown",W998&lt;&gt;"Low"),"Unknown must be Low confidence",IF(AND(OR(K998="Backend",K998="SAP"),N998=""),"Add HTTP status + endpoint",IF(AND(OR(K998="Backend",K998="SAP",K998="Network"),P998=""),"Add Correlation ID",IF(AND(I998="Fail",T998=""),"Write Root Cause / evidence gap",IF(AND(I998="Fail",V998=""),"Assign team","OK"))))))))</f>
        <v/>
      </c>
    </row>
    <row r="999">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f>IF(I999="","",IF(AND(I999="Fail",K999=""),"Classify Issue Source",IF(AND(I999="Fail",W999=""),"Set Confidence",IF(AND(K999="Unknown",W999&lt;&gt;"Low"),"Unknown must be Low confidence",IF(AND(OR(K999="Backend",K999="SAP"),N999=""),"Add HTTP status + endpoint",IF(AND(OR(K999="Backend",K999="SAP",K999="Network"),P999=""),"Add Correlation ID",IF(AND(I999="Fail",T999=""),"Write Root Cause / evidence gap",IF(AND(I999="Fail",V999=""),"Assign team","OK"))))))))</f>
        <v/>
      </c>
    </row>
    <row r="1000">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f>IF(I1000="","",IF(AND(I1000="Fail",K1000=""),"Classify Issue Source",IF(AND(I1000="Fail",W1000=""),"Set Confidence",IF(AND(K1000="Unknown",W1000&lt;&gt;"Low"),"Unknown must be Low confidence",IF(AND(OR(K1000="Backend",K1000="SAP"),N1000=""),"Add HTTP status + endpoint",IF(AND(OR(K1000="Backend",K1000="SAP",K1000="Network"),P1000=""),"Add Correlation ID",IF(AND(I1000="Fail",T1000=""),"Write Root Cause / evidence gap",IF(AND(I1000="Fail",V1000=""),"Assign team","OK"))))))))</f>
        <v/>
      </c>
    </row>
    <row r="1001">
      <c r="A1001" s="5" t="n"/>
      <c r="B1001" s="5" t="n"/>
      <c r="C1001" s="5" t="n"/>
      <c r="D1001" s="5" t="n"/>
      <c r="E1001" s="5" t="n"/>
      <c r="F1001" s="5" t="n"/>
      <c r="G1001" s="5" t="n"/>
      <c r="H1001" s="5" t="n"/>
      <c r="I1001" s="5" t="n"/>
      <c r="J1001" s="5" t="n"/>
      <c r="K1001" s="5" t="n"/>
      <c r="L1001" s="5" t="n"/>
      <c r="M1001" s="5" t="n"/>
      <c r="N1001" s="5" t="n"/>
      <c r="O1001" s="5" t="n"/>
      <c r="P1001" s="5" t="n"/>
      <c r="Q1001" s="5" t="n"/>
      <c r="R1001" s="5" t="n"/>
      <c r="S1001" s="5" t="n"/>
      <c r="T1001" s="5" t="n"/>
      <c r="U1001" s="5" t="n"/>
      <c r="V1001" s="5" t="n"/>
      <c r="W1001" s="5" t="n"/>
      <c r="X1001" s="5" t="n"/>
      <c r="Y1001" s="5">
        <f>IF(I1001="","",IF(AND(I1001="Fail",K1001=""),"Classify Issue Source",IF(AND(I1001="Fail",W1001=""),"Set Confidence",IF(AND(K1001="Unknown",W1001&lt;&gt;"Low"),"Unknown must be Low confidence",IF(AND(OR(K1001="Backend",K1001="SAP"),N1001=""),"Add HTTP status + endpoint",IF(AND(OR(K1001="Backend",K1001="SAP",K1001="Network"),P1001=""),"Add Correlation ID",IF(AND(I1001="Fail",T1001=""),"Write Root Cause / evidence gap",IF(AND(I1001="Fail",V1001=""),"Assign team","OK"))))))))</f>
        <v/>
      </c>
    </row>
    <row r="1002">
      <c r="A1002" s="5" t="n"/>
      <c r="B1002" s="5" t="n"/>
      <c r="C1002" s="5" t="n"/>
      <c r="D1002" s="5" t="n"/>
      <c r="E1002" s="5" t="n"/>
      <c r="F1002" s="5" t="n"/>
      <c r="G1002" s="5" t="n"/>
      <c r="H1002" s="5" t="n"/>
      <c r="I1002" s="5" t="n"/>
      <c r="J1002" s="5" t="n"/>
      <c r="K1002" s="5" t="n"/>
      <c r="L1002" s="5" t="n"/>
      <c r="M1002" s="5" t="n"/>
      <c r="N1002" s="5" t="n"/>
      <c r="O1002" s="5" t="n"/>
      <c r="P1002" s="5" t="n"/>
      <c r="Q1002" s="5" t="n"/>
      <c r="R1002" s="5" t="n"/>
      <c r="S1002" s="5" t="n"/>
      <c r="T1002" s="5" t="n"/>
      <c r="U1002" s="5" t="n"/>
      <c r="V1002" s="5" t="n"/>
      <c r="W1002" s="5" t="n"/>
      <c r="X1002" s="5" t="n"/>
      <c r="Y1002" s="5">
        <f>IF(I1002="","",IF(AND(I1002="Fail",K1002=""),"Classify Issue Source",IF(AND(I1002="Fail",W1002=""),"Set Confidence",IF(AND(K1002="Unknown",W1002&lt;&gt;"Low"),"Unknown must be Low confidence",IF(AND(OR(K1002="Backend",K1002="SAP"),N1002=""),"Add HTTP status + endpoint",IF(AND(OR(K1002="Backend",K1002="SAP",K1002="Network"),P1002=""),"Add Correlation ID",IF(AND(I1002="Fail",T1002=""),"Write Root Cause / evidence gap",IF(AND(I1002="Fail",V1002=""),"Assign team","OK"))))))))</f>
        <v/>
      </c>
    </row>
    <row r="1003">
      <c r="A1003" s="5" t="n"/>
      <c r="B1003" s="5" t="n"/>
      <c r="C1003" s="5" t="n"/>
      <c r="D1003" s="5" t="n"/>
      <c r="E1003" s="5" t="n"/>
      <c r="F1003" s="5" t="n"/>
      <c r="G1003" s="5" t="n"/>
      <c r="H1003" s="5" t="n"/>
      <c r="I1003" s="5" t="n"/>
      <c r="J1003" s="5" t="n"/>
      <c r="K1003" s="5" t="n"/>
      <c r="L1003" s="5" t="n"/>
      <c r="M1003" s="5" t="n"/>
      <c r="N1003" s="5" t="n"/>
      <c r="O1003" s="5" t="n"/>
      <c r="P1003" s="5" t="n"/>
      <c r="Q1003" s="5" t="n"/>
      <c r="R1003" s="5" t="n"/>
      <c r="S1003" s="5" t="n"/>
      <c r="T1003" s="5" t="n"/>
      <c r="U1003" s="5" t="n"/>
      <c r="V1003" s="5" t="n"/>
      <c r="W1003" s="5" t="n"/>
      <c r="X1003" s="5" t="n"/>
      <c r="Y1003" s="5">
        <f>IF(I1003="","",IF(AND(I1003="Fail",K1003=""),"Classify Issue Source",IF(AND(I1003="Fail",W1003=""),"Set Confidence",IF(AND(K1003="Unknown",W1003&lt;&gt;"Low"),"Unknown must be Low confidence",IF(AND(OR(K1003="Backend",K1003="SAP"),N1003=""),"Add HTTP status + endpoint",IF(AND(OR(K1003="Backend",K1003="SAP",K1003="Network"),P1003=""),"Add Correlation ID",IF(AND(I1003="Fail",T1003=""),"Write Root Cause / evidence gap",IF(AND(I1003="Fail",V1003=""),"Assign team","OK"))))))))</f>
        <v/>
      </c>
    </row>
    <row r="1004">
      <c r="A1004" s="5" t="n"/>
      <c r="B1004" s="5" t="n"/>
      <c r="C1004" s="5" t="n"/>
      <c r="D1004" s="5" t="n"/>
      <c r="E1004" s="5" t="n"/>
      <c r="F1004" s="5" t="n"/>
      <c r="G1004" s="5" t="n"/>
      <c r="H1004" s="5" t="n"/>
      <c r="I1004" s="5" t="n"/>
      <c r="J1004" s="5" t="n"/>
      <c r="K1004" s="5" t="n"/>
      <c r="L1004" s="5" t="n"/>
      <c r="M1004" s="5" t="n"/>
      <c r="N1004" s="5" t="n"/>
      <c r="O1004" s="5" t="n"/>
      <c r="P1004" s="5" t="n"/>
      <c r="Q1004" s="5" t="n"/>
      <c r="R1004" s="5" t="n"/>
      <c r="S1004" s="5" t="n"/>
      <c r="T1004" s="5" t="n"/>
      <c r="U1004" s="5" t="n"/>
      <c r="V1004" s="5" t="n"/>
      <c r="W1004" s="5" t="n"/>
      <c r="X1004" s="5" t="n"/>
      <c r="Y1004" s="5">
        <f>IF(I1004="","",IF(AND(I1004="Fail",K1004=""),"Classify Issue Source",IF(AND(I1004="Fail",W1004=""),"Set Confidence",IF(AND(K1004="Unknown",W1004&lt;&gt;"Low"),"Unknown must be Low confidence",IF(AND(OR(K1004="Backend",K1004="SAP"),N1004=""),"Add HTTP status + endpoint",IF(AND(OR(K1004="Backend",K1004="SAP",K1004="Network"),P1004=""),"Add Correlation ID",IF(AND(I1004="Fail",T1004=""),"Write Root Cause / evidence gap",IF(AND(I1004="Fail",V1004=""),"Assign team","OK"))))))))</f>
        <v/>
      </c>
    </row>
    <row r="1005">
      <c r="A1005" s="5" t="n"/>
      <c r="B1005" s="5" t="n"/>
      <c r="C1005" s="5" t="n"/>
      <c r="D1005" s="5" t="n"/>
      <c r="E1005" s="5" t="n"/>
      <c r="F1005" s="5" t="n"/>
      <c r="G1005" s="5" t="n"/>
      <c r="H1005" s="5" t="n"/>
      <c r="I1005" s="5" t="n"/>
      <c r="J1005" s="5" t="n"/>
      <c r="K1005" s="5" t="n"/>
      <c r="L1005" s="5" t="n"/>
      <c r="M1005" s="5" t="n"/>
      <c r="N1005" s="5" t="n"/>
      <c r="O1005" s="5" t="n"/>
      <c r="P1005" s="5" t="n"/>
      <c r="Q1005" s="5" t="n"/>
      <c r="R1005" s="5" t="n"/>
      <c r="S1005" s="5" t="n"/>
      <c r="T1005" s="5" t="n"/>
      <c r="U1005" s="5" t="n"/>
      <c r="V1005" s="5" t="n"/>
      <c r="W1005" s="5" t="n"/>
      <c r="X1005" s="5" t="n"/>
      <c r="Y1005" s="5">
        <f>IF(I1005="","",IF(AND(I1005="Fail",K1005=""),"Classify Issue Source",IF(AND(I1005="Fail",W1005=""),"Set Confidence",IF(AND(K1005="Unknown",W1005&lt;&gt;"Low"),"Unknown must be Low confidence",IF(AND(OR(K1005="Backend",K1005="SAP"),N1005=""),"Add HTTP status + endpoint",IF(AND(OR(K1005="Backend",K1005="SAP",K1005="Network"),P1005=""),"Add Correlation ID",IF(AND(I1005="Fail",T1005=""),"Write Root Cause / evidence gap",IF(AND(I1005="Fail",V1005=""),"Assign team","OK"))))))))</f>
        <v/>
      </c>
    </row>
    <row r="1006">
      <c r="A1006" s="5" t="n"/>
      <c r="B1006" s="5" t="n"/>
      <c r="C1006" s="5" t="n"/>
      <c r="D1006" s="5" t="n"/>
      <c r="E1006" s="5" t="n"/>
      <c r="F1006" s="5" t="n"/>
      <c r="G1006" s="5" t="n"/>
      <c r="H1006" s="5" t="n"/>
      <c r="I1006" s="5" t="n"/>
      <c r="J1006" s="5" t="n"/>
      <c r="K1006" s="5" t="n"/>
      <c r="L1006" s="5" t="n"/>
      <c r="M1006" s="5" t="n"/>
      <c r="N1006" s="5" t="n"/>
      <c r="O1006" s="5" t="n"/>
      <c r="P1006" s="5" t="n"/>
      <c r="Q1006" s="5" t="n"/>
      <c r="R1006" s="5" t="n"/>
      <c r="S1006" s="5" t="n"/>
      <c r="T1006" s="5" t="n"/>
      <c r="U1006" s="5" t="n"/>
      <c r="V1006" s="5" t="n"/>
      <c r="W1006" s="5" t="n"/>
      <c r="X1006" s="5" t="n"/>
      <c r="Y1006" s="5">
        <f>IF(I1006="","",IF(AND(I1006="Fail",K1006=""),"Classify Issue Source",IF(AND(I1006="Fail",W1006=""),"Set Confidence",IF(AND(K1006="Unknown",W1006&lt;&gt;"Low"),"Unknown must be Low confidence",IF(AND(OR(K1006="Backend",K1006="SAP"),N1006=""),"Add HTTP status + endpoint",IF(AND(OR(K1006="Backend",K1006="SAP",K1006="Network"),P1006=""),"Add Correlation ID",IF(AND(I1006="Fail",T1006=""),"Write Root Cause / evidence gap",IF(AND(I1006="Fail",V1006=""),"Assign team","OK"))))))))</f>
        <v/>
      </c>
    </row>
    <row r="1007">
      <c r="A1007" s="5" t="n"/>
      <c r="B1007" s="5" t="n"/>
      <c r="C1007" s="5" t="n"/>
      <c r="D1007" s="5" t="n"/>
      <c r="E1007" s="5" t="n"/>
      <c r="F1007" s="5" t="n"/>
      <c r="G1007" s="5" t="n"/>
      <c r="H1007" s="5" t="n"/>
      <c r="I1007" s="5" t="n"/>
      <c r="J1007" s="5" t="n"/>
      <c r="K1007" s="5" t="n"/>
      <c r="L1007" s="5" t="n"/>
      <c r="M1007" s="5" t="n"/>
      <c r="N1007" s="5" t="n"/>
      <c r="O1007" s="5" t="n"/>
      <c r="P1007" s="5" t="n"/>
      <c r="Q1007" s="5" t="n"/>
      <c r="R1007" s="5" t="n"/>
      <c r="S1007" s="5" t="n"/>
      <c r="T1007" s="5" t="n"/>
      <c r="U1007" s="5" t="n"/>
      <c r="V1007" s="5" t="n"/>
      <c r="W1007" s="5" t="n"/>
      <c r="X1007" s="5" t="n"/>
      <c r="Y1007" s="5">
        <f>IF(I1007="","",IF(AND(I1007="Fail",K1007=""),"Classify Issue Source",IF(AND(I1007="Fail",W1007=""),"Set Confidence",IF(AND(K1007="Unknown",W1007&lt;&gt;"Low"),"Unknown must be Low confidence",IF(AND(OR(K1007="Backend",K1007="SAP"),N1007=""),"Add HTTP status + endpoint",IF(AND(OR(K1007="Backend",K1007="SAP",K1007="Network"),P1007=""),"Add Correlation ID",IF(AND(I1007="Fail",T1007=""),"Write Root Cause / evidence gap",IF(AND(I1007="Fail",V1007=""),"Assign team","OK"))))))))</f>
        <v/>
      </c>
    </row>
    <row r="1008">
      <c r="A1008" s="5" t="n"/>
      <c r="B1008" s="5" t="n"/>
      <c r="C1008" s="5" t="n"/>
      <c r="D1008" s="5" t="n"/>
      <c r="E1008" s="5" t="n"/>
      <c r="F1008" s="5" t="n"/>
      <c r="G1008" s="5" t="n"/>
      <c r="H1008" s="5" t="n"/>
      <c r="I1008" s="5" t="n"/>
      <c r="J1008" s="5" t="n"/>
      <c r="K1008" s="5" t="n"/>
      <c r="L1008" s="5" t="n"/>
      <c r="M1008" s="5" t="n"/>
      <c r="N1008" s="5" t="n"/>
      <c r="O1008" s="5" t="n"/>
      <c r="P1008" s="5" t="n"/>
      <c r="Q1008" s="5" t="n"/>
      <c r="R1008" s="5" t="n"/>
      <c r="S1008" s="5" t="n"/>
      <c r="T1008" s="5" t="n"/>
      <c r="U1008" s="5" t="n"/>
      <c r="V1008" s="5" t="n"/>
      <c r="W1008" s="5" t="n"/>
      <c r="X1008" s="5" t="n"/>
      <c r="Y1008" s="5">
        <f>IF(I1008="","",IF(AND(I1008="Fail",K1008=""),"Classify Issue Source",IF(AND(I1008="Fail",W1008=""),"Set Confidence",IF(AND(K1008="Unknown",W1008&lt;&gt;"Low"),"Unknown must be Low confidence",IF(AND(OR(K1008="Backend",K1008="SAP"),N1008=""),"Add HTTP status + endpoint",IF(AND(OR(K1008="Backend",K1008="SAP",K1008="Network"),P1008=""),"Add Correlation ID",IF(AND(I1008="Fail",T1008=""),"Write Root Cause / evidence gap",IF(AND(I1008="Fail",V1008=""),"Assign team","OK"))))))))</f>
        <v/>
      </c>
    </row>
    <row r="1009">
      <c r="A1009" s="5" t="n"/>
      <c r="B1009" s="5" t="n"/>
      <c r="C1009" s="5" t="n"/>
      <c r="D1009" s="5" t="n"/>
      <c r="E1009" s="5" t="n"/>
      <c r="F1009" s="5" t="n"/>
      <c r="G1009" s="5" t="n"/>
      <c r="H1009" s="5" t="n"/>
      <c r="I1009" s="5" t="n"/>
      <c r="J1009" s="5" t="n"/>
      <c r="K1009" s="5" t="n"/>
      <c r="L1009" s="5" t="n"/>
      <c r="M1009" s="5" t="n"/>
      <c r="N1009" s="5" t="n"/>
      <c r="O1009" s="5" t="n"/>
      <c r="P1009" s="5" t="n"/>
      <c r="Q1009" s="5" t="n"/>
      <c r="R1009" s="5" t="n"/>
      <c r="S1009" s="5" t="n"/>
      <c r="T1009" s="5" t="n"/>
      <c r="U1009" s="5" t="n"/>
      <c r="V1009" s="5" t="n"/>
      <c r="W1009" s="5" t="n"/>
      <c r="X1009" s="5" t="n"/>
      <c r="Y1009" s="5">
        <f>IF(I1009="","",IF(AND(I1009="Fail",K1009=""),"Classify Issue Source",IF(AND(I1009="Fail",W1009=""),"Set Confidence",IF(AND(K1009="Unknown",W1009&lt;&gt;"Low"),"Unknown must be Low confidence",IF(AND(OR(K1009="Backend",K1009="SAP"),N1009=""),"Add HTTP status + endpoint",IF(AND(OR(K1009="Backend",K1009="SAP",K1009="Network"),P1009=""),"Add Correlation ID",IF(AND(I1009="Fail",T1009=""),"Write Root Cause / evidence gap",IF(AND(I1009="Fail",V1009=""),"Assign team","OK"))))))))</f>
        <v/>
      </c>
    </row>
    <row r="1010">
      <c r="A1010" s="5" t="n"/>
      <c r="B1010" s="5" t="n"/>
      <c r="C1010" s="5" t="n"/>
      <c r="D1010" s="5" t="n"/>
      <c r="E1010" s="5" t="n"/>
      <c r="F1010" s="5" t="n"/>
      <c r="G1010" s="5" t="n"/>
      <c r="H1010" s="5" t="n"/>
      <c r="I1010" s="5" t="n"/>
      <c r="J1010" s="5" t="n"/>
      <c r="K1010" s="5" t="n"/>
      <c r="L1010" s="5" t="n"/>
      <c r="M1010" s="5" t="n"/>
      <c r="N1010" s="5" t="n"/>
      <c r="O1010" s="5" t="n"/>
      <c r="P1010" s="5" t="n"/>
      <c r="Q1010" s="5" t="n"/>
      <c r="R1010" s="5" t="n"/>
      <c r="S1010" s="5" t="n"/>
      <c r="T1010" s="5" t="n"/>
      <c r="U1010" s="5" t="n"/>
      <c r="V1010" s="5" t="n"/>
      <c r="W1010" s="5" t="n"/>
      <c r="X1010" s="5" t="n"/>
      <c r="Y1010" s="5">
        <f>IF(I1010="","",IF(AND(I1010="Fail",K1010=""),"Classify Issue Source",IF(AND(I1010="Fail",W1010=""),"Set Confidence",IF(AND(K1010="Unknown",W1010&lt;&gt;"Low"),"Unknown must be Low confidence",IF(AND(OR(K1010="Backend",K1010="SAP"),N1010=""),"Add HTTP status + endpoint",IF(AND(OR(K1010="Backend",K1010="SAP",K1010="Network"),P1010=""),"Add Correlation ID",IF(AND(I1010="Fail",T1010=""),"Write Root Cause / evidence gap",IF(AND(I1010="Fail",V1010=""),"Assign team","OK"))))))))</f>
        <v/>
      </c>
    </row>
    <row r="1011">
      <c r="A1011" s="5" t="n"/>
      <c r="B1011" s="5" t="n"/>
      <c r="C1011" s="5" t="n"/>
      <c r="D1011" s="5" t="n"/>
      <c r="E1011" s="5" t="n"/>
      <c r="F1011" s="5" t="n"/>
      <c r="G1011" s="5" t="n"/>
      <c r="H1011" s="5" t="n"/>
      <c r="I1011" s="5" t="n"/>
      <c r="J1011" s="5" t="n"/>
      <c r="K1011" s="5" t="n"/>
      <c r="L1011" s="5" t="n"/>
      <c r="M1011" s="5" t="n"/>
      <c r="N1011" s="5" t="n"/>
      <c r="O1011" s="5" t="n"/>
      <c r="P1011" s="5" t="n"/>
      <c r="Q1011" s="5" t="n"/>
      <c r="R1011" s="5" t="n"/>
      <c r="S1011" s="5" t="n"/>
      <c r="T1011" s="5" t="n"/>
      <c r="U1011" s="5" t="n"/>
      <c r="V1011" s="5" t="n"/>
      <c r="W1011" s="5" t="n"/>
      <c r="X1011" s="5" t="n"/>
      <c r="Y1011" s="5">
        <f>IF(I1011="","",IF(AND(I1011="Fail",K1011=""),"Classify Issue Source",IF(AND(I1011="Fail",W1011=""),"Set Confidence",IF(AND(K1011="Unknown",W1011&lt;&gt;"Low"),"Unknown must be Low confidence",IF(AND(OR(K1011="Backend",K1011="SAP"),N1011=""),"Add HTTP status + endpoint",IF(AND(OR(K1011="Backend",K1011="SAP",K1011="Network"),P1011=""),"Add Correlation ID",IF(AND(I1011="Fail",T1011=""),"Write Root Cause / evidence gap",IF(AND(I1011="Fail",V1011=""),"Assign team","OK"))))))))</f>
        <v/>
      </c>
    </row>
    <row r="1012">
      <c r="A1012" s="5" t="n"/>
      <c r="B1012" s="5" t="n"/>
      <c r="C1012" s="5" t="n"/>
      <c r="D1012" s="5" t="n"/>
      <c r="E1012" s="5" t="n"/>
      <c r="F1012" s="5" t="n"/>
      <c r="G1012" s="5" t="n"/>
      <c r="H1012" s="5" t="n"/>
      <c r="I1012" s="5" t="n"/>
      <c r="J1012" s="5" t="n"/>
      <c r="K1012" s="5" t="n"/>
      <c r="L1012" s="5" t="n"/>
      <c r="M1012" s="5" t="n"/>
      <c r="N1012" s="5" t="n"/>
      <c r="O1012" s="5" t="n"/>
      <c r="P1012" s="5" t="n"/>
      <c r="Q1012" s="5" t="n"/>
      <c r="R1012" s="5" t="n"/>
      <c r="S1012" s="5" t="n"/>
      <c r="T1012" s="5" t="n"/>
      <c r="U1012" s="5" t="n"/>
      <c r="V1012" s="5" t="n"/>
      <c r="W1012" s="5" t="n"/>
      <c r="X1012" s="5" t="n"/>
      <c r="Y1012" s="5">
        <f>IF(I1012="","",IF(AND(I1012="Fail",K1012=""),"Classify Issue Source",IF(AND(I1012="Fail",W1012=""),"Set Confidence",IF(AND(K1012="Unknown",W1012&lt;&gt;"Low"),"Unknown must be Low confidence",IF(AND(OR(K1012="Backend",K1012="SAP"),N1012=""),"Add HTTP status + endpoint",IF(AND(OR(K1012="Backend",K1012="SAP",K1012="Network"),P1012=""),"Add Correlation ID",IF(AND(I1012="Fail",T1012=""),"Write Root Cause / evidence gap",IF(AND(I1012="Fail",V1012=""),"Assign team","OK"))))))))</f>
        <v/>
      </c>
    </row>
    <row r="1013">
      <c r="A1013" s="5" t="n"/>
      <c r="B1013" s="5" t="n"/>
      <c r="C1013" s="5" t="n"/>
      <c r="D1013" s="5" t="n"/>
      <c r="E1013" s="5" t="n"/>
      <c r="F1013" s="5" t="n"/>
      <c r="G1013" s="5" t="n"/>
      <c r="H1013" s="5" t="n"/>
      <c r="I1013" s="5" t="n"/>
      <c r="J1013" s="5" t="n"/>
      <c r="K1013" s="5" t="n"/>
      <c r="L1013" s="5" t="n"/>
      <c r="M1013" s="5" t="n"/>
      <c r="N1013" s="5" t="n"/>
      <c r="O1013" s="5" t="n"/>
      <c r="P1013" s="5" t="n"/>
      <c r="Q1013" s="5" t="n"/>
      <c r="R1013" s="5" t="n"/>
      <c r="S1013" s="5" t="n"/>
      <c r="T1013" s="5" t="n"/>
      <c r="U1013" s="5" t="n"/>
      <c r="V1013" s="5" t="n"/>
      <c r="W1013" s="5" t="n"/>
      <c r="X1013" s="5" t="n"/>
      <c r="Y1013" s="5">
        <f>IF(I1013="","",IF(AND(I1013="Fail",K1013=""),"Classify Issue Source",IF(AND(I1013="Fail",W1013=""),"Set Confidence",IF(AND(K1013="Unknown",W1013&lt;&gt;"Low"),"Unknown must be Low confidence",IF(AND(OR(K1013="Backend",K1013="SAP"),N1013=""),"Add HTTP status + endpoint",IF(AND(OR(K1013="Backend",K1013="SAP",K1013="Network"),P1013=""),"Add Correlation ID",IF(AND(I1013="Fail",T1013=""),"Write Root Cause / evidence gap",IF(AND(I1013="Fail",V1013=""),"Assign team","OK"))))))))</f>
        <v/>
      </c>
    </row>
    <row r="1014">
      <c r="A1014" s="5" t="n"/>
      <c r="B1014" s="5" t="n"/>
      <c r="C1014" s="5" t="n"/>
      <c r="D1014" s="5" t="n"/>
      <c r="E1014" s="5" t="n"/>
      <c r="F1014" s="5" t="n"/>
      <c r="G1014" s="5" t="n"/>
      <c r="H1014" s="5" t="n"/>
      <c r="I1014" s="5" t="n"/>
      <c r="J1014" s="5" t="n"/>
      <c r="K1014" s="5" t="n"/>
      <c r="L1014" s="5" t="n"/>
      <c r="M1014" s="5" t="n"/>
      <c r="N1014" s="5" t="n"/>
      <c r="O1014" s="5" t="n"/>
      <c r="P1014" s="5" t="n"/>
      <c r="Q1014" s="5" t="n"/>
      <c r="R1014" s="5" t="n"/>
      <c r="S1014" s="5" t="n"/>
      <c r="T1014" s="5" t="n"/>
      <c r="U1014" s="5" t="n"/>
      <c r="V1014" s="5" t="n"/>
      <c r="W1014" s="5" t="n"/>
      <c r="X1014" s="5" t="n"/>
      <c r="Y1014" s="5">
        <f>IF(I1014="","",IF(AND(I1014="Fail",K1014=""),"Classify Issue Source",IF(AND(I1014="Fail",W1014=""),"Set Confidence",IF(AND(K1014="Unknown",W1014&lt;&gt;"Low"),"Unknown must be Low confidence",IF(AND(OR(K1014="Backend",K1014="SAP"),N1014=""),"Add HTTP status + endpoint",IF(AND(OR(K1014="Backend",K1014="SAP",K1014="Network"),P1014=""),"Add Correlation ID",IF(AND(I1014="Fail",T1014=""),"Write Root Cause / evidence gap",IF(AND(I1014="Fail",V1014=""),"Assign team","OK"))))))))</f>
        <v/>
      </c>
    </row>
    <row r="1015">
      <c r="A1015" s="5" t="n"/>
      <c r="B1015" s="5" t="n"/>
      <c r="C1015" s="5" t="n"/>
      <c r="D1015" s="5" t="n"/>
      <c r="E1015" s="5" t="n"/>
      <c r="F1015" s="5" t="n"/>
      <c r="G1015" s="5" t="n"/>
      <c r="H1015" s="5" t="n"/>
      <c r="I1015" s="5" t="n"/>
      <c r="J1015" s="5" t="n"/>
      <c r="K1015" s="5" t="n"/>
      <c r="L1015" s="5" t="n"/>
      <c r="M1015" s="5" t="n"/>
      <c r="N1015" s="5" t="n"/>
      <c r="O1015" s="5" t="n"/>
      <c r="P1015" s="5" t="n"/>
      <c r="Q1015" s="5" t="n"/>
      <c r="R1015" s="5" t="n"/>
      <c r="S1015" s="5" t="n"/>
      <c r="T1015" s="5" t="n"/>
      <c r="U1015" s="5" t="n"/>
      <c r="V1015" s="5" t="n"/>
      <c r="W1015" s="5" t="n"/>
      <c r="X1015" s="5" t="n"/>
      <c r="Y1015" s="5">
        <f>IF(I1015="","",IF(AND(I1015="Fail",K1015=""),"Classify Issue Source",IF(AND(I1015="Fail",W1015=""),"Set Confidence",IF(AND(K1015="Unknown",W1015&lt;&gt;"Low"),"Unknown must be Low confidence",IF(AND(OR(K1015="Backend",K1015="SAP"),N1015=""),"Add HTTP status + endpoint",IF(AND(OR(K1015="Backend",K1015="SAP",K1015="Network"),P1015=""),"Add Correlation ID",IF(AND(I1015="Fail",T1015=""),"Write Root Cause / evidence gap",IF(AND(I1015="Fail",V1015=""),"Assign team","OK"))))))))</f>
        <v/>
      </c>
    </row>
    <row r="1016">
      <c r="A1016" s="5" t="n"/>
      <c r="B1016" s="5" t="n"/>
      <c r="C1016" s="5" t="n"/>
      <c r="D1016" s="5" t="n"/>
      <c r="E1016" s="5" t="n"/>
      <c r="F1016" s="5" t="n"/>
      <c r="G1016" s="5" t="n"/>
      <c r="H1016" s="5" t="n"/>
      <c r="I1016" s="5" t="n"/>
      <c r="J1016" s="5" t="n"/>
      <c r="K1016" s="5" t="n"/>
      <c r="L1016" s="5" t="n"/>
      <c r="M1016" s="5" t="n"/>
      <c r="N1016" s="5" t="n"/>
      <c r="O1016" s="5" t="n"/>
      <c r="P1016" s="5" t="n"/>
      <c r="Q1016" s="5" t="n"/>
      <c r="R1016" s="5" t="n"/>
      <c r="S1016" s="5" t="n"/>
      <c r="T1016" s="5" t="n"/>
      <c r="U1016" s="5" t="n"/>
      <c r="V1016" s="5" t="n"/>
      <c r="W1016" s="5" t="n"/>
      <c r="X1016" s="5" t="n"/>
      <c r="Y1016" s="5">
        <f>IF(I1016="","",IF(AND(I1016="Fail",K1016=""),"Classify Issue Source",IF(AND(I1016="Fail",W1016=""),"Set Confidence",IF(AND(K1016="Unknown",W1016&lt;&gt;"Low"),"Unknown must be Low confidence",IF(AND(OR(K1016="Backend",K1016="SAP"),N1016=""),"Add HTTP status + endpoint",IF(AND(OR(K1016="Backend",K1016="SAP",K1016="Network"),P1016=""),"Add Correlation ID",IF(AND(I1016="Fail",T1016=""),"Write Root Cause / evidence gap",IF(AND(I1016="Fail",V1016=""),"Assign team","OK"))))))))</f>
        <v/>
      </c>
    </row>
    <row r="1017">
      <c r="A1017" s="5" t="n"/>
      <c r="B1017" s="5" t="n"/>
      <c r="C1017" s="5" t="n"/>
      <c r="D1017" s="5" t="n"/>
      <c r="E1017" s="5" t="n"/>
      <c r="F1017" s="5" t="n"/>
      <c r="G1017" s="5" t="n"/>
      <c r="H1017" s="5" t="n"/>
      <c r="I1017" s="5" t="n"/>
      <c r="J1017" s="5" t="n"/>
      <c r="K1017" s="5" t="n"/>
      <c r="L1017" s="5" t="n"/>
      <c r="M1017" s="5" t="n"/>
      <c r="N1017" s="5" t="n"/>
      <c r="O1017" s="5" t="n"/>
      <c r="P1017" s="5" t="n"/>
      <c r="Q1017" s="5" t="n"/>
      <c r="R1017" s="5" t="n"/>
      <c r="S1017" s="5" t="n"/>
      <c r="T1017" s="5" t="n"/>
      <c r="U1017" s="5" t="n"/>
      <c r="V1017" s="5" t="n"/>
      <c r="W1017" s="5" t="n"/>
      <c r="X1017" s="5" t="n"/>
      <c r="Y1017" s="5">
        <f>IF(I1017="","",IF(AND(I1017="Fail",K1017=""),"Classify Issue Source",IF(AND(I1017="Fail",W1017=""),"Set Confidence",IF(AND(K1017="Unknown",W1017&lt;&gt;"Low"),"Unknown must be Low confidence",IF(AND(OR(K1017="Backend",K1017="SAP"),N1017=""),"Add HTTP status + endpoint",IF(AND(OR(K1017="Backend",K1017="SAP",K1017="Network"),P1017=""),"Add Correlation ID",IF(AND(I1017="Fail",T1017=""),"Write Root Cause / evidence gap",IF(AND(I1017="Fail",V1017=""),"Assign team","OK"))))))))</f>
        <v/>
      </c>
    </row>
    <row r="1018">
      <c r="A1018" s="5" t="n"/>
      <c r="B1018" s="5" t="n"/>
      <c r="C1018" s="5" t="n"/>
      <c r="D1018" s="5" t="n"/>
      <c r="E1018" s="5" t="n"/>
      <c r="F1018" s="5" t="n"/>
      <c r="G1018" s="5" t="n"/>
      <c r="H1018" s="5" t="n"/>
      <c r="I1018" s="5" t="n"/>
      <c r="J1018" s="5" t="n"/>
      <c r="K1018" s="5" t="n"/>
      <c r="L1018" s="5" t="n"/>
      <c r="M1018" s="5" t="n"/>
      <c r="N1018" s="5" t="n"/>
      <c r="O1018" s="5" t="n"/>
      <c r="P1018" s="5" t="n"/>
      <c r="Q1018" s="5" t="n"/>
      <c r="R1018" s="5" t="n"/>
      <c r="S1018" s="5" t="n"/>
      <c r="T1018" s="5" t="n"/>
      <c r="U1018" s="5" t="n"/>
      <c r="V1018" s="5" t="n"/>
      <c r="W1018" s="5" t="n"/>
      <c r="X1018" s="5" t="n"/>
      <c r="Y1018" s="5">
        <f>IF(I1018="","",IF(AND(I1018="Fail",K1018=""),"Classify Issue Source",IF(AND(I1018="Fail",W1018=""),"Set Confidence",IF(AND(K1018="Unknown",W1018&lt;&gt;"Low"),"Unknown must be Low confidence",IF(AND(OR(K1018="Backend",K1018="SAP"),N1018=""),"Add HTTP status + endpoint",IF(AND(OR(K1018="Backend",K1018="SAP",K1018="Network"),P1018=""),"Add Correlation ID",IF(AND(I1018="Fail",T1018=""),"Write Root Cause / evidence gap",IF(AND(I1018="Fail",V1018=""),"Assign team","OK"))))))))</f>
        <v/>
      </c>
    </row>
    <row r="1019">
      <c r="A1019" s="5" t="n"/>
      <c r="B1019" s="5" t="n"/>
      <c r="C1019" s="5" t="n"/>
      <c r="D1019" s="5" t="n"/>
      <c r="E1019" s="5" t="n"/>
      <c r="F1019" s="5" t="n"/>
      <c r="G1019" s="5" t="n"/>
      <c r="H1019" s="5" t="n"/>
      <c r="I1019" s="5" t="n"/>
      <c r="J1019" s="5" t="n"/>
      <c r="K1019" s="5" t="n"/>
      <c r="L1019" s="5" t="n"/>
      <c r="M1019" s="5" t="n"/>
      <c r="N1019" s="5" t="n"/>
      <c r="O1019" s="5" t="n"/>
      <c r="P1019" s="5" t="n"/>
      <c r="Q1019" s="5" t="n"/>
      <c r="R1019" s="5" t="n"/>
      <c r="S1019" s="5" t="n"/>
      <c r="T1019" s="5" t="n"/>
      <c r="U1019" s="5" t="n"/>
      <c r="V1019" s="5" t="n"/>
      <c r="W1019" s="5" t="n"/>
      <c r="X1019" s="5" t="n"/>
      <c r="Y1019" s="5">
        <f>IF(I1019="","",IF(AND(I1019="Fail",K1019=""),"Classify Issue Source",IF(AND(I1019="Fail",W1019=""),"Set Confidence",IF(AND(K1019="Unknown",W1019&lt;&gt;"Low"),"Unknown must be Low confidence",IF(AND(OR(K1019="Backend",K1019="SAP"),N1019=""),"Add HTTP status + endpoint",IF(AND(OR(K1019="Backend",K1019="SAP",K1019="Network"),P1019=""),"Add Correlation ID",IF(AND(I1019="Fail",T1019=""),"Write Root Cause / evidence gap",IF(AND(I1019="Fail",V1019=""),"Assign team","OK"))))))))</f>
        <v/>
      </c>
    </row>
    <row r="1020">
      <c r="A1020" s="5" t="n"/>
      <c r="B1020" s="5" t="n"/>
      <c r="C1020" s="5" t="n"/>
      <c r="D1020" s="5" t="n"/>
      <c r="E1020" s="5" t="n"/>
      <c r="F1020" s="5" t="n"/>
      <c r="G1020" s="5" t="n"/>
      <c r="H1020" s="5" t="n"/>
      <c r="I1020" s="5" t="n"/>
      <c r="J1020" s="5" t="n"/>
      <c r="K1020" s="5" t="n"/>
      <c r="L1020" s="5" t="n"/>
      <c r="M1020" s="5" t="n"/>
      <c r="N1020" s="5" t="n"/>
      <c r="O1020" s="5" t="n"/>
      <c r="P1020" s="5" t="n"/>
      <c r="Q1020" s="5" t="n"/>
      <c r="R1020" s="5" t="n"/>
      <c r="S1020" s="5" t="n"/>
      <c r="T1020" s="5" t="n"/>
      <c r="U1020" s="5" t="n"/>
      <c r="V1020" s="5" t="n"/>
      <c r="W1020" s="5" t="n"/>
      <c r="X1020" s="5" t="n"/>
      <c r="Y1020" s="5">
        <f>IF(I1020="","",IF(AND(I1020="Fail",K1020=""),"Classify Issue Source",IF(AND(I1020="Fail",W1020=""),"Set Confidence",IF(AND(K1020="Unknown",W1020&lt;&gt;"Low"),"Unknown must be Low confidence",IF(AND(OR(K1020="Backend",K1020="SAP"),N1020=""),"Add HTTP status + endpoint",IF(AND(OR(K1020="Backend",K1020="SAP",K1020="Network"),P1020=""),"Add Correlation ID",IF(AND(I1020="Fail",T1020=""),"Write Root Cause / evidence gap",IF(AND(I1020="Fail",V1020=""),"Assign team","OK"))))))))</f>
        <v/>
      </c>
    </row>
    <row r="1021">
      <c r="A1021" s="5" t="n"/>
      <c r="B1021" s="5" t="n"/>
      <c r="C1021" s="5" t="n"/>
      <c r="D1021" s="5" t="n"/>
      <c r="E1021" s="5" t="n"/>
      <c r="F1021" s="5" t="n"/>
      <c r="G1021" s="5" t="n"/>
      <c r="H1021" s="5" t="n"/>
      <c r="I1021" s="5" t="n"/>
      <c r="J1021" s="5" t="n"/>
      <c r="K1021" s="5" t="n"/>
      <c r="L1021" s="5" t="n"/>
      <c r="M1021" s="5" t="n"/>
      <c r="N1021" s="5" t="n"/>
      <c r="O1021" s="5" t="n"/>
      <c r="P1021" s="5" t="n"/>
      <c r="Q1021" s="5" t="n"/>
      <c r="R1021" s="5" t="n"/>
      <c r="S1021" s="5" t="n"/>
      <c r="T1021" s="5" t="n"/>
      <c r="U1021" s="5" t="n"/>
      <c r="V1021" s="5" t="n"/>
      <c r="W1021" s="5" t="n"/>
      <c r="X1021" s="5" t="n"/>
      <c r="Y1021" s="5">
        <f>IF(I1021="","",IF(AND(I1021="Fail",K1021=""),"Classify Issue Source",IF(AND(I1021="Fail",W1021=""),"Set Confidence",IF(AND(K1021="Unknown",W1021&lt;&gt;"Low"),"Unknown must be Low confidence",IF(AND(OR(K1021="Backend",K1021="SAP"),N1021=""),"Add HTTP status + endpoint",IF(AND(OR(K1021="Backend",K1021="SAP",K1021="Network"),P1021=""),"Add Correlation ID",IF(AND(I1021="Fail",T1021=""),"Write Root Cause / evidence gap",IF(AND(I1021="Fail",V1021=""),"Assign team","OK"))))))))</f>
        <v/>
      </c>
    </row>
    <row r="1022">
      <c r="A1022" s="5" t="n"/>
      <c r="B1022" s="5" t="n"/>
      <c r="C1022" s="5" t="n"/>
      <c r="D1022" s="5" t="n"/>
      <c r="E1022" s="5" t="n"/>
      <c r="F1022" s="5" t="n"/>
      <c r="G1022" s="5" t="n"/>
      <c r="H1022" s="5" t="n"/>
      <c r="I1022" s="5" t="n"/>
      <c r="J1022" s="5" t="n"/>
      <c r="K1022" s="5" t="n"/>
      <c r="L1022" s="5" t="n"/>
      <c r="M1022" s="5" t="n"/>
      <c r="N1022" s="5" t="n"/>
      <c r="O1022" s="5" t="n"/>
      <c r="P1022" s="5" t="n"/>
      <c r="Q1022" s="5" t="n"/>
      <c r="R1022" s="5" t="n"/>
      <c r="S1022" s="5" t="n"/>
      <c r="T1022" s="5" t="n"/>
      <c r="U1022" s="5" t="n"/>
      <c r="V1022" s="5" t="n"/>
      <c r="W1022" s="5" t="n"/>
      <c r="X1022" s="5" t="n"/>
      <c r="Y1022" s="5">
        <f>IF(I1022="","",IF(AND(I1022="Fail",K1022=""),"Classify Issue Source",IF(AND(I1022="Fail",W1022=""),"Set Confidence",IF(AND(K1022="Unknown",W1022&lt;&gt;"Low"),"Unknown must be Low confidence",IF(AND(OR(K1022="Backend",K1022="SAP"),N1022=""),"Add HTTP status + endpoint",IF(AND(OR(K1022="Backend",K1022="SAP",K1022="Network"),P1022=""),"Add Correlation ID",IF(AND(I1022="Fail",T1022=""),"Write Root Cause / evidence gap",IF(AND(I1022="Fail",V1022=""),"Assign team","OK"))))))))</f>
        <v/>
      </c>
    </row>
    <row r="1023">
      <c r="A1023" s="5" t="n"/>
      <c r="B1023" s="5" t="n"/>
      <c r="C1023" s="5" t="n"/>
      <c r="D1023" s="5" t="n"/>
      <c r="E1023" s="5" t="n"/>
      <c r="F1023" s="5" t="n"/>
      <c r="G1023" s="5" t="n"/>
      <c r="H1023" s="5" t="n"/>
      <c r="I1023" s="5" t="n"/>
      <c r="J1023" s="5" t="n"/>
      <c r="K1023" s="5" t="n"/>
      <c r="L1023" s="5" t="n"/>
      <c r="M1023" s="5" t="n"/>
      <c r="N1023" s="5" t="n"/>
      <c r="O1023" s="5" t="n"/>
      <c r="P1023" s="5" t="n"/>
      <c r="Q1023" s="5" t="n"/>
      <c r="R1023" s="5" t="n"/>
      <c r="S1023" s="5" t="n"/>
      <c r="T1023" s="5" t="n"/>
      <c r="U1023" s="5" t="n"/>
      <c r="V1023" s="5" t="n"/>
      <c r="W1023" s="5" t="n"/>
      <c r="X1023" s="5" t="n"/>
      <c r="Y1023" s="5">
        <f>IF(I1023="","",IF(AND(I1023="Fail",K1023=""),"Classify Issue Source",IF(AND(I1023="Fail",W1023=""),"Set Confidence",IF(AND(K1023="Unknown",W1023&lt;&gt;"Low"),"Unknown must be Low confidence",IF(AND(OR(K1023="Backend",K1023="SAP"),N1023=""),"Add HTTP status + endpoint",IF(AND(OR(K1023="Backend",K1023="SAP",K1023="Network"),P1023=""),"Add Correlation ID",IF(AND(I1023="Fail",T1023=""),"Write Root Cause / evidence gap",IF(AND(I1023="Fail",V1023=""),"Assign team","OK"))))))))</f>
        <v/>
      </c>
    </row>
    <row r="1024">
      <c r="A1024" s="5" t="n"/>
      <c r="B1024" s="5" t="n"/>
      <c r="C1024" s="5" t="n"/>
      <c r="D1024" s="5" t="n"/>
      <c r="E1024" s="5" t="n"/>
      <c r="F1024" s="5" t="n"/>
      <c r="G1024" s="5" t="n"/>
      <c r="H1024" s="5" t="n"/>
      <c r="I1024" s="5" t="n"/>
      <c r="J1024" s="5" t="n"/>
      <c r="K1024" s="5" t="n"/>
      <c r="L1024" s="5" t="n"/>
      <c r="M1024" s="5" t="n"/>
      <c r="N1024" s="5" t="n"/>
      <c r="O1024" s="5" t="n"/>
      <c r="P1024" s="5" t="n"/>
      <c r="Q1024" s="5" t="n"/>
      <c r="R1024" s="5" t="n"/>
      <c r="S1024" s="5" t="n"/>
      <c r="T1024" s="5" t="n"/>
      <c r="U1024" s="5" t="n"/>
      <c r="V1024" s="5" t="n"/>
      <c r="W1024" s="5" t="n"/>
      <c r="X1024" s="5" t="n"/>
      <c r="Y1024" s="5">
        <f>IF(I1024="","",IF(AND(I1024="Fail",K1024=""),"Classify Issue Source",IF(AND(I1024="Fail",W1024=""),"Set Confidence",IF(AND(K1024="Unknown",W1024&lt;&gt;"Low"),"Unknown must be Low confidence",IF(AND(OR(K1024="Backend",K1024="SAP"),N1024=""),"Add HTTP status + endpoint",IF(AND(OR(K1024="Backend",K1024="SAP",K1024="Network"),P1024=""),"Add Correlation ID",IF(AND(I1024="Fail",T1024=""),"Write Root Cause / evidence gap",IF(AND(I1024="Fail",V1024=""),"Assign team","OK"))))))))</f>
        <v/>
      </c>
    </row>
    <row r="1025">
      <c r="A1025" s="5" t="n"/>
      <c r="B1025" s="5" t="n"/>
      <c r="C1025" s="5" t="n"/>
      <c r="D1025" s="5" t="n"/>
      <c r="E1025" s="5" t="n"/>
      <c r="F1025" s="5" t="n"/>
      <c r="G1025" s="5" t="n"/>
      <c r="H1025" s="5" t="n"/>
      <c r="I1025" s="5" t="n"/>
      <c r="J1025" s="5" t="n"/>
      <c r="K1025" s="5" t="n"/>
      <c r="L1025" s="5" t="n"/>
      <c r="M1025" s="5" t="n"/>
      <c r="N1025" s="5" t="n"/>
      <c r="O1025" s="5" t="n"/>
      <c r="P1025" s="5" t="n"/>
      <c r="Q1025" s="5" t="n"/>
      <c r="R1025" s="5" t="n"/>
      <c r="S1025" s="5" t="n"/>
      <c r="T1025" s="5" t="n"/>
      <c r="U1025" s="5" t="n"/>
      <c r="V1025" s="5" t="n"/>
      <c r="W1025" s="5" t="n"/>
      <c r="X1025" s="5" t="n"/>
      <c r="Y1025" s="5">
        <f>IF(I1025="","",IF(AND(I1025="Fail",K1025=""),"Classify Issue Source",IF(AND(I1025="Fail",W1025=""),"Set Confidence",IF(AND(K1025="Unknown",W1025&lt;&gt;"Low"),"Unknown must be Low confidence",IF(AND(OR(K1025="Backend",K1025="SAP"),N1025=""),"Add HTTP status + endpoint",IF(AND(OR(K1025="Backend",K1025="SAP",K1025="Network"),P1025=""),"Add Correlation ID",IF(AND(I1025="Fail",T1025=""),"Write Root Cause / evidence gap",IF(AND(I1025="Fail",V1025=""),"Assign team","OK"))))))))</f>
        <v/>
      </c>
    </row>
    <row r="1026">
      <c r="A1026" s="5" t="n"/>
      <c r="B1026" s="5" t="n"/>
      <c r="C1026" s="5" t="n"/>
      <c r="D1026" s="5" t="n"/>
      <c r="E1026" s="5" t="n"/>
      <c r="F1026" s="5" t="n"/>
      <c r="G1026" s="5" t="n"/>
      <c r="H1026" s="5" t="n"/>
      <c r="I1026" s="5" t="n"/>
      <c r="J1026" s="5" t="n"/>
      <c r="K1026" s="5" t="n"/>
      <c r="L1026" s="5" t="n"/>
      <c r="M1026" s="5" t="n"/>
      <c r="N1026" s="5" t="n"/>
      <c r="O1026" s="5" t="n"/>
      <c r="P1026" s="5" t="n"/>
      <c r="Q1026" s="5" t="n"/>
      <c r="R1026" s="5" t="n"/>
      <c r="S1026" s="5" t="n"/>
      <c r="T1026" s="5" t="n"/>
      <c r="U1026" s="5" t="n"/>
      <c r="V1026" s="5" t="n"/>
      <c r="W1026" s="5" t="n"/>
      <c r="X1026" s="5" t="n"/>
      <c r="Y1026" s="5">
        <f>IF(I1026="","",IF(AND(I1026="Fail",K1026=""),"Classify Issue Source",IF(AND(I1026="Fail",W1026=""),"Set Confidence",IF(AND(K1026="Unknown",W1026&lt;&gt;"Low"),"Unknown must be Low confidence",IF(AND(OR(K1026="Backend",K1026="SAP"),N1026=""),"Add HTTP status + endpoint",IF(AND(OR(K1026="Backend",K1026="SAP",K1026="Network"),P1026=""),"Add Correlation ID",IF(AND(I1026="Fail",T1026=""),"Write Root Cause / evidence gap",IF(AND(I1026="Fail",V1026=""),"Assign team","OK"))))))))</f>
        <v/>
      </c>
    </row>
    <row r="1027">
      <c r="A1027" s="5" t="n"/>
      <c r="B1027" s="5" t="n"/>
      <c r="C1027" s="5" t="n"/>
      <c r="D1027" s="5" t="n"/>
      <c r="E1027" s="5" t="n"/>
      <c r="F1027" s="5" t="n"/>
      <c r="G1027" s="5" t="n"/>
      <c r="H1027" s="5" t="n"/>
      <c r="I1027" s="5" t="n"/>
      <c r="J1027" s="5" t="n"/>
      <c r="K1027" s="5" t="n"/>
      <c r="L1027" s="5" t="n"/>
      <c r="M1027" s="5" t="n"/>
      <c r="N1027" s="5" t="n"/>
      <c r="O1027" s="5" t="n"/>
      <c r="P1027" s="5" t="n"/>
      <c r="Q1027" s="5" t="n"/>
      <c r="R1027" s="5" t="n"/>
      <c r="S1027" s="5" t="n"/>
      <c r="T1027" s="5" t="n"/>
      <c r="U1027" s="5" t="n"/>
      <c r="V1027" s="5" t="n"/>
      <c r="W1027" s="5" t="n"/>
      <c r="X1027" s="5" t="n"/>
      <c r="Y1027" s="5">
        <f>IF(I1027="","",IF(AND(I1027="Fail",K1027=""),"Classify Issue Source",IF(AND(I1027="Fail",W1027=""),"Set Confidence",IF(AND(K1027="Unknown",W1027&lt;&gt;"Low"),"Unknown must be Low confidence",IF(AND(OR(K1027="Backend",K1027="SAP"),N1027=""),"Add HTTP status + endpoint",IF(AND(OR(K1027="Backend",K1027="SAP",K1027="Network"),P1027=""),"Add Correlation ID",IF(AND(I1027="Fail",T1027=""),"Write Root Cause / evidence gap",IF(AND(I1027="Fail",V1027=""),"Assign team","OK"))))))))</f>
        <v/>
      </c>
    </row>
    <row r="1028">
      <c r="A1028" s="5" t="n"/>
      <c r="B1028" s="5" t="n"/>
      <c r="C1028" s="5" t="n"/>
      <c r="D1028" s="5" t="n"/>
      <c r="E1028" s="5" t="n"/>
      <c r="F1028" s="5" t="n"/>
      <c r="G1028" s="5" t="n"/>
      <c r="H1028" s="5" t="n"/>
      <c r="I1028" s="5" t="n"/>
      <c r="J1028" s="5" t="n"/>
      <c r="K1028" s="5" t="n"/>
      <c r="L1028" s="5" t="n"/>
      <c r="M1028" s="5" t="n"/>
      <c r="N1028" s="5" t="n"/>
      <c r="O1028" s="5" t="n"/>
      <c r="P1028" s="5" t="n"/>
      <c r="Q1028" s="5" t="n"/>
      <c r="R1028" s="5" t="n"/>
      <c r="S1028" s="5" t="n"/>
      <c r="T1028" s="5" t="n"/>
      <c r="U1028" s="5" t="n"/>
      <c r="V1028" s="5" t="n"/>
      <c r="W1028" s="5" t="n"/>
      <c r="X1028" s="5" t="n"/>
      <c r="Y1028" s="5">
        <f>IF(I1028="","",IF(AND(I1028="Fail",K1028=""),"Classify Issue Source",IF(AND(I1028="Fail",W1028=""),"Set Confidence",IF(AND(K1028="Unknown",W1028&lt;&gt;"Low"),"Unknown must be Low confidence",IF(AND(OR(K1028="Backend",K1028="SAP"),N1028=""),"Add HTTP status + endpoint",IF(AND(OR(K1028="Backend",K1028="SAP",K1028="Network"),P1028=""),"Add Correlation ID",IF(AND(I1028="Fail",T1028=""),"Write Root Cause / evidence gap",IF(AND(I1028="Fail",V1028=""),"Assign team","OK"))))))))</f>
        <v/>
      </c>
    </row>
    <row r="1029">
      <c r="A1029" s="5" t="n"/>
      <c r="B1029" s="5" t="n"/>
      <c r="C1029" s="5" t="n"/>
      <c r="D1029" s="5" t="n"/>
      <c r="E1029" s="5" t="n"/>
      <c r="F1029" s="5" t="n"/>
      <c r="G1029" s="5" t="n"/>
      <c r="H1029" s="5" t="n"/>
      <c r="I1029" s="5" t="n"/>
      <c r="J1029" s="5" t="n"/>
      <c r="K1029" s="5" t="n"/>
      <c r="L1029" s="5" t="n"/>
      <c r="M1029" s="5" t="n"/>
      <c r="N1029" s="5" t="n"/>
      <c r="O1029" s="5" t="n"/>
      <c r="P1029" s="5" t="n"/>
      <c r="Q1029" s="5" t="n"/>
      <c r="R1029" s="5" t="n"/>
      <c r="S1029" s="5" t="n"/>
      <c r="T1029" s="5" t="n"/>
      <c r="U1029" s="5" t="n"/>
      <c r="V1029" s="5" t="n"/>
      <c r="W1029" s="5" t="n"/>
      <c r="X1029" s="5" t="n"/>
      <c r="Y1029" s="5">
        <f>IF(I1029="","",IF(AND(I1029="Fail",K1029=""),"Classify Issue Source",IF(AND(I1029="Fail",W1029=""),"Set Confidence",IF(AND(K1029="Unknown",W1029&lt;&gt;"Low"),"Unknown must be Low confidence",IF(AND(OR(K1029="Backend",K1029="SAP"),N1029=""),"Add HTTP status + endpoint",IF(AND(OR(K1029="Backend",K1029="SAP",K1029="Network"),P1029=""),"Add Correlation ID",IF(AND(I1029="Fail",T1029=""),"Write Root Cause / evidence gap",IF(AND(I1029="Fail",V1029=""),"Assign team","OK"))))))))</f>
        <v/>
      </c>
    </row>
    <row r="1030">
      <c r="A1030" s="5" t="n"/>
      <c r="B1030" s="5" t="n"/>
      <c r="C1030" s="5" t="n"/>
      <c r="D1030" s="5" t="n"/>
      <c r="E1030" s="5" t="n"/>
      <c r="F1030" s="5" t="n"/>
      <c r="G1030" s="5" t="n"/>
      <c r="H1030" s="5" t="n"/>
      <c r="I1030" s="5" t="n"/>
      <c r="J1030" s="5" t="n"/>
      <c r="K1030" s="5" t="n"/>
      <c r="L1030" s="5" t="n"/>
      <c r="M1030" s="5" t="n"/>
      <c r="N1030" s="5" t="n"/>
      <c r="O1030" s="5" t="n"/>
      <c r="P1030" s="5" t="n"/>
      <c r="Q1030" s="5" t="n"/>
      <c r="R1030" s="5" t="n"/>
      <c r="S1030" s="5" t="n"/>
      <c r="T1030" s="5" t="n"/>
      <c r="U1030" s="5" t="n"/>
      <c r="V1030" s="5" t="n"/>
      <c r="W1030" s="5" t="n"/>
      <c r="X1030" s="5" t="n"/>
      <c r="Y1030" s="5">
        <f>IF(I1030="","",IF(AND(I1030="Fail",K1030=""),"Classify Issue Source",IF(AND(I1030="Fail",W1030=""),"Set Confidence",IF(AND(K1030="Unknown",W1030&lt;&gt;"Low"),"Unknown must be Low confidence",IF(AND(OR(K1030="Backend",K1030="SAP"),N1030=""),"Add HTTP status + endpoint",IF(AND(OR(K1030="Backend",K1030="SAP",K1030="Network"),P1030=""),"Add Correlation ID",IF(AND(I1030="Fail",T1030=""),"Write Root Cause / evidence gap",IF(AND(I1030="Fail",V1030=""),"Assign team","OK"))))))))</f>
        <v/>
      </c>
    </row>
    <row r="1031">
      <c r="A1031" s="5" t="n"/>
      <c r="B1031" s="5" t="n"/>
      <c r="C1031" s="5" t="n"/>
      <c r="D1031" s="5" t="n"/>
      <c r="E1031" s="5" t="n"/>
      <c r="F1031" s="5" t="n"/>
      <c r="G1031" s="5" t="n"/>
      <c r="H1031" s="5" t="n"/>
      <c r="I1031" s="5" t="n"/>
      <c r="J1031" s="5" t="n"/>
      <c r="K1031" s="5" t="n"/>
      <c r="L1031" s="5" t="n"/>
      <c r="M1031" s="5" t="n"/>
      <c r="N1031" s="5" t="n"/>
      <c r="O1031" s="5" t="n"/>
      <c r="P1031" s="5" t="n"/>
      <c r="Q1031" s="5" t="n"/>
      <c r="R1031" s="5" t="n"/>
      <c r="S1031" s="5" t="n"/>
      <c r="T1031" s="5" t="n"/>
      <c r="U1031" s="5" t="n"/>
      <c r="V1031" s="5" t="n"/>
      <c r="W1031" s="5" t="n"/>
      <c r="X1031" s="5" t="n"/>
      <c r="Y1031" s="5">
        <f>IF(I1031="","",IF(AND(I1031="Fail",K1031=""),"Classify Issue Source",IF(AND(I1031="Fail",W1031=""),"Set Confidence",IF(AND(K1031="Unknown",W1031&lt;&gt;"Low"),"Unknown must be Low confidence",IF(AND(OR(K1031="Backend",K1031="SAP"),N1031=""),"Add HTTP status + endpoint",IF(AND(OR(K1031="Backend",K1031="SAP",K1031="Network"),P1031=""),"Add Correlation ID",IF(AND(I1031="Fail",T1031=""),"Write Root Cause / evidence gap",IF(AND(I1031="Fail",V1031=""),"Assign team","OK"))))))))</f>
        <v/>
      </c>
    </row>
    <row r="1032">
      <c r="A1032" s="5" t="n"/>
      <c r="B1032" s="5" t="n"/>
      <c r="C1032" s="5" t="n"/>
      <c r="D1032" s="5" t="n"/>
      <c r="E1032" s="5" t="n"/>
      <c r="F1032" s="5" t="n"/>
      <c r="G1032" s="5" t="n"/>
      <c r="H1032" s="5" t="n"/>
      <c r="I1032" s="5" t="n"/>
      <c r="J1032" s="5" t="n"/>
      <c r="K1032" s="5" t="n"/>
      <c r="L1032" s="5" t="n"/>
      <c r="M1032" s="5" t="n"/>
      <c r="N1032" s="5" t="n"/>
      <c r="O1032" s="5" t="n"/>
      <c r="P1032" s="5" t="n"/>
      <c r="Q1032" s="5" t="n"/>
      <c r="R1032" s="5" t="n"/>
      <c r="S1032" s="5" t="n"/>
      <c r="T1032" s="5" t="n"/>
      <c r="U1032" s="5" t="n"/>
      <c r="V1032" s="5" t="n"/>
      <c r="W1032" s="5" t="n"/>
      <c r="X1032" s="5" t="n"/>
      <c r="Y1032" s="5">
        <f>IF(I1032="","",IF(AND(I1032="Fail",K1032=""),"Classify Issue Source",IF(AND(I1032="Fail",W1032=""),"Set Confidence",IF(AND(K1032="Unknown",W1032&lt;&gt;"Low"),"Unknown must be Low confidence",IF(AND(OR(K1032="Backend",K1032="SAP"),N1032=""),"Add HTTP status + endpoint",IF(AND(OR(K1032="Backend",K1032="SAP",K1032="Network"),P1032=""),"Add Correlation ID",IF(AND(I1032="Fail",T1032=""),"Write Root Cause / evidence gap",IF(AND(I1032="Fail",V1032=""),"Assign team","OK"))))))))</f>
        <v/>
      </c>
    </row>
    <row r="1033">
      <c r="A1033" s="5" t="n"/>
      <c r="B1033" s="5" t="n"/>
      <c r="C1033" s="5" t="n"/>
      <c r="D1033" s="5" t="n"/>
      <c r="E1033" s="5" t="n"/>
      <c r="F1033" s="5" t="n"/>
      <c r="G1033" s="5" t="n"/>
      <c r="H1033" s="5" t="n"/>
      <c r="I1033" s="5" t="n"/>
      <c r="J1033" s="5" t="n"/>
      <c r="K1033" s="5" t="n"/>
      <c r="L1033" s="5" t="n"/>
      <c r="M1033" s="5" t="n"/>
      <c r="N1033" s="5" t="n"/>
      <c r="O1033" s="5" t="n"/>
      <c r="P1033" s="5" t="n"/>
      <c r="Q1033" s="5" t="n"/>
      <c r="R1033" s="5" t="n"/>
      <c r="S1033" s="5" t="n"/>
      <c r="T1033" s="5" t="n"/>
      <c r="U1033" s="5" t="n"/>
      <c r="V1033" s="5" t="n"/>
      <c r="W1033" s="5" t="n"/>
      <c r="X1033" s="5" t="n"/>
      <c r="Y1033" s="5">
        <f>IF(I1033="","",IF(AND(I1033="Fail",K1033=""),"Classify Issue Source",IF(AND(I1033="Fail",W1033=""),"Set Confidence",IF(AND(K1033="Unknown",W1033&lt;&gt;"Low"),"Unknown must be Low confidence",IF(AND(OR(K1033="Backend",K1033="SAP"),N1033=""),"Add HTTP status + endpoint",IF(AND(OR(K1033="Backend",K1033="SAP",K1033="Network"),P1033=""),"Add Correlation ID",IF(AND(I1033="Fail",T1033=""),"Write Root Cause / evidence gap",IF(AND(I1033="Fail",V1033=""),"Assign team","OK"))))))))</f>
        <v/>
      </c>
    </row>
    <row r="1034">
      <c r="A1034" s="5" t="n"/>
      <c r="B1034" s="5" t="n"/>
      <c r="C1034" s="5" t="n"/>
      <c r="D1034" s="5" t="n"/>
      <c r="E1034" s="5" t="n"/>
      <c r="F1034" s="5" t="n"/>
      <c r="G1034" s="5" t="n"/>
      <c r="H1034" s="5" t="n"/>
      <c r="I1034" s="5" t="n"/>
      <c r="J1034" s="5" t="n"/>
      <c r="K1034" s="5" t="n"/>
      <c r="L1034" s="5" t="n"/>
      <c r="M1034" s="5" t="n"/>
      <c r="N1034" s="5" t="n"/>
      <c r="O1034" s="5" t="n"/>
      <c r="P1034" s="5" t="n"/>
      <c r="Q1034" s="5" t="n"/>
      <c r="R1034" s="5" t="n"/>
      <c r="S1034" s="5" t="n"/>
      <c r="T1034" s="5" t="n"/>
      <c r="U1034" s="5" t="n"/>
      <c r="V1034" s="5" t="n"/>
      <c r="W1034" s="5" t="n"/>
      <c r="X1034" s="5" t="n"/>
      <c r="Y1034" s="5">
        <f>IF(I1034="","",IF(AND(I1034="Fail",K1034=""),"Classify Issue Source",IF(AND(I1034="Fail",W1034=""),"Set Confidence",IF(AND(K1034="Unknown",W1034&lt;&gt;"Low"),"Unknown must be Low confidence",IF(AND(OR(K1034="Backend",K1034="SAP"),N1034=""),"Add HTTP status + endpoint",IF(AND(OR(K1034="Backend",K1034="SAP",K1034="Network"),P1034=""),"Add Correlation ID",IF(AND(I1034="Fail",T1034=""),"Write Root Cause / evidence gap",IF(AND(I1034="Fail",V1034=""),"Assign team","OK"))))))))</f>
        <v/>
      </c>
    </row>
    <row r="1035">
      <c r="A1035" s="5" t="n"/>
      <c r="B1035" s="5" t="n"/>
      <c r="C1035" s="5" t="n"/>
      <c r="D1035" s="5" t="n"/>
      <c r="E1035" s="5" t="n"/>
      <c r="F1035" s="5" t="n"/>
      <c r="G1035" s="5" t="n"/>
      <c r="H1035" s="5" t="n"/>
      <c r="I1035" s="5" t="n"/>
      <c r="J1035" s="5" t="n"/>
      <c r="K1035" s="5" t="n"/>
      <c r="L1035" s="5" t="n"/>
      <c r="M1035" s="5" t="n"/>
      <c r="N1035" s="5" t="n"/>
      <c r="O1035" s="5" t="n"/>
      <c r="P1035" s="5" t="n"/>
      <c r="Q1035" s="5" t="n"/>
      <c r="R1035" s="5" t="n"/>
      <c r="S1035" s="5" t="n"/>
      <c r="T1035" s="5" t="n"/>
      <c r="U1035" s="5" t="n"/>
      <c r="V1035" s="5" t="n"/>
      <c r="W1035" s="5" t="n"/>
      <c r="X1035" s="5" t="n"/>
      <c r="Y1035" s="5">
        <f>IF(I1035="","",IF(AND(I1035="Fail",K1035=""),"Classify Issue Source",IF(AND(I1035="Fail",W1035=""),"Set Confidence",IF(AND(K1035="Unknown",W1035&lt;&gt;"Low"),"Unknown must be Low confidence",IF(AND(OR(K1035="Backend",K1035="SAP"),N1035=""),"Add HTTP status + endpoint",IF(AND(OR(K1035="Backend",K1035="SAP",K1035="Network"),P1035=""),"Add Correlation ID",IF(AND(I1035="Fail",T1035=""),"Write Root Cause / evidence gap",IF(AND(I1035="Fail",V1035=""),"Assign team","OK"))))))))</f>
        <v/>
      </c>
    </row>
    <row r="1036">
      <c r="A1036" s="5" t="n"/>
      <c r="B1036" s="5" t="n"/>
      <c r="C1036" s="5" t="n"/>
      <c r="D1036" s="5" t="n"/>
      <c r="E1036" s="5" t="n"/>
      <c r="F1036" s="5" t="n"/>
      <c r="G1036" s="5" t="n"/>
      <c r="H1036" s="5" t="n"/>
      <c r="I1036" s="5" t="n"/>
      <c r="J1036" s="5" t="n"/>
      <c r="K1036" s="5" t="n"/>
      <c r="L1036" s="5" t="n"/>
      <c r="M1036" s="5" t="n"/>
      <c r="N1036" s="5" t="n"/>
      <c r="O1036" s="5" t="n"/>
      <c r="P1036" s="5" t="n"/>
      <c r="Q1036" s="5" t="n"/>
      <c r="R1036" s="5" t="n"/>
      <c r="S1036" s="5" t="n"/>
      <c r="T1036" s="5" t="n"/>
      <c r="U1036" s="5" t="n"/>
      <c r="V1036" s="5" t="n"/>
      <c r="W1036" s="5" t="n"/>
      <c r="X1036" s="5" t="n"/>
      <c r="Y1036" s="5">
        <f>IF(I1036="","",IF(AND(I1036="Fail",K1036=""),"Classify Issue Source",IF(AND(I1036="Fail",W1036=""),"Set Confidence",IF(AND(K1036="Unknown",W1036&lt;&gt;"Low"),"Unknown must be Low confidence",IF(AND(OR(K1036="Backend",K1036="SAP"),N1036=""),"Add HTTP status + endpoint",IF(AND(OR(K1036="Backend",K1036="SAP",K1036="Network"),P1036=""),"Add Correlation ID",IF(AND(I1036="Fail",T1036=""),"Write Root Cause / evidence gap",IF(AND(I1036="Fail",V1036=""),"Assign team","OK"))))))))</f>
        <v/>
      </c>
    </row>
    <row r="1037">
      <c r="A1037" s="5" t="n"/>
      <c r="B1037" s="5" t="n"/>
      <c r="C1037" s="5" t="n"/>
      <c r="D1037" s="5" t="n"/>
      <c r="E1037" s="5" t="n"/>
      <c r="F1037" s="5" t="n"/>
      <c r="G1037" s="5" t="n"/>
      <c r="H1037" s="5" t="n"/>
      <c r="I1037" s="5" t="n"/>
      <c r="J1037" s="5" t="n"/>
      <c r="K1037" s="5" t="n"/>
      <c r="L1037" s="5" t="n"/>
      <c r="M1037" s="5" t="n"/>
      <c r="N1037" s="5" t="n"/>
      <c r="O1037" s="5" t="n"/>
      <c r="P1037" s="5" t="n"/>
      <c r="Q1037" s="5" t="n"/>
      <c r="R1037" s="5" t="n"/>
      <c r="S1037" s="5" t="n"/>
      <c r="T1037" s="5" t="n"/>
      <c r="U1037" s="5" t="n"/>
      <c r="V1037" s="5" t="n"/>
      <c r="W1037" s="5" t="n"/>
      <c r="X1037" s="5" t="n"/>
      <c r="Y1037" s="5">
        <f>IF(I1037="","",IF(AND(I1037="Fail",K1037=""),"Classify Issue Source",IF(AND(I1037="Fail",W1037=""),"Set Confidence",IF(AND(K1037="Unknown",W1037&lt;&gt;"Low"),"Unknown must be Low confidence",IF(AND(OR(K1037="Backend",K1037="SAP"),N1037=""),"Add HTTP status + endpoint",IF(AND(OR(K1037="Backend",K1037="SAP",K1037="Network"),P1037=""),"Add Correlation ID",IF(AND(I1037="Fail",T1037=""),"Write Root Cause / evidence gap",IF(AND(I1037="Fail",V1037=""),"Assign team","OK"))))))))</f>
        <v/>
      </c>
    </row>
    <row r="1038">
      <c r="A1038" s="5" t="n"/>
      <c r="B1038" s="5" t="n"/>
      <c r="C1038" s="5" t="n"/>
      <c r="D1038" s="5" t="n"/>
      <c r="E1038" s="5" t="n"/>
      <c r="F1038" s="5" t="n"/>
      <c r="G1038" s="5" t="n"/>
      <c r="H1038" s="5" t="n"/>
      <c r="I1038" s="5" t="n"/>
      <c r="J1038" s="5" t="n"/>
      <c r="K1038" s="5" t="n"/>
      <c r="L1038" s="5" t="n"/>
      <c r="M1038" s="5" t="n"/>
      <c r="N1038" s="5" t="n"/>
      <c r="O1038" s="5" t="n"/>
      <c r="P1038" s="5" t="n"/>
      <c r="Q1038" s="5" t="n"/>
      <c r="R1038" s="5" t="n"/>
      <c r="S1038" s="5" t="n"/>
      <c r="T1038" s="5" t="n"/>
      <c r="U1038" s="5" t="n"/>
      <c r="V1038" s="5" t="n"/>
      <c r="W1038" s="5" t="n"/>
      <c r="X1038" s="5" t="n"/>
      <c r="Y1038" s="5">
        <f>IF(I1038="","",IF(AND(I1038="Fail",K1038=""),"Classify Issue Source",IF(AND(I1038="Fail",W1038=""),"Set Confidence",IF(AND(K1038="Unknown",W1038&lt;&gt;"Low"),"Unknown must be Low confidence",IF(AND(OR(K1038="Backend",K1038="SAP"),N1038=""),"Add HTTP status + endpoint",IF(AND(OR(K1038="Backend",K1038="SAP",K1038="Network"),P1038=""),"Add Correlation ID",IF(AND(I1038="Fail",T1038=""),"Write Root Cause / evidence gap",IF(AND(I1038="Fail",V1038=""),"Assign team","OK"))))))))</f>
        <v/>
      </c>
    </row>
    <row r="1039">
      <c r="A1039" s="5" t="n"/>
      <c r="B1039" s="5" t="n"/>
      <c r="C1039" s="5" t="n"/>
      <c r="D1039" s="5" t="n"/>
      <c r="E1039" s="5" t="n"/>
      <c r="F1039" s="5" t="n"/>
      <c r="G1039" s="5" t="n"/>
      <c r="H1039" s="5" t="n"/>
      <c r="I1039" s="5" t="n"/>
      <c r="J1039" s="5" t="n"/>
      <c r="K1039" s="5" t="n"/>
      <c r="L1039" s="5" t="n"/>
      <c r="M1039" s="5" t="n"/>
      <c r="N1039" s="5" t="n"/>
      <c r="O1039" s="5" t="n"/>
      <c r="P1039" s="5" t="n"/>
      <c r="Q1039" s="5" t="n"/>
      <c r="R1039" s="5" t="n"/>
      <c r="S1039" s="5" t="n"/>
      <c r="T1039" s="5" t="n"/>
      <c r="U1039" s="5" t="n"/>
      <c r="V1039" s="5" t="n"/>
      <c r="W1039" s="5" t="n"/>
      <c r="X1039" s="5" t="n"/>
      <c r="Y1039" s="5">
        <f>IF(I1039="","",IF(AND(I1039="Fail",K1039=""),"Classify Issue Source",IF(AND(I1039="Fail",W1039=""),"Set Confidence",IF(AND(K1039="Unknown",W1039&lt;&gt;"Low"),"Unknown must be Low confidence",IF(AND(OR(K1039="Backend",K1039="SAP"),N1039=""),"Add HTTP status + endpoint",IF(AND(OR(K1039="Backend",K1039="SAP",K1039="Network"),P1039=""),"Add Correlation ID",IF(AND(I1039="Fail",T1039=""),"Write Root Cause / evidence gap",IF(AND(I1039="Fail",V1039=""),"Assign team","OK"))))))))</f>
        <v/>
      </c>
    </row>
    <row r="1040">
      <c r="A1040" s="5" t="n"/>
      <c r="B1040" s="5" t="n"/>
      <c r="C1040" s="5" t="n"/>
      <c r="D1040" s="5" t="n"/>
      <c r="E1040" s="5" t="n"/>
      <c r="F1040" s="5" t="n"/>
      <c r="G1040" s="5" t="n"/>
      <c r="H1040" s="5" t="n"/>
      <c r="I1040" s="5" t="n"/>
      <c r="J1040" s="5" t="n"/>
      <c r="K1040" s="5" t="n"/>
      <c r="L1040" s="5" t="n"/>
      <c r="M1040" s="5" t="n"/>
      <c r="N1040" s="5" t="n"/>
      <c r="O1040" s="5" t="n"/>
      <c r="P1040" s="5" t="n"/>
      <c r="Q1040" s="5" t="n"/>
      <c r="R1040" s="5" t="n"/>
      <c r="S1040" s="5" t="n"/>
      <c r="T1040" s="5" t="n"/>
      <c r="U1040" s="5" t="n"/>
      <c r="V1040" s="5" t="n"/>
      <c r="W1040" s="5" t="n"/>
      <c r="X1040" s="5" t="n"/>
      <c r="Y1040" s="5">
        <f>IF(I1040="","",IF(AND(I1040="Fail",K1040=""),"Classify Issue Source",IF(AND(I1040="Fail",W1040=""),"Set Confidence",IF(AND(K1040="Unknown",W1040&lt;&gt;"Low"),"Unknown must be Low confidence",IF(AND(OR(K1040="Backend",K1040="SAP"),N1040=""),"Add HTTP status + endpoint",IF(AND(OR(K1040="Backend",K1040="SAP",K1040="Network"),P1040=""),"Add Correlation ID",IF(AND(I1040="Fail",T1040=""),"Write Root Cause / evidence gap",IF(AND(I1040="Fail",V1040=""),"Assign team","OK"))))))))</f>
        <v/>
      </c>
    </row>
    <row r="1041">
      <c r="A1041" s="5" t="n"/>
      <c r="B1041" s="5" t="n"/>
      <c r="C1041" s="5" t="n"/>
      <c r="D1041" s="5" t="n"/>
      <c r="E1041" s="5" t="n"/>
      <c r="F1041" s="5" t="n"/>
      <c r="G1041" s="5" t="n"/>
      <c r="H1041" s="5" t="n"/>
      <c r="I1041" s="5" t="n"/>
      <c r="J1041" s="5" t="n"/>
      <c r="K1041" s="5" t="n"/>
      <c r="L1041" s="5" t="n"/>
      <c r="M1041" s="5" t="n"/>
      <c r="N1041" s="5" t="n"/>
      <c r="O1041" s="5" t="n"/>
      <c r="P1041" s="5" t="n"/>
      <c r="Q1041" s="5" t="n"/>
      <c r="R1041" s="5" t="n"/>
      <c r="S1041" s="5" t="n"/>
      <c r="T1041" s="5" t="n"/>
      <c r="U1041" s="5" t="n"/>
      <c r="V1041" s="5" t="n"/>
      <c r="W1041" s="5" t="n"/>
      <c r="X1041" s="5" t="n"/>
      <c r="Y1041" s="5">
        <f>IF(I1041="","",IF(AND(I1041="Fail",K1041=""),"Classify Issue Source",IF(AND(I1041="Fail",W1041=""),"Set Confidence",IF(AND(K1041="Unknown",W1041&lt;&gt;"Low"),"Unknown must be Low confidence",IF(AND(OR(K1041="Backend",K1041="SAP"),N1041=""),"Add HTTP status + endpoint",IF(AND(OR(K1041="Backend",K1041="SAP",K1041="Network"),P1041=""),"Add Correlation ID",IF(AND(I1041="Fail",T1041=""),"Write Root Cause / evidence gap",IF(AND(I1041="Fail",V1041=""),"Assign team","OK"))))))))</f>
        <v/>
      </c>
    </row>
    <row r="1042">
      <c r="A1042" s="5" t="n"/>
      <c r="B1042" s="5" t="n"/>
      <c r="C1042" s="5" t="n"/>
      <c r="D1042" s="5" t="n"/>
      <c r="E1042" s="5" t="n"/>
      <c r="F1042" s="5" t="n"/>
      <c r="G1042" s="5" t="n"/>
      <c r="H1042" s="5" t="n"/>
      <c r="I1042" s="5" t="n"/>
      <c r="J1042" s="5" t="n"/>
      <c r="K1042" s="5" t="n"/>
      <c r="L1042" s="5" t="n"/>
      <c r="M1042" s="5" t="n"/>
      <c r="N1042" s="5" t="n"/>
      <c r="O1042" s="5" t="n"/>
      <c r="P1042" s="5" t="n"/>
      <c r="Q1042" s="5" t="n"/>
      <c r="R1042" s="5" t="n"/>
      <c r="S1042" s="5" t="n"/>
      <c r="T1042" s="5" t="n"/>
      <c r="U1042" s="5" t="n"/>
      <c r="V1042" s="5" t="n"/>
      <c r="W1042" s="5" t="n"/>
      <c r="X1042" s="5" t="n"/>
      <c r="Y1042" s="5">
        <f>IF(I1042="","",IF(AND(I1042="Fail",K1042=""),"Classify Issue Source",IF(AND(I1042="Fail",W1042=""),"Set Confidence",IF(AND(K1042="Unknown",W1042&lt;&gt;"Low"),"Unknown must be Low confidence",IF(AND(OR(K1042="Backend",K1042="SAP"),N1042=""),"Add HTTP status + endpoint",IF(AND(OR(K1042="Backend",K1042="SAP",K1042="Network"),P1042=""),"Add Correlation ID",IF(AND(I1042="Fail",T1042=""),"Write Root Cause / evidence gap",IF(AND(I1042="Fail",V1042=""),"Assign team","OK"))))))))</f>
        <v/>
      </c>
    </row>
    <row r="1043">
      <c r="A1043" s="5" t="n"/>
      <c r="B1043" s="5" t="n"/>
      <c r="C1043" s="5" t="n"/>
      <c r="D1043" s="5" t="n"/>
      <c r="E1043" s="5" t="n"/>
      <c r="F1043" s="5" t="n"/>
      <c r="G1043" s="5" t="n"/>
      <c r="H1043" s="5" t="n"/>
      <c r="I1043" s="5" t="n"/>
      <c r="J1043" s="5" t="n"/>
      <c r="K1043" s="5" t="n"/>
      <c r="L1043" s="5" t="n"/>
      <c r="M1043" s="5" t="n"/>
      <c r="N1043" s="5" t="n"/>
      <c r="O1043" s="5" t="n"/>
      <c r="P1043" s="5" t="n"/>
      <c r="Q1043" s="5" t="n"/>
      <c r="R1043" s="5" t="n"/>
      <c r="S1043" s="5" t="n"/>
      <c r="T1043" s="5" t="n"/>
      <c r="U1043" s="5" t="n"/>
      <c r="V1043" s="5" t="n"/>
      <c r="W1043" s="5" t="n"/>
      <c r="X1043" s="5" t="n"/>
      <c r="Y1043" s="5">
        <f>IF(I1043="","",IF(AND(I1043="Fail",K1043=""),"Classify Issue Source",IF(AND(I1043="Fail",W1043=""),"Set Confidence",IF(AND(K1043="Unknown",W1043&lt;&gt;"Low"),"Unknown must be Low confidence",IF(AND(OR(K1043="Backend",K1043="SAP"),N1043=""),"Add HTTP status + endpoint",IF(AND(OR(K1043="Backend",K1043="SAP",K1043="Network"),P1043=""),"Add Correlation ID",IF(AND(I1043="Fail",T1043=""),"Write Root Cause / evidence gap",IF(AND(I1043="Fail",V1043=""),"Assign team","OK"))))))))</f>
        <v/>
      </c>
    </row>
    <row r="1044">
      <c r="A1044" s="5" t="n"/>
      <c r="B1044" s="5" t="n"/>
      <c r="C1044" s="5" t="n"/>
      <c r="D1044" s="5" t="n"/>
      <c r="E1044" s="5" t="n"/>
      <c r="F1044" s="5" t="n"/>
      <c r="G1044" s="5" t="n"/>
      <c r="H1044" s="5" t="n"/>
      <c r="I1044" s="5" t="n"/>
      <c r="J1044" s="5" t="n"/>
      <c r="K1044" s="5" t="n"/>
      <c r="L1044" s="5" t="n"/>
      <c r="M1044" s="5" t="n"/>
      <c r="N1044" s="5" t="n"/>
      <c r="O1044" s="5" t="n"/>
      <c r="P1044" s="5" t="n"/>
      <c r="Q1044" s="5" t="n"/>
      <c r="R1044" s="5" t="n"/>
      <c r="S1044" s="5" t="n"/>
      <c r="T1044" s="5" t="n"/>
      <c r="U1044" s="5" t="n"/>
      <c r="V1044" s="5" t="n"/>
      <c r="W1044" s="5" t="n"/>
      <c r="X1044" s="5" t="n"/>
      <c r="Y1044" s="5">
        <f>IF(I1044="","",IF(AND(I1044="Fail",K1044=""),"Classify Issue Source",IF(AND(I1044="Fail",W1044=""),"Set Confidence",IF(AND(K1044="Unknown",W1044&lt;&gt;"Low"),"Unknown must be Low confidence",IF(AND(OR(K1044="Backend",K1044="SAP"),N1044=""),"Add HTTP status + endpoint",IF(AND(OR(K1044="Backend",K1044="SAP",K1044="Network"),P1044=""),"Add Correlation ID",IF(AND(I1044="Fail",T1044=""),"Write Root Cause / evidence gap",IF(AND(I1044="Fail",V1044=""),"Assign team","OK"))))))))</f>
        <v/>
      </c>
    </row>
    <row r="1045">
      <c r="A1045" s="5" t="n"/>
      <c r="B1045" s="5" t="n"/>
      <c r="C1045" s="5" t="n"/>
      <c r="D1045" s="5" t="n"/>
      <c r="E1045" s="5" t="n"/>
      <c r="F1045" s="5" t="n"/>
      <c r="G1045" s="5" t="n"/>
      <c r="H1045" s="5" t="n"/>
      <c r="I1045" s="5" t="n"/>
      <c r="J1045" s="5" t="n"/>
      <c r="K1045" s="5" t="n"/>
      <c r="L1045" s="5" t="n"/>
      <c r="M1045" s="5" t="n"/>
      <c r="N1045" s="5" t="n"/>
      <c r="O1045" s="5" t="n"/>
      <c r="P1045" s="5" t="n"/>
      <c r="Q1045" s="5" t="n"/>
      <c r="R1045" s="5" t="n"/>
      <c r="S1045" s="5" t="n"/>
      <c r="T1045" s="5" t="n"/>
      <c r="U1045" s="5" t="n"/>
      <c r="V1045" s="5" t="n"/>
      <c r="W1045" s="5" t="n"/>
      <c r="X1045" s="5" t="n"/>
      <c r="Y1045" s="5">
        <f>IF(I1045="","",IF(AND(I1045="Fail",K1045=""),"Classify Issue Source",IF(AND(I1045="Fail",W1045=""),"Set Confidence",IF(AND(K1045="Unknown",W1045&lt;&gt;"Low"),"Unknown must be Low confidence",IF(AND(OR(K1045="Backend",K1045="SAP"),N1045=""),"Add HTTP status + endpoint",IF(AND(OR(K1045="Backend",K1045="SAP",K1045="Network"),P1045=""),"Add Correlation ID",IF(AND(I1045="Fail",T1045=""),"Write Root Cause / evidence gap",IF(AND(I1045="Fail",V1045=""),"Assign team","OK"))))))))</f>
        <v/>
      </c>
    </row>
    <row r="1046">
      <c r="A1046" s="5" t="n"/>
      <c r="B1046" s="5" t="n"/>
      <c r="C1046" s="5" t="n"/>
      <c r="D1046" s="5" t="n"/>
      <c r="E1046" s="5" t="n"/>
      <c r="F1046" s="5" t="n"/>
      <c r="G1046" s="5" t="n"/>
      <c r="H1046" s="5" t="n"/>
      <c r="I1046" s="5" t="n"/>
      <c r="J1046" s="5" t="n"/>
      <c r="K1046" s="5" t="n"/>
      <c r="L1046" s="5" t="n"/>
      <c r="M1046" s="5" t="n"/>
      <c r="N1046" s="5" t="n"/>
      <c r="O1046" s="5" t="n"/>
      <c r="P1046" s="5" t="n"/>
      <c r="Q1046" s="5" t="n"/>
      <c r="R1046" s="5" t="n"/>
      <c r="S1046" s="5" t="n"/>
      <c r="T1046" s="5" t="n"/>
      <c r="U1046" s="5" t="n"/>
      <c r="V1046" s="5" t="n"/>
      <c r="W1046" s="5" t="n"/>
      <c r="X1046" s="5" t="n"/>
      <c r="Y1046" s="5">
        <f>IF(I1046="","",IF(AND(I1046="Fail",K1046=""),"Classify Issue Source",IF(AND(I1046="Fail",W1046=""),"Set Confidence",IF(AND(K1046="Unknown",W1046&lt;&gt;"Low"),"Unknown must be Low confidence",IF(AND(OR(K1046="Backend",K1046="SAP"),N1046=""),"Add HTTP status + endpoint",IF(AND(OR(K1046="Backend",K1046="SAP",K1046="Network"),P1046=""),"Add Correlation ID",IF(AND(I1046="Fail",T1046=""),"Write Root Cause / evidence gap",IF(AND(I1046="Fail",V1046=""),"Assign team","OK"))))))))</f>
        <v/>
      </c>
    </row>
    <row r="1047">
      <c r="A1047" s="5" t="n"/>
      <c r="B1047" s="5" t="n"/>
      <c r="C1047" s="5" t="n"/>
      <c r="D1047" s="5" t="n"/>
      <c r="E1047" s="5" t="n"/>
      <c r="F1047" s="5" t="n"/>
      <c r="G1047" s="5" t="n"/>
      <c r="H1047" s="5" t="n"/>
      <c r="I1047" s="5" t="n"/>
      <c r="J1047" s="5" t="n"/>
      <c r="K1047" s="5" t="n"/>
      <c r="L1047" s="5" t="n"/>
      <c r="M1047" s="5" t="n"/>
      <c r="N1047" s="5" t="n"/>
      <c r="O1047" s="5" t="n"/>
      <c r="P1047" s="5" t="n"/>
      <c r="Q1047" s="5" t="n"/>
      <c r="R1047" s="5" t="n"/>
      <c r="S1047" s="5" t="n"/>
      <c r="T1047" s="5" t="n"/>
      <c r="U1047" s="5" t="n"/>
      <c r="V1047" s="5" t="n"/>
      <c r="W1047" s="5" t="n"/>
      <c r="X1047" s="5" t="n"/>
      <c r="Y1047" s="5">
        <f>IF(I1047="","",IF(AND(I1047="Fail",K1047=""),"Classify Issue Source",IF(AND(I1047="Fail",W1047=""),"Set Confidence",IF(AND(K1047="Unknown",W1047&lt;&gt;"Low"),"Unknown must be Low confidence",IF(AND(OR(K1047="Backend",K1047="SAP"),N1047=""),"Add HTTP status + endpoint",IF(AND(OR(K1047="Backend",K1047="SAP",K1047="Network"),P1047=""),"Add Correlation ID",IF(AND(I1047="Fail",T1047=""),"Write Root Cause / evidence gap",IF(AND(I1047="Fail",V1047=""),"Assign team","OK"))))))))</f>
        <v/>
      </c>
    </row>
    <row r="1048">
      <c r="A1048" s="5" t="n"/>
      <c r="B1048" s="5" t="n"/>
      <c r="C1048" s="5" t="n"/>
      <c r="D1048" s="5" t="n"/>
      <c r="E1048" s="5" t="n"/>
      <c r="F1048" s="5" t="n"/>
      <c r="G1048" s="5" t="n"/>
      <c r="H1048" s="5" t="n"/>
      <c r="I1048" s="5" t="n"/>
      <c r="J1048" s="5" t="n"/>
      <c r="K1048" s="5" t="n"/>
      <c r="L1048" s="5" t="n"/>
      <c r="M1048" s="5" t="n"/>
      <c r="N1048" s="5" t="n"/>
      <c r="O1048" s="5" t="n"/>
      <c r="P1048" s="5" t="n"/>
      <c r="Q1048" s="5" t="n"/>
      <c r="R1048" s="5" t="n"/>
      <c r="S1048" s="5" t="n"/>
      <c r="T1048" s="5" t="n"/>
      <c r="U1048" s="5" t="n"/>
      <c r="V1048" s="5" t="n"/>
      <c r="W1048" s="5" t="n"/>
      <c r="X1048" s="5" t="n"/>
      <c r="Y1048" s="5">
        <f>IF(I1048="","",IF(AND(I1048="Fail",K1048=""),"Classify Issue Source",IF(AND(I1048="Fail",W1048=""),"Set Confidence",IF(AND(K1048="Unknown",W1048&lt;&gt;"Low"),"Unknown must be Low confidence",IF(AND(OR(K1048="Backend",K1048="SAP"),N1048=""),"Add HTTP status + endpoint",IF(AND(OR(K1048="Backend",K1048="SAP",K1048="Network"),P1048=""),"Add Correlation ID",IF(AND(I1048="Fail",T1048=""),"Write Root Cause / evidence gap",IF(AND(I1048="Fail",V1048=""),"Assign team","OK"))))))))</f>
        <v/>
      </c>
    </row>
    <row r="1049">
      <c r="A1049" s="5" t="n"/>
      <c r="B1049" s="5" t="n"/>
      <c r="C1049" s="5" t="n"/>
      <c r="D1049" s="5" t="n"/>
      <c r="E1049" s="5" t="n"/>
      <c r="F1049" s="5" t="n"/>
      <c r="G1049" s="5" t="n"/>
      <c r="H1049" s="5" t="n"/>
      <c r="I1049" s="5" t="n"/>
      <c r="J1049" s="5" t="n"/>
      <c r="K1049" s="5" t="n"/>
      <c r="L1049" s="5" t="n"/>
      <c r="M1049" s="5" t="n"/>
      <c r="N1049" s="5" t="n"/>
      <c r="O1049" s="5" t="n"/>
      <c r="P1049" s="5" t="n"/>
      <c r="Q1049" s="5" t="n"/>
      <c r="R1049" s="5" t="n"/>
      <c r="S1049" s="5" t="n"/>
      <c r="T1049" s="5" t="n"/>
      <c r="U1049" s="5" t="n"/>
      <c r="V1049" s="5" t="n"/>
      <c r="W1049" s="5" t="n"/>
      <c r="X1049" s="5" t="n"/>
      <c r="Y1049" s="5">
        <f>IF(I1049="","",IF(AND(I1049="Fail",K1049=""),"Classify Issue Source",IF(AND(I1049="Fail",W1049=""),"Set Confidence",IF(AND(K1049="Unknown",W1049&lt;&gt;"Low"),"Unknown must be Low confidence",IF(AND(OR(K1049="Backend",K1049="SAP"),N1049=""),"Add HTTP status + endpoint",IF(AND(OR(K1049="Backend",K1049="SAP",K1049="Network"),P1049=""),"Add Correlation ID",IF(AND(I1049="Fail",T1049=""),"Write Root Cause / evidence gap",IF(AND(I1049="Fail",V1049=""),"Assign team","OK"))))))))</f>
        <v/>
      </c>
    </row>
    <row r="1050">
      <c r="A1050" s="5" t="n"/>
      <c r="B1050" s="5" t="n"/>
      <c r="C1050" s="5" t="n"/>
      <c r="D1050" s="5" t="n"/>
      <c r="E1050" s="5" t="n"/>
      <c r="F1050" s="5" t="n"/>
      <c r="G1050" s="5" t="n"/>
      <c r="H1050" s="5" t="n"/>
      <c r="I1050" s="5" t="n"/>
      <c r="J1050" s="5" t="n"/>
      <c r="K1050" s="5" t="n"/>
      <c r="L1050" s="5" t="n"/>
      <c r="M1050" s="5" t="n"/>
      <c r="N1050" s="5" t="n"/>
      <c r="O1050" s="5" t="n"/>
      <c r="P1050" s="5" t="n"/>
      <c r="Q1050" s="5" t="n"/>
      <c r="R1050" s="5" t="n"/>
      <c r="S1050" s="5" t="n"/>
      <c r="T1050" s="5" t="n"/>
      <c r="U1050" s="5" t="n"/>
      <c r="V1050" s="5" t="n"/>
      <c r="W1050" s="5" t="n"/>
      <c r="X1050" s="5" t="n"/>
      <c r="Y1050" s="5">
        <f>IF(I1050="","",IF(AND(I1050="Fail",K1050=""),"Classify Issue Source",IF(AND(I1050="Fail",W1050=""),"Set Confidence",IF(AND(K1050="Unknown",W1050&lt;&gt;"Low"),"Unknown must be Low confidence",IF(AND(OR(K1050="Backend",K1050="SAP"),N1050=""),"Add HTTP status + endpoint",IF(AND(OR(K1050="Backend",K1050="SAP",K1050="Network"),P1050=""),"Add Correlation ID",IF(AND(I1050="Fail",T1050=""),"Write Root Cause / evidence gap",IF(AND(I1050="Fail",V1050=""),"Assign team","OK"))))))))</f>
        <v/>
      </c>
    </row>
    <row r="1051">
      <c r="A1051" s="5" t="n"/>
      <c r="B1051" s="5" t="n"/>
      <c r="C1051" s="5" t="n"/>
      <c r="D1051" s="5" t="n"/>
      <c r="E1051" s="5" t="n"/>
      <c r="F1051" s="5" t="n"/>
      <c r="G1051" s="5" t="n"/>
      <c r="H1051" s="5" t="n"/>
      <c r="I1051" s="5" t="n"/>
      <c r="J1051" s="5" t="n"/>
      <c r="K1051" s="5" t="n"/>
      <c r="L1051" s="5" t="n"/>
      <c r="M1051" s="5" t="n"/>
      <c r="N1051" s="5" t="n"/>
      <c r="O1051" s="5" t="n"/>
      <c r="P1051" s="5" t="n"/>
      <c r="Q1051" s="5" t="n"/>
      <c r="R1051" s="5" t="n"/>
      <c r="S1051" s="5" t="n"/>
      <c r="T1051" s="5" t="n"/>
      <c r="U1051" s="5" t="n"/>
      <c r="V1051" s="5" t="n"/>
      <c r="W1051" s="5" t="n"/>
      <c r="X1051" s="5" t="n"/>
      <c r="Y1051" s="5">
        <f>IF(I1051="","",IF(AND(I1051="Fail",K1051=""),"Classify Issue Source",IF(AND(I1051="Fail",W1051=""),"Set Confidence",IF(AND(K1051="Unknown",W1051&lt;&gt;"Low"),"Unknown must be Low confidence",IF(AND(OR(K1051="Backend",K1051="SAP"),N1051=""),"Add HTTP status + endpoint",IF(AND(OR(K1051="Backend",K1051="SAP",K1051="Network"),P1051=""),"Add Correlation ID",IF(AND(I1051="Fail",T1051=""),"Write Root Cause / evidence gap",IF(AND(I1051="Fail",V1051=""),"Assign team","OK"))))))))</f>
        <v/>
      </c>
    </row>
    <row r="1052">
      <c r="A1052" s="5" t="n"/>
      <c r="B1052" s="5" t="n"/>
      <c r="C1052" s="5" t="n"/>
      <c r="D1052" s="5" t="n"/>
      <c r="E1052" s="5" t="n"/>
      <c r="F1052" s="5" t="n"/>
      <c r="G1052" s="5" t="n"/>
      <c r="H1052" s="5" t="n"/>
      <c r="I1052" s="5" t="n"/>
      <c r="J1052" s="5" t="n"/>
      <c r="K1052" s="5" t="n"/>
      <c r="L1052" s="5" t="n"/>
      <c r="M1052" s="5" t="n"/>
      <c r="N1052" s="5" t="n"/>
      <c r="O1052" s="5" t="n"/>
      <c r="P1052" s="5" t="n"/>
      <c r="Q1052" s="5" t="n"/>
      <c r="R1052" s="5" t="n"/>
      <c r="S1052" s="5" t="n"/>
      <c r="T1052" s="5" t="n"/>
      <c r="U1052" s="5" t="n"/>
      <c r="V1052" s="5" t="n"/>
      <c r="W1052" s="5" t="n"/>
      <c r="X1052" s="5" t="n"/>
      <c r="Y1052" s="5">
        <f>IF(I1052="","",IF(AND(I1052="Fail",K1052=""),"Classify Issue Source",IF(AND(I1052="Fail",W1052=""),"Set Confidence",IF(AND(K1052="Unknown",W1052&lt;&gt;"Low"),"Unknown must be Low confidence",IF(AND(OR(K1052="Backend",K1052="SAP"),N1052=""),"Add HTTP status + endpoint",IF(AND(OR(K1052="Backend",K1052="SAP",K1052="Network"),P1052=""),"Add Correlation ID",IF(AND(I1052="Fail",T1052=""),"Write Root Cause / evidence gap",IF(AND(I1052="Fail",V1052=""),"Assign team","OK"))))))))</f>
        <v/>
      </c>
    </row>
    <row r="1053">
      <c r="A1053" s="5" t="n"/>
      <c r="B1053" s="5" t="n"/>
      <c r="C1053" s="5" t="n"/>
      <c r="D1053" s="5" t="n"/>
      <c r="E1053" s="5" t="n"/>
      <c r="F1053" s="5" t="n"/>
      <c r="G1053" s="5" t="n"/>
      <c r="H1053" s="5" t="n"/>
      <c r="I1053" s="5" t="n"/>
      <c r="J1053" s="5" t="n"/>
      <c r="K1053" s="5" t="n"/>
      <c r="L1053" s="5" t="n"/>
      <c r="M1053" s="5" t="n"/>
      <c r="N1053" s="5" t="n"/>
      <c r="O1053" s="5" t="n"/>
      <c r="P1053" s="5" t="n"/>
      <c r="Q1053" s="5" t="n"/>
      <c r="R1053" s="5" t="n"/>
      <c r="S1053" s="5" t="n"/>
      <c r="T1053" s="5" t="n"/>
      <c r="U1053" s="5" t="n"/>
      <c r="V1053" s="5" t="n"/>
      <c r="W1053" s="5" t="n"/>
      <c r="X1053" s="5" t="n"/>
      <c r="Y1053" s="5">
        <f>IF(I1053="","",IF(AND(I1053="Fail",K1053=""),"Classify Issue Source",IF(AND(I1053="Fail",W1053=""),"Set Confidence",IF(AND(K1053="Unknown",W1053&lt;&gt;"Low"),"Unknown must be Low confidence",IF(AND(OR(K1053="Backend",K1053="SAP"),N1053=""),"Add HTTP status + endpoint",IF(AND(OR(K1053="Backend",K1053="SAP",K1053="Network"),P1053=""),"Add Correlation ID",IF(AND(I1053="Fail",T1053=""),"Write Root Cause / evidence gap",IF(AND(I1053="Fail",V1053=""),"Assign team","OK"))))))))</f>
        <v/>
      </c>
    </row>
    <row r="1054">
      <c r="A1054" s="5" t="n"/>
      <c r="B1054" s="5" t="n"/>
      <c r="C1054" s="5" t="n"/>
      <c r="D1054" s="5" t="n"/>
      <c r="E1054" s="5" t="n"/>
      <c r="F1054" s="5" t="n"/>
      <c r="G1054" s="5" t="n"/>
      <c r="H1054" s="5" t="n"/>
      <c r="I1054" s="5" t="n"/>
      <c r="J1054" s="5" t="n"/>
      <c r="K1054" s="5" t="n"/>
      <c r="L1054" s="5" t="n"/>
      <c r="M1054" s="5" t="n"/>
      <c r="N1054" s="5" t="n"/>
      <c r="O1054" s="5" t="n"/>
      <c r="P1054" s="5" t="n"/>
      <c r="Q1054" s="5" t="n"/>
      <c r="R1054" s="5" t="n"/>
      <c r="S1054" s="5" t="n"/>
      <c r="T1054" s="5" t="n"/>
      <c r="U1054" s="5" t="n"/>
      <c r="V1054" s="5" t="n"/>
      <c r="W1054" s="5" t="n"/>
      <c r="X1054" s="5" t="n"/>
      <c r="Y1054" s="5">
        <f>IF(I1054="","",IF(AND(I1054="Fail",K1054=""),"Classify Issue Source",IF(AND(I1054="Fail",W1054=""),"Set Confidence",IF(AND(K1054="Unknown",W1054&lt;&gt;"Low"),"Unknown must be Low confidence",IF(AND(OR(K1054="Backend",K1054="SAP"),N1054=""),"Add HTTP status + endpoint",IF(AND(OR(K1054="Backend",K1054="SAP",K1054="Network"),P1054=""),"Add Correlation ID",IF(AND(I1054="Fail",T1054=""),"Write Root Cause / evidence gap",IF(AND(I1054="Fail",V1054=""),"Assign team","OK"))))))))</f>
        <v/>
      </c>
    </row>
    <row r="1055">
      <c r="A1055" s="5" t="n"/>
      <c r="B1055" s="5" t="n"/>
      <c r="C1055" s="5" t="n"/>
      <c r="D1055" s="5" t="n"/>
      <c r="E1055" s="5" t="n"/>
      <c r="F1055" s="5" t="n"/>
      <c r="G1055" s="5" t="n"/>
      <c r="H1055" s="5" t="n"/>
      <c r="I1055" s="5" t="n"/>
      <c r="J1055" s="5" t="n"/>
      <c r="K1055" s="5" t="n"/>
      <c r="L1055" s="5" t="n"/>
      <c r="M1055" s="5" t="n"/>
      <c r="N1055" s="5" t="n"/>
      <c r="O1055" s="5" t="n"/>
      <c r="P1055" s="5" t="n"/>
      <c r="Q1055" s="5" t="n"/>
      <c r="R1055" s="5" t="n"/>
      <c r="S1055" s="5" t="n"/>
      <c r="T1055" s="5" t="n"/>
      <c r="U1055" s="5" t="n"/>
      <c r="V1055" s="5" t="n"/>
      <c r="W1055" s="5" t="n"/>
      <c r="X1055" s="5" t="n"/>
      <c r="Y1055" s="5">
        <f>IF(I1055="","",IF(AND(I1055="Fail",K1055=""),"Classify Issue Source",IF(AND(I1055="Fail",W1055=""),"Set Confidence",IF(AND(K1055="Unknown",W1055&lt;&gt;"Low"),"Unknown must be Low confidence",IF(AND(OR(K1055="Backend",K1055="SAP"),N1055=""),"Add HTTP status + endpoint",IF(AND(OR(K1055="Backend",K1055="SAP",K1055="Network"),P1055=""),"Add Correlation ID",IF(AND(I1055="Fail",T1055=""),"Write Root Cause / evidence gap",IF(AND(I1055="Fail",V1055=""),"Assign team","OK"))))))))</f>
        <v/>
      </c>
    </row>
    <row r="1056">
      <c r="A1056" s="5" t="n"/>
      <c r="B1056" s="5" t="n"/>
      <c r="C1056" s="5" t="n"/>
      <c r="D1056" s="5" t="n"/>
      <c r="E1056" s="5" t="n"/>
      <c r="F1056" s="5" t="n"/>
      <c r="G1056" s="5" t="n"/>
      <c r="H1056" s="5" t="n"/>
      <c r="I1056" s="5" t="n"/>
      <c r="J1056" s="5" t="n"/>
      <c r="K1056" s="5" t="n"/>
      <c r="L1056" s="5" t="n"/>
      <c r="M1056" s="5" t="n"/>
      <c r="N1056" s="5" t="n"/>
      <c r="O1056" s="5" t="n"/>
      <c r="P1056" s="5" t="n"/>
      <c r="Q1056" s="5" t="n"/>
      <c r="R1056" s="5" t="n"/>
      <c r="S1056" s="5" t="n"/>
      <c r="T1056" s="5" t="n"/>
      <c r="U1056" s="5" t="n"/>
      <c r="V1056" s="5" t="n"/>
      <c r="W1056" s="5" t="n"/>
      <c r="X1056" s="5" t="n"/>
      <c r="Y1056" s="5">
        <f>IF(I1056="","",IF(AND(I1056="Fail",K1056=""),"Classify Issue Source",IF(AND(I1056="Fail",W1056=""),"Set Confidence",IF(AND(K1056="Unknown",W1056&lt;&gt;"Low"),"Unknown must be Low confidence",IF(AND(OR(K1056="Backend",K1056="SAP"),N1056=""),"Add HTTP status + endpoint",IF(AND(OR(K1056="Backend",K1056="SAP",K1056="Network"),P1056=""),"Add Correlation ID",IF(AND(I1056="Fail",T1056=""),"Write Root Cause / evidence gap",IF(AND(I1056="Fail",V1056=""),"Assign team","OK"))))))))</f>
        <v/>
      </c>
    </row>
    <row r="1057">
      <c r="A1057" s="5" t="n"/>
      <c r="B1057" s="5" t="n"/>
      <c r="C1057" s="5" t="n"/>
      <c r="D1057" s="5" t="n"/>
      <c r="E1057" s="5" t="n"/>
      <c r="F1057" s="5" t="n"/>
      <c r="G1057" s="5" t="n"/>
      <c r="H1057" s="5" t="n"/>
      <c r="I1057" s="5" t="n"/>
      <c r="J1057" s="5" t="n"/>
      <c r="K1057" s="5" t="n"/>
      <c r="L1057" s="5" t="n"/>
      <c r="M1057" s="5" t="n"/>
      <c r="N1057" s="5" t="n"/>
      <c r="O1057" s="5" t="n"/>
      <c r="P1057" s="5" t="n"/>
      <c r="Q1057" s="5" t="n"/>
      <c r="R1057" s="5" t="n"/>
      <c r="S1057" s="5" t="n"/>
      <c r="T1057" s="5" t="n"/>
      <c r="U1057" s="5" t="n"/>
      <c r="V1057" s="5" t="n"/>
      <c r="W1057" s="5" t="n"/>
      <c r="X1057" s="5" t="n"/>
      <c r="Y1057" s="5">
        <f>IF(I1057="","",IF(AND(I1057="Fail",K1057=""),"Classify Issue Source",IF(AND(I1057="Fail",W1057=""),"Set Confidence",IF(AND(K1057="Unknown",W1057&lt;&gt;"Low"),"Unknown must be Low confidence",IF(AND(OR(K1057="Backend",K1057="SAP"),N1057=""),"Add HTTP status + endpoint",IF(AND(OR(K1057="Backend",K1057="SAP",K1057="Network"),P1057=""),"Add Correlation ID",IF(AND(I1057="Fail",T1057=""),"Write Root Cause / evidence gap",IF(AND(I1057="Fail",V1057=""),"Assign team","OK"))))))))</f>
        <v/>
      </c>
    </row>
    <row r="1058">
      <c r="A1058" s="5" t="n"/>
      <c r="B1058" s="5" t="n"/>
      <c r="C1058" s="5" t="n"/>
      <c r="D1058" s="5" t="n"/>
      <c r="E1058" s="5" t="n"/>
      <c r="F1058" s="5" t="n"/>
      <c r="G1058" s="5" t="n"/>
      <c r="H1058" s="5" t="n"/>
      <c r="I1058" s="5" t="n"/>
      <c r="J1058" s="5" t="n"/>
      <c r="K1058" s="5" t="n"/>
      <c r="L1058" s="5" t="n"/>
      <c r="M1058" s="5" t="n"/>
      <c r="N1058" s="5" t="n"/>
      <c r="O1058" s="5" t="n"/>
      <c r="P1058" s="5" t="n"/>
      <c r="Q1058" s="5" t="n"/>
      <c r="R1058" s="5" t="n"/>
      <c r="S1058" s="5" t="n"/>
      <c r="T1058" s="5" t="n"/>
      <c r="U1058" s="5" t="n"/>
      <c r="V1058" s="5" t="n"/>
      <c r="W1058" s="5" t="n"/>
      <c r="X1058" s="5" t="n"/>
      <c r="Y1058" s="5">
        <f>IF(I1058="","",IF(AND(I1058="Fail",K1058=""),"Classify Issue Source",IF(AND(I1058="Fail",W1058=""),"Set Confidence",IF(AND(K1058="Unknown",W1058&lt;&gt;"Low"),"Unknown must be Low confidence",IF(AND(OR(K1058="Backend",K1058="SAP"),N1058=""),"Add HTTP status + endpoint",IF(AND(OR(K1058="Backend",K1058="SAP",K1058="Network"),P1058=""),"Add Correlation ID",IF(AND(I1058="Fail",T1058=""),"Write Root Cause / evidence gap",IF(AND(I1058="Fail",V1058=""),"Assign team","OK"))))))))</f>
        <v/>
      </c>
    </row>
    <row r="1059">
      <c r="A1059" s="5" t="n"/>
      <c r="B1059" s="5" t="n"/>
      <c r="C1059" s="5" t="n"/>
      <c r="D1059" s="5" t="n"/>
      <c r="E1059" s="5" t="n"/>
      <c r="F1059" s="5" t="n"/>
      <c r="G1059" s="5" t="n"/>
      <c r="H1059" s="5" t="n"/>
      <c r="I1059" s="5" t="n"/>
      <c r="J1059" s="5" t="n"/>
      <c r="K1059" s="5" t="n"/>
      <c r="L1059" s="5" t="n"/>
      <c r="M1059" s="5" t="n"/>
      <c r="N1059" s="5" t="n"/>
      <c r="O1059" s="5" t="n"/>
      <c r="P1059" s="5" t="n"/>
      <c r="Q1059" s="5" t="n"/>
      <c r="R1059" s="5" t="n"/>
      <c r="S1059" s="5" t="n"/>
      <c r="T1059" s="5" t="n"/>
      <c r="U1059" s="5" t="n"/>
      <c r="V1059" s="5" t="n"/>
      <c r="W1059" s="5" t="n"/>
      <c r="X1059" s="5" t="n"/>
      <c r="Y1059" s="5">
        <f>IF(I1059="","",IF(AND(I1059="Fail",K1059=""),"Classify Issue Source",IF(AND(I1059="Fail",W1059=""),"Set Confidence",IF(AND(K1059="Unknown",W1059&lt;&gt;"Low"),"Unknown must be Low confidence",IF(AND(OR(K1059="Backend",K1059="SAP"),N1059=""),"Add HTTP status + endpoint",IF(AND(OR(K1059="Backend",K1059="SAP",K1059="Network"),P1059=""),"Add Correlation ID",IF(AND(I1059="Fail",T1059=""),"Write Root Cause / evidence gap",IF(AND(I1059="Fail",V1059=""),"Assign team","OK"))))))))</f>
        <v/>
      </c>
    </row>
    <row r="1060">
      <c r="A1060" s="5" t="n"/>
      <c r="B1060" s="5" t="n"/>
      <c r="C1060" s="5" t="n"/>
      <c r="D1060" s="5" t="n"/>
      <c r="E1060" s="5" t="n"/>
      <c r="F1060" s="5" t="n"/>
      <c r="G1060" s="5" t="n"/>
      <c r="H1060" s="5" t="n"/>
      <c r="I1060" s="5" t="n"/>
      <c r="J1060" s="5" t="n"/>
      <c r="K1060" s="5" t="n"/>
      <c r="L1060" s="5" t="n"/>
      <c r="M1060" s="5" t="n"/>
      <c r="N1060" s="5" t="n"/>
      <c r="O1060" s="5" t="n"/>
      <c r="P1060" s="5" t="n"/>
      <c r="Q1060" s="5" t="n"/>
      <c r="R1060" s="5" t="n"/>
      <c r="S1060" s="5" t="n"/>
      <c r="T1060" s="5" t="n"/>
      <c r="U1060" s="5" t="n"/>
      <c r="V1060" s="5" t="n"/>
      <c r="W1060" s="5" t="n"/>
      <c r="X1060" s="5" t="n"/>
      <c r="Y1060" s="5">
        <f>IF(I1060="","",IF(AND(I1060="Fail",K1060=""),"Classify Issue Source",IF(AND(I1060="Fail",W1060=""),"Set Confidence",IF(AND(K1060="Unknown",W1060&lt;&gt;"Low"),"Unknown must be Low confidence",IF(AND(OR(K1060="Backend",K1060="SAP"),N1060=""),"Add HTTP status + endpoint",IF(AND(OR(K1060="Backend",K1060="SAP",K1060="Network"),P1060=""),"Add Correlation ID",IF(AND(I1060="Fail",T1060=""),"Write Root Cause / evidence gap",IF(AND(I1060="Fail",V1060=""),"Assign team","OK"))))))))</f>
        <v/>
      </c>
    </row>
    <row r="1061">
      <c r="A1061" s="5" t="n"/>
      <c r="B1061" s="5" t="n"/>
      <c r="C1061" s="5" t="n"/>
      <c r="D1061" s="5" t="n"/>
      <c r="E1061" s="5" t="n"/>
      <c r="F1061" s="5" t="n"/>
      <c r="G1061" s="5" t="n"/>
      <c r="H1061" s="5" t="n"/>
      <c r="I1061" s="5" t="n"/>
      <c r="J1061" s="5" t="n"/>
      <c r="K1061" s="5" t="n"/>
      <c r="L1061" s="5" t="n"/>
      <c r="M1061" s="5" t="n"/>
      <c r="N1061" s="5" t="n"/>
      <c r="O1061" s="5" t="n"/>
      <c r="P1061" s="5" t="n"/>
      <c r="Q1061" s="5" t="n"/>
      <c r="R1061" s="5" t="n"/>
      <c r="S1061" s="5" t="n"/>
      <c r="T1061" s="5" t="n"/>
      <c r="U1061" s="5" t="n"/>
      <c r="V1061" s="5" t="n"/>
      <c r="W1061" s="5" t="n"/>
      <c r="X1061" s="5" t="n"/>
      <c r="Y1061" s="5">
        <f>IF(I1061="","",IF(AND(I1061="Fail",K1061=""),"Classify Issue Source",IF(AND(I1061="Fail",W1061=""),"Set Confidence",IF(AND(K1061="Unknown",W1061&lt;&gt;"Low"),"Unknown must be Low confidence",IF(AND(OR(K1061="Backend",K1061="SAP"),N1061=""),"Add HTTP status + endpoint",IF(AND(OR(K1061="Backend",K1061="SAP",K1061="Network"),P1061=""),"Add Correlation ID",IF(AND(I1061="Fail",T1061=""),"Write Root Cause / evidence gap",IF(AND(I1061="Fail",V1061=""),"Assign team","OK"))))))))</f>
        <v/>
      </c>
    </row>
    <row r="1062">
      <c r="A1062" s="5" t="n"/>
      <c r="B1062" s="5" t="n"/>
      <c r="C1062" s="5" t="n"/>
      <c r="D1062" s="5" t="n"/>
      <c r="E1062" s="5" t="n"/>
      <c r="F1062" s="5" t="n"/>
      <c r="G1062" s="5" t="n"/>
      <c r="H1062" s="5" t="n"/>
      <c r="I1062" s="5" t="n"/>
      <c r="J1062" s="5" t="n"/>
      <c r="K1062" s="5" t="n"/>
      <c r="L1062" s="5" t="n"/>
      <c r="M1062" s="5" t="n"/>
      <c r="N1062" s="5" t="n"/>
      <c r="O1062" s="5" t="n"/>
      <c r="P1062" s="5" t="n"/>
      <c r="Q1062" s="5" t="n"/>
      <c r="R1062" s="5" t="n"/>
      <c r="S1062" s="5" t="n"/>
      <c r="T1062" s="5" t="n"/>
      <c r="U1062" s="5" t="n"/>
      <c r="V1062" s="5" t="n"/>
      <c r="W1062" s="5" t="n"/>
      <c r="X1062" s="5" t="n"/>
      <c r="Y1062" s="5">
        <f>IF(I1062="","",IF(AND(I1062="Fail",K1062=""),"Classify Issue Source",IF(AND(I1062="Fail",W1062=""),"Set Confidence",IF(AND(K1062="Unknown",W1062&lt;&gt;"Low"),"Unknown must be Low confidence",IF(AND(OR(K1062="Backend",K1062="SAP"),N1062=""),"Add HTTP status + endpoint",IF(AND(OR(K1062="Backend",K1062="SAP",K1062="Network"),P1062=""),"Add Correlation ID",IF(AND(I1062="Fail",T1062=""),"Write Root Cause / evidence gap",IF(AND(I1062="Fail",V1062=""),"Assign team","OK"))))))))</f>
        <v/>
      </c>
    </row>
    <row r="1063">
      <c r="A1063" s="5" t="n"/>
      <c r="B1063" s="5" t="n"/>
      <c r="C1063" s="5" t="n"/>
      <c r="D1063" s="5" t="n"/>
      <c r="E1063" s="5" t="n"/>
      <c r="F1063" s="5" t="n"/>
      <c r="G1063" s="5" t="n"/>
      <c r="H1063" s="5" t="n"/>
      <c r="I1063" s="5" t="n"/>
      <c r="J1063" s="5" t="n"/>
      <c r="K1063" s="5" t="n"/>
      <c r="L1063" s="5" t="n"/>
      <c r="M1063" s="5" t="n"/>
      <c r="N1063" s="5" t="n"/>
      <c r="O1063" s="5" t="n"/>
      <c r="P1063" s="5" t="n"/>
      <c r="Q1063" s="5" t="n"/>
      <c r="R1063" s="5" t="n"/>
      <c r="S1063" s="5" t="n"/>
      <c r="T1063" s="5" t="n"/>
      <c r="U1063" s="5" t="n"/>
      <c r="V1063" s="5" t="n"/>
      <c r="W1063" s="5" t="n"/>
      <c r="X1063" s="5" t="n"/>
      <c r="Y1063" s="5">
        <f>IF(I1063="","",IF(AND(I1063="Fail",K1063=""),"Classify Issue Source",IF(AND(I1063="Fail",W1063=""),"Set Confidence",IF(AND(K1063="Unknown",W1063&lt;&gt;"Low"),"Unknown must be Low confidence",IF(AND(OR(K1063="Backend",K1063="SAP"),N1063=""),"Add HTTP status + endpoint",IF(AND(OR(K1063="Backend",K1063="SAP",K1063="Network"),P1063=""),"Add Correlation ID",IF(AND(I1063="Fail",T1063=""),"Write Root Cause / evidence gap",IF(AND(I1063="Fail",V1063=""),"Assign team","OK"))))))))</f>
        <v/>
      </c>
    </row>
    <row r="1064">
      <c r="A1064" s="5" t="n"/>
      <c r="B1064" s="5" t="n"/>
      <c r="C1064" s="5" t="n"/>
      <c r="D1064" s="5" t="n"/>
      <c r="E1064" s="5" t="n"/>
      <c r="F1064" s="5" t="n"/>
      <c r="G1064" s="5" t="n"/>
      <c r="H1064" s="5" t="n"/>
      <c r="I1064" s="5" t="n"/>
      <c r="J1064" s="5" t="n"/>
      <c r="K1064" s="5" t="n"/>
      <c r="L1064" s="5" t="n"/>
      <c r="M1064" s="5" t="n"/>
      <c r="N1064" s="5" t="n"/>
      <c r="O1064" s="5" t="n"/>
      <c r="P1064" s="5" t="n"/>
      <c r="Q1064" s="5" t="n"/>
      <c r="R1064" s="5" t="n"/>
      <c r="S1064" s="5" t="n"/>
      <c r="T1064" s="5" t="n"/>
      <c r="U1064" s="5" t="n"/>
      <c r="V1064" s="5" t="n"/>
      <c r="W1064" s="5" t="n"/>
      <c r="X1064" s="5" t="n"/>
      <c r="Y1064" s="5">
        <f>IF(I1064="","",IF(AND(I1064="Fail",K1064=""),"Classify Issue Source",IF(AND(I1064="Fail",W1064=""),"Set Confidence",IF(AND(K1064="Unknown",W1064&lt;&gt;"Low"),"Unknown must be Low confidence",IF(AND(OR(K1064="Backend",K1064="SAP"),N1064=""),"Add HTTP status + endpoint",IF(AND(OR(K1064="Backend",K1064="SAP",K1064="Network"),P1064=""),"Add Correlation ID",IF(AND(I1064="Fail",T1064=""),"Write Root Cause / evidence gap",IF(AND(I1064="Fail",V1064=""),"Assign team","OK"))))))))</f>
        <v/>
      </c>
    </row>
    <row r="1065">
      <c r="A1065" s="5" t="n"/>
      <c r="B1065" s="5" t="n"/>
      <c r="C1065" s="5" t="n"/>
      <c r="D1065" s="5" t="n"/>
      <c r="E1065" s="5" t="n"/>
      <c r="F1065" s="5" t="n"/>
      <c r="G1065" s="5" t="n"/>
      <c r="H1065" s="5" t="n"/>
      <c r="I1065" s="5" t="n"/>
      <c r="J1065" s="5" t="n"/>
      <c r="K1065" s="5" t="n"/>
      <c r="L1065" s="5" t="n"/>
      <c r="M1065" s="5" t="n"/>
      <c r="N1065" s="5" t="n"/>
      <c r="O1065" s="5" t="n"/>
      <c r="P1065" s="5" t="n"/>
      <c r="Q1065" s="5" t="n"/>
      <c r="R1065" s="5" t="n"/>
      <c r="S1065" s="5" t="n"/>
      <c r="T1065" s="5" t="n"/>
      <c r="U1065" s="5" t="n"/>
      <c r="V1065" s="5" t="n"/>
      <c r="W1065" s="5" t="n"/>
      <c r="X1065" s="5" t="n"/>
      <c r="Y1065" s="5">
        <f>IF(I1065="","",IF(AND(I1065="Fail",K1065=""),"Classify Issue Source",IF(AND(I1065="Fail",W1065=""),"Set Confidence",IF(AND(K1065="Unknown",W1065&lt;&gt;"Low"),"Unknown must be Low confidence",IF(AND(OR(K1065="Backend",K1065="SAP"),N1065=""),"Add HTTP status + endpoint",IF(AND(OR(K1065="Backend",K1065="SAP",K1065="Network"),P1065=""),"Add Correlation ID",IF(AND(I1065="Fail",T1065=""),"Write Root Cause / evidence gap",IF(AND(I1065="Fail",V1065=""),"Assign team","OK"))))))))</f>
        <v/>
      </c>
    </row>
    <row r="1066">
      <c r="A1066" s="5" t="n"/>
      <c r="B1066" s="5" t="n"/>
      <c r="C1066" s="5" t="n"/>
      <c r="D1066" s="5" t="n"/>
      <c r="E1066" s="5" t="n"/>
      <c r="F1066" s="5" t="n"/>
      <c r="G1066" s="5" t="n"/>
      <c r="H1066" s="5" t="n"/>
      <c r="I1066" s="5" t="n"/>
      <c r="J1066" s="5" t="n"/>
      <c r="K1066" s="5" t="n"/>
      <c r="L1066" s="5" t="n"/>
      <c r="M1066" s="5" t="n"/>
      <c r="N1066" s="5" t="n"/>
      <c r="O1066" s="5" t="n"/>
      <c r="P1066" s="5" t="n"/>
      <c r="Q1066" s="5" t="n"/>
      <c r="R1066" s="5" t="n"/>
      <c r="S1066" s="5" t="n"/>
      <c r="T1066" s="5" t="n"/>
      <c r="U1066" s="5" t="n"/>
      <c r="V1066" s="5" t="n"/>
      <c r="W1066" s="5" t="n"/>
      <c r="X1066" s="5" t="n"/>
      <c r="Y1066" s="5">
        <f>IF(I1066="","",IF(AND(I1066="Fail",K1066=""),"Classify Issue Source",IF(AND(I1066="Fail",W1066=""),"Set Confidence",IF(AND(K1066="Unknown",W1066&lt;&gt;"Low"),"Unknown must be Low confidence",IF(AND(OR(K1066="Backend",K1066="SAP"),N1066=""),"Add HTTP status + endpoint",IF(AND(OR(K1066="Backend",K1066="SAP",K1066="Network"),P1066=""),"Add Correlation ID",IF(AND(I1066="Fail",T1066=""),"Write Root Cause / evidence gap",IF(AND(I1066="Fail",V1066=""),"Assign team","OK"))))))))</f>
        <v/>
      </c>
    </row>
    <row r="1067">
      <c r="A1067" s="5" t="n"/>
      <c r="B1067" s="5" t="n"/>
      <c r="C1067" s="5" t="n"/>
      <c r="D1067" s="5" t="n"/>
      <c r="E1067" s="5" t="n"/>
      <c r="F1067" s="5" t="n"/>
      <c r="G1067" s="5" t="n"/>
      <c r="H1067" s="5" t="n"/>
      <c r="I1067" s="5" t="n"/>
      <c r="J1067" s="5" t="n"/>
      <c r="K1067" s="5" t="n"/>
      <c r="L1067" s="5" t="n"/>
      <c r="M1067" s="5" t="n"/>
      <c r="N1067" s="5" t="n"/>
      <c r="O1067" s="5" t="n"/>
      <c r="P1067" s="5" t="n"/>
      <c r="Q1067" s="5" t="n"/>
      <c r="R1067" s="5" t="n"/>
      <c r="S1067" s="5" t="n"/>
      <c r="T1067" s="5" t="n"/>
      <c r="U1067" s="5" t="n"/>
      <c r="V1067" s="5" t="n"/>
      <c r="W1067" s="5" t="n"/>
      <c r="X1067" s="5" t="n"/>
      <c r="Y1067" s="5">
        <f>IF(I1067="","",IF(AND(I1067="Fail",K1067=""),"Classify Issue Source",IF(AND(I1067="Fail",W1067=""),"Set Confidence",IF(AND(K1067="Unknown",W1067&lt;&gt;"Low"),"Unknown must be Low confidence",IF(AND(OR(K1067="Backend",K1067="SAP"),N1067=""),"Add HTTP status + endpoint",IF(AND(OR(K1067="Backend",K1067="SAP",K1067="Network"),P1067=""),"Add Correlation ID",IF(AND(I1067="Fail",T1067=""),"Write Root Cause / evidence gap",IF(AND(I1067="Fail",V1067=""),"Assign team","OK"))))))))</f>
        <v/>
      </c>
    </row>
    <row r="1068">
      <c r="A1068" s="5" t="n"/>
      <c r="B1068" s="5" t="n"/>
      <c r="C1068" s="5" t="n"/>
      <c r="D1068" s="5" t="n"/>
      <c r="E1068" s="5" t="n"/>
      <c r="F1068" s="5" t="n"/>
      <c r="G1068" s="5" t="n"/>
      <c r="H1068" s="5" t="n"/>
      <c r="I1068" s="5" t="n"/>
      <c r="J1068" s="5" t="n"/>
      <c r="K1068" s="5" t="n"/>
      <c r="L1068" s="5" t="n"/>
      <c r="M1068" s="5" t="n"/>
      <c r="N1068" s="5" t="n"/>
      <c r="O1068" s="5" t="n"/>
      <c r="P1068" s="5" t="n"/>
      <c r="Q1068" s="5" t="n"/>
      <c r="R1068" s="5" t="n"/>
      <c r="S1068" s="5" t="n"/>
      <c r="T1068" s="5" t="n"/>
      <c r="U1068" s="5" t="n"/>
      <c r="V1068" s="5" t="n"/>
      <c r="W1068" s="5" t="n"/>
      <c r="X1068" s="5" t="n"/>
      <c r="Y1068" s="5">
        <f>IF(I1068="","",IF(AND(I1068="Fail",K1068=""),"Classify Issue Source",IF(AND(I1068="Fail",W1068=""),"Set Confidence",IF(AND(K1068="Unknown",W1068&lt;&gt;"Low"),"Unknown must be Low confidence",IF(AND(OR(K1068="Backend",K1068="SAP"),N1068=""),"Add HTTP status + endpoint",IF(AND(OR(K1068="Backend",K1068="SAP",K1068="Network"),P1068=""),"Add Correlation ID",IF(AND(I1068="Fail",T1068=""),"Write Root Cause / evidence gap",IF(AND(I1068="Fail",V1068=""),"Assign team","OK"))))))))</f>
        <v/>
      </c>
    </row>
    <row r="1069">
      <c r="A1069" s="5" t="n"/>
      <c r="B1069" s="5" t="n"/>
      <c r="C1069" s="5" t="n"/>
      <c r="D1069" s="5" t="n"/>
      <c r="E1069" s="5" t="n"/>
      <c r="F1069" s="5" t="n"/>
      <c r="G1069" s="5" t="n"/>
      <c r="H1069" s="5" t="n"/>
      <c r="I1069" s="5" t="n"/>
      <c r="J1069" s="5" t="n"/>
      <c r="K1069" s="5" t="n"/>
      <c r="L1069" s="5" t="n"/>
      <c r="M1069" s="5" t="n"/>
      <c r="N1069" s="5" t="n"/>
      <c r="O1069" s="5" t="n"/>
      <c r="P1069" s="5" t="n"/>
      <c r="Q1069" s="5" t="n"/>
      <c r="R1069" s="5" t="n"/>
      <c r="S1069" s="5" t="n"/>
      <c r="T1069" s="5" t="n"/>
      <c r="U1069" s="5" t="n"/>
      <c r="V1069" s="5" t="n"/>
      <c r="W1069" s="5" t="n"/>
      <c r="X1069" s="5" t="n"/>
      <c r="Y1069" s="5">
        <f>IF(I1069="","",IF(AND(I1069="Fail",K1069=""),"Classify Issue Source",IF(AND(I1069="Fail",W1069=""),"Set Confidence",IF(AND(K1069="Unknown",W1069&lt;&gt;"Low"),"Unknown must be Low confidence",IF(AND(OR(K1069="Backend",K1069="SAP"),N1069=""),"Add HTTP status + endpoint",IF(AND(OR(K1069="Backend",K1069="SAP",K1069="Network"),P1069=""),"Add Correlation ID",IF(AND(I1069="Fail",T1069=""),"Write Root Cause / evidence gap",IF(AND(I1069="Fail",V1069=""),"Assign team","OK"))))))))</f>
        <v/>
      </c>
    </row>
    <row r="1070">
      <c r="A1070" s="5" t="n"/>
      <c r="B1070" s="5" t="n"/>
      <c r="C1070" s="5" t="n"/>
      <c r="D1070" s="5" t="n"/>
      <c r="E1070" s="5" t="n"/>
      <c r="F1070" s="5" t="n"/>
      <c r="G1070" s="5" t="n"/>
      <c r="H1070" s="5" t="n"/>
      <c r="I1070" s="5" t="n"/>
      <c r="J1070" s="5" t="n"/>
      <c r="K1070" s="5" t="n"/>
      <c r="L1070" s="5" t="n"/>
      <c r="M1070" s="5" t="n"/>
      <c r="N1070" s="5" t="n"/>
      <c r="O1070" s="5" t="n"/>
      <c r="P1070" s="5" t="n"/>
      <c r="Q1070" s="5" t="n"/>
      <c r="R1070" s="5" t="n"/>
      <c r="S1070" s="5" t="n"/>
      <c r="T1070" s="5" t="n"/>
      <c r="U1070" s="5" t="n"/>
      <c r="V1070" s="5" t="n"/>
      <c r="W1070" s="5" t="n"/>
      <c r="X1070" s="5" t="n"/>
      <c r="Y1070" s="5">
        <f>IF(I1070="","",IF(AND(I1070="Fail",K1070=""),"Classify Issue Source",IF(AND(I1070="Fail",W1070=""),"Set Confidence",IF(AND(K1070="Unknown",W1070&lt;&gt;"Low"),"Unknown must be Low confidence",IF(AND(OR(K1070="Backend",K1070="SAP"),N1070=""),"Add HTTP status + endpoint",IF(AND(OR(K1070="Backend",K1070="SAP",K1070="Network"),P1070=""),"Add Correlation ID",IF(AND(I1070="Fail",T1070=""),"Write Root Cause / evidence gap",IF(AND(I1070="Fail",V1070=""),"Assign team","OK"))))))))</f>
        <v/>
      </c>
    </row>
    <row r="1071">
      <c r="A1071" s="5" t="n"/>
      <c r="B1071" s="5" t="n"/>
      <c r="C1071" s="5" t="n"/>
      <c r="D1071" s="5" t="n"/>
      <c r="E1071" s="5" t="n"/>
      <c r="F1071" s="5" t="n"/>
      <c r="G1071" s="5" t="n"/>
      <c r="H1071" s="5" t="n"/>
      <c r="I1071" s="5" t="n"/>
      <c r="J1071" s="5" t="n"/>
      <c r="K1071" s="5" t="n"/>
      <c r="L1071" s="5" t="n"/>
      <c r="M1071" s="5" t="n"/>
      <c r="N1071" s="5" t="n"/>
      <c r="O1071" s="5" t="n"/>
      <c r="P1071" s="5" t="n"/>
      <c r="Q1071" s="5" t="n"/>
      <c r="R1071" s="5" t="n"/>
      <c r="S1071" s="5" t="n"/>
      <c r="T1071" s="5" t="n"/>
      <c r="U1071" s="5" t="n"/>
      <c r="V1071" s="5" t="n"/>
      <c r="W1071" s="5" t="n"/>
      <c r="X1071" s="5" t="n"/>
      <c r="Y1071" s="5">
        <f>IF(I1071="","",IF(AND(I1071="Fail",K1071=""),"Classify Issue Source",IF(AND(I1071="Fail",W1071=""),"Set Confidence",IF(AND(K1071="Unknown",W1071&lt;&gt;"Low"),"Unknown must be Low confidence",IF(AND(OR(K1071="Backend",K1071="SAP"),N1071=""),"Add HTTP status + endpoint",IF(AND(OR(K1071="Backend",K1071="SAP",K1071="Network"),P1071=""),"Add Correlation ID",IF(AND(I1071="Fail",T1071=""),"Write Root Cause / evidence gap",IF(AND(I1071="Fail",V1071=""),"Assign team","OK"))))))))</f>
        <v/>
      </c>
    </row>
    <row r="1072">
      <c r="A1072" s="5" t="n"/>
      <c r="B1072" s="5" t="n"/>
      <c r="C1072" s="5" t="n"/>
      <c r="D1072" s="5" t="n"/>
      <c r="E1072" s="5" t="n"/>
      <c r="F1072" s="5" t="n"/>
      <c r="G1072" s="5" t="n"/>
      <c r="H1072" s="5" t="n"/>
      <c r="I1072" s="5" t="n"/>
      <c r="J1072" s="5" t="n"/>
      <c r="K1072" s="5" t="n"/>
      <c r="L1072" s="5" t="n"/>
      <c r="M1072" s="5" t="n"/>
      <c r="N1072" s="5" t="n"/>
      <c r="O1072" s="5" t="n"/>
      <c r="P1072" s="5" t="n"/>
      <c r="Q1072" s="5" t="n"/>
      <c r="R1072" s="5" t="n"/>
      <c r="S1072" s="5" t="n"/>
      <c r="T1072" s="5" t="n"/>
      <c r="U1072" s="5" t="n"/>
      <c r="V1072" s="5" t="n"/>
      <c r="W1072" s="5" t="n"/>
      <c r="X1072" s="5" t="n"/>
      <c r="Y1072" s="5">
        <f>IF(I1072="","",IF(AND(I1072="Fail",K1072=""),"Classify Issue Source",IF(AND(I1072="Fail",W1072=""),"Set Confidence",IF(AND(K1072="Unknown",W1072&lt;&gt;"Low"),"Unknown must be Low confidence",IF(AND(OR(K1072="Backend",K1072="SAP"),N1072=""),"Add HTTP status + endpoint",IF(AND(OR(K1072="Backend",K1072="SAP",K1072="Network"),P1072=""),"Add Correlation ID",IF(AND(I1072="Fail",T1072=""),"Write Root Cause / evidence gap",IF(AND(I1072="Fail",V1072=""),"Assign team","OK"))))))))</f>
        <v/>
      </c>
    </row>
    <row r="1073">
      <c r="A1073" s="5" t="n"/>
      <c r="B1073" s="5" t="n"/>
      <c r="C1073" s="5" t="n"/>
      <c r="D1073" s="5" t="n"/>
      <c r="E1073" s="5" t="n"/>
      <c r="F1073" s="5" t="n"/>
      <c r="G1073" s="5" t="n"/>
      <c r="H1073" s="5" t="n"/>
      <c r="I1073" s="5" t="n"/>
      <c r="J1073" s="5" t="n"/>
      <c r="K1073" s="5" t="n"/>
      <c r="L1073" s="5" t="n"/>
      <c r="M1073" s="5" t="n"/>
      <c r="N1073" s="5" t="n"/>
      <c r="O1073" s="5" t="n"/>
      <c r="P1073" s="5" t="n"/>
      <c r="Q1073" s="5" t="n"/>
      <c r="R1073" s="5" t="n"/>
      <c r="S1073" s="5" t="n"/>
      <c r="T1073" s="5" t="n"/>
      <c r="U1073" s="5" t="n"/>
      <c r="V1073" s="5" t="n"/>
      <c r="W1073" s="5" t="n"/>
      <c r="X1073" s="5" t="n"/>
      <c r="Y1073" s="5">
        <f>IF(I1073="","",IF(AND(I1073="Fail",K1073=""),"Classify Issue Source",IF(AND(I1073="Fail",W1073=""),"Set Confidence",IF(AND(K1073="Unknown",W1073&lt;&gt;"Low"),"Unknown must be Low confidence",IF(AND(OR(K1073="Backend",K1073="SAP"),N1073=""),"Add HTTP status + endpoint",IF(AND(OR(K1073="Backend",K1073="SAP",K1073="Network"),P1073=""),"Add Correlation ID",IF(AND(I1073="Fail",T1073=""),"Write Root Cause / evidence gap",IF(AND(I1073="Fail",V1073=""),"Assign team","OK"))))))))</f>
        <v/>
      </c>
    </row>
    <row r="1074">
      <c r="A1074" s="5" t="n"/>
      <c r="B1074" s="5" t="n"/>
      <c r="C1074" s="5" t="n"/>
      <c r="D1074" s="5" t="n"/>
      <c r="E1074" s="5" t="n"/>
      <c r="F1074" s="5" t="n"/>
      <c r="G1074" s="5" t="n"/>
      <c r="H1074" s="5" t="n"/>
      <c r="I1074" s="5" t="n"/>
      <c r="J1074" s="5" t="n"/>
      <c r="K1074" s="5" t="n"/>
      <c r="L1074" s="5" t="n"/>
      <c r="M1074" s="5" t="n"/>
      <c r="N1074" s="5" t="n"/>
      <c r="O1074" s="5" t="n"/>
      <c r="P1074" s="5" t="n"/>
      <c r="Q1074" s="5" t="n"/>
      <c r="R1074" s="5" t="n"/>
      <c r="S1074" s="5" t="n"/>
      <c r="T1074" s="5" t="n"/>
      <c r="U1074" s="5" t="n"/>
      <c r="V1074" s="5" t="n"/>
      <c r="W1074" s="5" t="n"/>
      <c r="X1074" s="5" t="n"/>
      <c r="Y1074" s="5">
        <f>IF(I1074="","",IF(AND(I1074="Fail",K1074=""),"Classify Issue Source",IF(AND(I1074="Fail",W1074=""),"Set Confidence",IF(AND(K1074="Unknown",W1074&lt;&gt;"Low"),"Unknown must be Low confidence",IF(AND(OR(K1074="Backend",K1074="SAP"),N1074=""),"Add HTTP status + endpoint",IF(AND(OR(K1074="Backend",K1074="SAP",K1074="Network"),P1074=""),"Add Correlation ID",IF(AND(I1074="Fail",T1074=""),"Write Root Cause / evidence gap",IF(AND(I1074="Fail",V1074=""),"Assign team","OK"))))))))</f>
        <v/>
      </c>
    </row>
    <row r="1075">
      <c r="A1075" s="5" t="n"/>
      <c r="B1075" s="5" t="n"/>
      <c r="C1075" s="5" t="n"/>
      <c r="D1075" s="5" t="n"/>
      <c r="E1075" s="5" t="n"/>
      <c r="F1075" s="5" t="n"/>
      <c r="G1075" s="5" t="n"/>
      <c r="H1075" s="5" t="n"/>
      <c r="I1075" s="5" t="n"/>
      <c r="J1075" s="5" t="n"/>
      <c r="K1075" s="5" t="n"/>
      <c r="L1075" s="5" t="n"/>
      <c r="M1075" s="5" t="n"/>
      <c r="N1075" s="5" t="n"/>
      <c r="O1075" s="5" t="n"/>
      <c r="P1075" s="5" t="n"/>
      <c r="Q1075" s="5" t="n"/>
      <c r="R1075" s="5" t="n"/>
      <c r="S1075" s="5" t="n"/>
      <c r="T1075" s="5" t="n"/>
      <c r="U1075" s="5" t="n"/>
      <c r="V1075" s="5" t="n"/>
      <c r="W1075" s="5" t="n"/>
      <c r="X1075" s="5" t="n"/>
      <c r="Y1075" s="5">
        <f>IF(I1075="","",IF(AND(I1075="Fail",K1075=""),"Classify Issue Source",IF(AND(I1075="Fail",W1075=""),"Set Confidence",IF(AND(K1075="Unknown",W1075&lt;&gt;"Low"),"Unknown must be Low confidence",IF(AND(OR(K1075="Backend",K1075="SAP"),N1075=""),"Add HTTP status + endpoint",IF(AND(OR(K1075="Backend",K1075="SAP",K1075="Network"),P1075=""),"Add Correlation ID",IF(AND(I1075="Fail",T1075=""),"Write Root Cause / evidence gap",IF(AND(I1075="Fail",V1075=""),"Assign team","OK"))))))))</f>
        <v/>
      </c>
    </row>
    <row r="1076">
      <c r="A1076" s="5" t="n"/>
      <c r="B1076" s="5" t="n"/>
      <c r="C1076" s="5" t="n"/>
      <c r="D1076" s="5" t="n"/>
      <c r="E1076" s="5" t="n"/>
      <c r="F1076" s="5" t="n"/>
      <c r="G1076" s="5" t="n"/>
      <c r="H1076" s="5" t="n"/>
      <c r="I1076" s="5" t="n"/>
      <c r="J1076" s="5" t="n"/>
      <c r="K1076" s="5" t="n"/>
      <c r="L1076" s="5" t="n"/>
      <c r="M1076" s="5" t="n"/>
      <c r="N1076" s="5" t="n"/>
      <c r="O1076" s="5" t="n"/>
      <c r="P1076" s="5" t="n"/>
      <c r="Q1076" s="5" t="n"/>
      <c r="R1076" s="5" t="n"/>
      <c r="S1076" s="5" t="n"/>
      <c r="T1076" s="5" t="n"/>
      <c r="U1076" s="5" t="n"/>
      <c r="V1076" s="5" t="n"/>
      <c r="W1076" s="5" t="n"/>
      <c r="X1076" s="5" t="n"/>
      <c r="Y1076" s="5">
        <f>IF(I1076="","",IF(AND(I1076="Fail",K1076=""),"Classify Issue Source",IF(AND(I1076="Fail",W1076=""),"Set Confidence",IF(AND(K1076="Unknown",W1076&lt;&gt;"Low"),"Unknown must be Low confidence",IF(AND(OR(K1076="Backend",K1076="SAP"),N1076=""),"Add HTTP status + endpoint",IF(AND(OR(K1076="Backend",K1076="SAP",K1076="Network"),P1076=""),"Add Correlation ID",IF(AND(I1076="Fail",T1076=""),"Write Root Cause / evidence gap",IF(AND(I1076="Fail",V1076=""),"Assign team","OK"))))))))</f>
        <v/>
      </c>
    </row>
    <row r="1077">
      <c r="A1077" s="5" t="n"/>
      <c r="B1077" s="5" t="n"/>
      <c r="C1077" s="5" t="n"/>
      <c r="D1077" s="5" t="n"/>
      <c r="E1077" s="5" t="n"/>
      <c r="F1077" s="5" t="n"/>
      <c r="G1077" s="5" t="n"/>
      <c r="H1077" s="5" t="n"/>
      <c r="I1077" s="5" t="n"/>
      <c r="J1077" s="5" t="n"/>
      <c r="K1077" s="5" t="n"/>
      <c r="L1077" s="5" t="n"/>
      <c r="M1077" s="5" t="n"/>
      <c r="N1077" s="5" t="n"/>
      <c r="O1077" s="5" t="n"/>
      <c r="P1077" s="5" t="n"/>
      <c r="Q1077" s="5" t="n"/>
      <c r="R1077" s="5" t="n"/>
      <c r="S1077" s="5" t="n"/>
      <c r="T1077" s="5" t="n"/>
      <c r="U1077" s="5" t="n"/>
      <c r="V1077" s="5" t="n"/>
      <c r="W1077" s="5" t="n"/>
      <c r="X1077" s="5" t="n"/>
      <c r="Y1077" s="5">
        <f>IF(I1077="","",IF(AND(I1077="Fail",K1077=""),"Classify Issue Source",IF(AND(I1077="Fail",W1077=""),"Set Confidence",IF(AND(K1077="Unknown",W1077&lt;&gt;"Low"),"Unknown must be Low confidence",IF(AND(OR(K1077="Backend",K1077="SAP"),N1077=""),"Add HTTP status + endpoint",IF(AND(OR(K1077="Backend",K1077="SAP",K1077="Network"),P1077=""),"Add Correlation ID",IF(AND(I1077="Fail",T1077=""),"Write Root Cause / evidence gap",IF(AND(I1077="Fail",V1077=""),"Assign team","OK"))))))))</f>
        <v/>
      </c>
    </row>
    <row r="1078">
      <c r="A1078" s="5" t="n"/>
      <c r="B1078" s="5" t="n"/>
      <c r="C1078" s="5" t="n"/>
      <c r="D1078" s="5" t="n"/>
      <c r="E1078" s="5" t="n"/>
      <c r="F1078" s="5" t="n"/>
      <c r="G1078" s="5" t="n"/>
      <c r="H1078" s="5" t="n"/>
      <c r="I1078" s="5" t="n"/>
      <c r="J1078" s="5" t="n"/>
      <c r="K1078" s="5" t="n"/>
      <c r="L1078" s="5" t="n"/>
      <c r="M1078" s="5" t="n"/>
      <c r="N1078" s="5" t="n"/>
      <c r="O1078" s="5" t="n"/>
      <c r="P1078" s="5" t="n"/>
      <c r="Q1078" s="5" t="n"/>
      <c r="R1078" s="5" t="n"/>
      <c r="S1078" s="5" t="n"/>
      <c r="T1078" s="5" t="n"/>
      <c r="U1078" s="5" t="n"/>
      <c r="V1078" s="5" t="n"/>
      <c r="W1078" s="5" t="n"/>
      <c r="X1078" s="5" t="n"/>
      <c r="Y1078" s="5">
        <f>IF(I1078="","",IF(AND(I1078="Fail",K1078=""),"Classify Issue Source",IF(AND(I1078="Fail",W1078=""),"Set Confidence",IF(AND(K1078="Unknown",W1078&lt;&gt;"Low"),"Unknown must be Low confidence",IF(AND(OR(K1078="Backend",K1078="SAP"),N1078=""),"Add HTTP status + endpoint",IF(AND(OR(K1078="Backend",K1078="SAP",K1078="Network"),P1078=""),"Add Correlation ID",IF(AND(I1078="Fail",T1078=""),"Write Root Cause / evidence gap",IF(AND(I1078="Fail",V1078=""),"Assign team","OK"))))))))</f>
        <v/>
      </c>
    </row>
    <row r="1079">
      <c r="A1079" s="5" t="n"/>
      <c r="B1079" s="5" t="n"/>
      <c r="C1079" s="5" t="n"/>
      <c r="D1079" s="5" t="n"/>
      <c r="E1079" s="5" t="n"/>
      <c r="F1079" s="5" t="n"/>
      <c r="G1079" s="5" t="n"/>
      <c r="H1079" s="5" t="n"/>
      <c r="I1079" s="5" t="n"/>
      <c r="J1079" s="5" t="n"/>
      <c r="K1079" s="5" t="n"/>
      <c r="L1079" s="5" t="n"/>
      <c r="M1079" s="5" t="n"/>
      <c r="N1079" s="5" t="n"/>
      <c r="O1079" s="5" t="n"/>
      <c r="P1079" s="5" t="n"/>
      <c r="Q1079" s="5" t="n"/>
      <c r="R1079" s="5" t="n"/>
      <c r="S1079" s="5" t="n"/>
      <c r="T1079" s="5" t="n"/>
      <c r="U1079" s="5" t="n"/>
      <c r="V1079" s="5" t="n"/>
      <c r="W1079" s="5" t="n"/>
      <c r="X1079" s="5" t="n"/>
      <c r="Y1079" s="5">
        <f>IF(I1079="","",IF(AND(I1079="Fail",K1079=""),"Classify Issue Source",IF(AND(I1079="Fail",W1079=""),"Set Confidence",IF(AND(K1079="Unknown",W1079&lt;&gt;"Low"),"Unknown must be Low confidence",IF(AND(OR(K1079="Backend",K1079="SAP"),N1079=""),"Add HTTP status + endpoint",IF(AND(OR(K1079="Backend",K1079="SAP",K1079="Network"),P1079=""),"Add Correlation ID",IF(AND(I1079="Fail",T1079=""),"Write Root Cause / evidence gap",IF(AND(I1079="Fail",V1079=""),"Assign team","OK"))))))))</f>
        <v/>
      </c>
    </row>
    <row r="1080">
      <c r="A1080" s="5" t="n"/>
      <c r="B1080" s="5" t="n"/>
      <c r="C1080" s="5" t="n"/>
      <c r="D1080" s="5" t="n"/>
      <c r="E1080" s="5" t="n"/>
      <c r="F1080" s="5" t="n"/>
      <c r="G1080" s="5" t="n"/>
      <c r="H1080" s="5" t="n"/>
      <c r="I1080" s="5" t="n"/>
      <c r="J1080" s="5" t="n"/>
      <c r="K1080" s="5" t="n"/>
      <c r="L1080" s="5" t="n"/>
      <c r="M1080" s="5" t="n"/>
      <c r="N1080" s="5" t="n"/>
      <c r="O1080" s="5" t="n"/>
      <c r="P1080" s="5" t="n"/>
      <c r="Q1080" s="5" t="n"/>
      <c r="R1080" s="5" t="n"/>
      <c r="S1080" s="5" t="n"/>
      <c r="T1080" s="5" t="n"/>
      <c r="U1080" s="5" t="n"/>
      <c r="V1080" s="5" t="n"/>
      <c r="W1080" s="5" t="n"/>
      <c r="X1080" s="5" t="n"/>
      <c r="Y1080" s="5">
        <f>IF(I1080="","",IF(AND(I1080="Fail",K1080=""),"Classify Issue Source",IF(AND(I1080="Fail",W1080=""),"Set Confidence",IF(AND(K1080="Unknown",W1080&lt;&gt;"Low"),"Unknown must be Low confidence",IF(AND(OR(K1080="Backend",K1080="SAP"),N1080=""),"Add HTTP status + endpoint",IF(AND(OR(K1080="Backend",K1080="SAP",K1080="Network"),P1080=""),"Add Correlation ID",IF(AND(I1080="Fail",T1080=""),"Write Root Cause / evidence gap",IF(AND(I1080="Fail",V1080=""),"Assign team","OK"))))))))</f>
        <v/>
      </c>
    </row>
    <row r="1081">
      <c r="A1081" s="5" t="n"/>
      <c r="B1081" s="5" t="n"/>
      <c r="C1081" s="5" t="n"/>
      <c r="D1081" s="5" t="n"/>
      <c r="E1081" s="5" t="n"/>
      <c r="F1081" s="5" t="n"/>
      <c r="G1081" s="5" t="n"/>
      <c r="H1081" s="5" t="n"/>
      <c r="I1081" s="5" t="n"/>
      <c r="J1081" s="5" t="n"/>
      <c r="K1081" s="5" t="n"/>
      <c r="L1081" s="5" t="n"/>
      <c r="M1081" s="5" t="n"/>
      <c r="N1081" s="5" t="n"/>
      <c r="O1081" s="5" t="n"/>
      <c r="P1081" s="5" t="n"/>
      <c r="Q1081" s="5" t="n"/>
      <c r="R1081" s="5" t="n"/>
      <c r="S1081" s="5" t="n"/>
      <c r="T1081" s="5" t="n"/>
      <c r="U1081" s="5" t="n"/>
      <c r="V1081" s="5" t="n"/>
      <c r="W1081" s="5" t="n"/>
      <c r="X1081" s="5" t="n"/>
      <c r="Y1081" s="5">
        <f>IF(I1081="","",IF(AND(I1081="Fail",K1081=""),"Classify Issue Source",IF(AND(I1081="Fail",W1081=""),"Set Confidence",IF(AND(K1081="Unknown",W1081&lt;&gt;"Low"),"Unknown must be Low confidence",IF(AND(OR(K1081="Backend",K1081="SAP"),N1081=""),"Add HTTP status + endpoint",IF(AND(OR(K1081="Backend",K1081="SAP",K1081="Network"),P1081=""),"Add Correlation ID",IF(AND(I1081="Fail",T1081=""),"Write Root Cause / evidence gap",IF(AND(I1081="Fail",V1081=""),"Assign team","OK"))))))))</f>
        <v/>
      </c>
    </row>
    <row r="1082">
      <c r="A1082" s="5" t="n"/>
      <c r="B1082" s="5" t="n"/>
      <c r="C1082" s="5" t="n"/>
      <c r="D1082" s="5" t="n"/>
      <c r="E1082" s="5" t="n"/>
      <c r="F1082" s="5" t="n"/>
      <c r="G1082" s="5" t="n"/>
      <c r="H1082" s="5" t="n"/>
      <c r="I1082" s="5" t="n"/>
      <c r="J1082" s="5" t="n"/>
      <c r="K1082" s="5" t="n"/>
      <c r="L1082" s="5" t="n"/>
      <c r="M1082" s="5" t="n"/>
      <c r="N1082" s="5" t="n"/>
      <c r="O1082" s="5" t="n"/>
      <c r="P1082" s="5" t="n"/>
      <c r="Q1082" s="5" t="n"/>
      <c r="R1082" s="5" t="n"/>
      <c r="S1082" s="5" t="n"/>
      <c r="T1082" s="5" t="n"/>
      <c r="U1082" s="5" t="n"/>
      <c r="V1082" s="5" t="n"/>
      <c r="W1082" s="5" t="n"/>
      <c r="X1082" s="5" t="n"/>
      <c r="Y1082" s="5">
        <f>IF(I1082="","",IF(AND(I1082="Fail",K1082=""),"Classify Issue Source",IF(AND(I1082="Fail",W1082=""),"Set Confidence",IF(AND(K1082="Unknown",W1082&lt;&gt;"Low"),"Unknown must be Low confidence",IF(AND(OR(K1082="Backend",K1082="SAP"),N1082=""),"Add HTTP status + endpoint",IF(AND(OR(K1082="Backend",K1082="SAP",K1082="Network"),P1082=""),"Add Correlation ID",IF(AND(I1082="Fail",T1082=""),"Write Root Cause / evidence gap",IF(AND(I1082="Fail",V1082=""),"Assign team","OK"))))))))</f>
        <v/>
      </c>
    </row>
    <row r="1083">
      <c r="A1083" s="5" t="n"/>
      <c r="B1083" s="5" t="n"/>
      <c r="C1083" s="5" t="n"/>
      <c r="D1083" s="5" t="n"/>
      <c r="E1083" s="5" t="n"/>
      <c r="F1083" s="5" t="n"/>
      <c r="G1083" s="5" t="n"/>
      <c r="H1083" s="5" t="n"/>
      <c r="I1083" s="5" t="n"/>
      <c r="J1083" s="5" t="n"/>
      <c r="K1083" s="5" t="n"/>
      <c r="L1083" s="5" t="n"/>
      <c r="M1083" s="5" t="n"/>
      <c r="N1083" s="5" t="n"/>
      <c r="O1083" s="5" t="n"/>
      <c r="P1083" s="5" t="n"/>
      <c r="Q1083" s="5" t="n"/>
      <c r="R1083" s="5" t="n"/>
      <c r="S1083" s="5" t="n"/>
      <c r="T1083" s="5" t="n"/>
      <c r="U1083" s="5" t="n"/>
      <c r="V1083" s="5" t="n"/>
      <c r="W1083" s="5" t="n"/>
      <c r="X1083" s="5" t="n"/>
      <c r="Y1083" s="5">
        <f>IF(I1083="","",IF(AND(I1083="Fail",K1083=""),"Classify Issue Source",IF(AND(I1083="Fail",W1083=""),"Set Confidence",IF(AND(K1083="Unknown",W1083&lt;&gt;"Low"),"Unknown must be Low confidence",IF(AND(OR(K1083="Backend",K1083="SAP"),N1083=""),"Add HTTP status + endpoint",IF(AND(OR(K1083="Backend",K1083="SAP",K1083="Network"),P1083=""),"Add Correlation ID",IF(AND(I1083="Fail",T1083=""),"Write Root Cause / evidence gap",IF(AND(I1083="Fail",V1083=""),"Assign team","OK"))))))))</f>
        <v/>
      </c>
    </row>
    <row r="1084">
      <c r="A1084" s="5" t="n"/>
      <c r="B1084" s="5" t="n"/>
      <c r="C1084" s="5" t="n"/>
      <c r="D1084" s="5" t="n"/>
      <c r="E1084" s="5" t="n"/>
      <c r="F1084" s="5" t="n"/>
      <c r="G1084" s="5" t="n"/>
      <c r="H1084" s="5" t="n"/>
      <c r="I1084" s="5" t="n"/>
      <c r="J1084" s="5" t="n"/>
      <c r="K1084" s="5" t="n"/>
      <c r="L1084" s="5" t="n"/>
      <c r="M1084" s="5" t="n"/>
      <c r="N1084" s="5" t="n"/>
      <c r="O1084" s="5" t="n"/>
      <c r="P1084" s="5" t="n"/>
      <c r="Q1084" s="5" t="n"/>
      <c r="R1084" s="5" t="n"/>
      <c r="S1084" s="5" t="n"/>
      <c r="T1084" s="5" t="n"/>
      <c r="U1084" s="5" t="n"/>
      <c r="V1084" s="5" t="n"/>
      <c r="W1084" s="5" t="n"/>
      <c r="X1084" s="5" t="n"/>
      <c r="Y1084" s="5">
        <f>IF(I1084="","",IF(AND(I1084="Fail",K1084=""),"Classify Issue Source",IF(AND(I1084="Fail",W1084=""),"Set Confidence",IF(AND(K1084="Unknown",W1084&lt;&gt;"Low"),"Unknown must be Low confidence",IF(AND(OR(K1084="Backend",K1084="SAP"),N1084=""),"Add HTTP status + endpoint",IF(AND(OR(K1084="Backend",K1084="SAP",K1084="Network"),P1084=""),"Add Correlation ID",IF(AND(I1084="Fail",T1084=""),"Write Root Cause / evidence gap",IF(AND(I1084="Fail",V1084=""),"Assign team","OK"))))))))</f>
        <v/>
      </c>
    </row>
    <row r="1085">
      <c r="A1085" s="5" t="n"/>
      <c r="B1085" s="5" t="n"/>
      <c r="C1085" s="5" t="n"/>
      <c r="D1085" s="5" t="n"/>
      <c r="E1085" s="5" t="n"/>
      <c r="F1085" s="5" t="n"/>
      <c r="G1085" s="5" t="n"/>
      <c r="H1085" s="5" t="n"/>
      <c r="I1085" s="5" t="n"/>
      <c r="J1085" s="5" t="n"/>
      <c r="K1085" s="5" t="n"/>
      <c r="L1085" s="5" t="n"/>
      <c r="M1085" s="5" t="n"/>
      <c r="N1085" s="5" t="n"/>
      <c r="O1085" s="5" t="n"/>
      <c r="P1085" s="5" t="n"/>
      <c r="Q1085" s="5" t="n"/>
      <c r="R1085" s="5" t="n"/>
      <c r="S1085" s="5" t="n"/>
      <c r="T1085" s="5" t="n"/>
      <c r="U1085" s="5" t="n"/>
      <c r="V1085" s="5" t="n"/>
      <c r="W1085" s="5" t="n"/>
      <c r="X1085" s="5" t="n"/>
      <c r="Y1085" s="5">
        <f>IF(I1085="","",IF(AND(I1085="Fail",K1085=""),"Classify Issue Source",IF(AND(I1085="Fail",W1085=""),"Set Confidence",IF(AND(K1085="Unknown",W1085&lt;&gt;"Low"),"Unknown must be Low confidence",IF(AND(OR(K1085="Backend",K1085="SAP"),N1085=""),"Add HTTP status + endpoint",IF(AND(OR(K1085="Backend",K1085="SAP",K1085="Network"),P1085=""),"Add Correlation ID",IF(AND(I1085="Fail",T1085=""),"Write Root Cause / evidence gap",IF(AND(I1085="Fail",V1085=""),"Assign team","OK"))))))))</f>
        <v/>
      </c>
    </row>
    <row r="1086">
      <c r="A1086" s="5" t="n"/>
      <c r="B1086" s="5" t="n"/>
      <c r="C1086" s="5" t="n"/>
      <c r="D1086" s="5" t="n"/>
      <c r="E1086" s="5" t="n"/>
      <c r="F1086" s="5" t="n"/>
      <c r="G1086" s="5" t="n"/>
      <c r="H1086" s="5" t="n"/>
      <c r="I1086" s="5" t="n"/>
      <c r="J1086" s="5" t="n"/>
      <c r="K1086" s="5" t="n"/>
      <c r="L1086" s="5" t="n"/>
      <c r="M1086" s="5" t="n"/>
      <c r="N1086" s="5" t="n"/>
      <c r="O1086" s="5" t="n"/>
      <c r="P1086" s="5" t="n"/>
      <c r="Q1086" s="5" t="n"/>
      <c r="R1086" s="5" t="n"/>
      <c r="S1086" s="5" t="n"/>
      <c r="T1086" s="5" t="n"/>
      <c r="U1086" s="5" t="n"/>
      <c r="V1086" s="5" t="n"/>
      <c r="W1086" s="5" t="n"/>
      <c r="X1086" s="5" t="n"/>
      <c r="Y1086" s="5">
        <f>IF(I1086="","",IF(AND(I1086="Fail",K1086=""),"Classify Issue Source",IF(AND(I1086="Fail",W1086=""),"Set Confidence",IF(AND(K1086="Unknown",W1086&lt;&gt;"Low"),"Unknown must be Low confidence",IF(AND(OR(K1086="Backend",K1086="SAP"),N1086=""),"Add HTTP status + endpoint",IF(AND(OR(K1086="Backend",K1086="SAP",K1086="Network"),P1086=""),"Add Correlation ID",IF(AND(I1086="Fail",T1086=""),"Write Root Cause / evidence gap",IF(AND(I1086="Fail",V1086=""),"Assign team","OK"))))))))</f>
        <v/>
      </c>
    </row>
    <row r="1087">
      <c r="A1087" s="5" t="n"/>
      <c r="B1087" s="5" t="n"/>
      <c r="C1087" s="5" t="n"/>
      <c r="D1087" s="5" t="n"/>
      <c r="E1087" s="5" t="n"/>
      <c r="F1087" s="5" t="n"/>
      <c r="G1087" s="5" t="n"/>
      <c r="H1087" s="5" t="n"/>
      <c r="I1087" s="5" t="n"/>
      <c r="J1087" s="5" t="n"/>
      <c r="K1087" s="5" t="n"/>
      <c r="L1087" s="5" t="n"/>
      <c r="M1087" s="5" t="n"/>
      <c r="N1087" s="5" t="n"/>
      <c r="O1087" s="5" t="n"/>
      <c r="P1087" s="5" t="n"/>
      <c r="Q1087" s="5" t="n"/>
      <c r="R1087" s="5" t="n"/>
      <c r="S1087" s="5" t="n"/>
      <c r="T1087" s="5" t="n"/>
      <c r="U1087" s="5" t="n"/>
      <c r="V1087" s="5" t="n"/>
      <c r="W1087" s="5" t="n"/>
      <c r="X1087" s="5" t="n"/>
      <c r="Y1087" s="5">
        <f>IF(I1087="","",IF(AND(I1087="Fail",K1087=""),"Classify Issue Source",IF(AND(I1087="Fail",W1087=""),"Set Confidence",IF(AND(K1087="Unknown",W1087&lt;&gt;"Low"),"Unknown must be Low confidence",IF(AND(OR(K1087="Backend",K1087="SAP"),N1087=""),"Add HTTP status + endpoint",IF(AND(OR(K1087="Backend",K1087="SAP",K1087="Network"),P1087=""),"Add Correlation ID",IF(AND(I1087="Fail",T1087=""),"Write Root Cause / evidence gap",IF(AND(I1087="Fail",V1087=""),"Assign team","OK"))))))))</f>
        <v/>
      </c>
    </row>
    <row r="1088">
      <c r="A1088" s="5" t="n"/>
      <c r="B1088" s="5" t="n"/>
      <c r="C1088" s="5" t="n"/>
      <c r="D1088" s="5" t="n"/>
      <c r="E1088" s="5" t="n"/>
      <c r="F1088" s="5" t="n"/>
      <c r="G1088" s="5" t="n"/>
      <c r="H1088" s="5" t="n"/>
      <c r="I1088" s="5" t="n"/>
      <c r="J1088" s="5" t="n"/>
      <c r="K1088" s="5" t="n"/>
      <c r="L1088" s="5" t="n"/>
      <c r="M1088" s="5" t="n"/>
      <c r="N1088" s="5" t="n"/>
      <c r="O1088" s="5" t="n"/>
      <c r="P1088" s="5" t="n"/>
      <c r="Q1088" s="5" t="n"/>
      <c r="R1088" s="5" t="n"/>
      <c r="S1088" s="5" t="n"/>
      <c r="T1088" s="5" t="n"/>
      <c r="U1088" s="5" t="n"/>
      <c r="V1088" s="5" t="n"/>
      <c r="W1088" s="5" t="n"/>
      <c r="X1088" s="5" t="n"/>
      <c r="Y1088" s="5">
        <f>IF(I1088="","",IF(AND(I1088="Fail",K1088=""),"Classify Issue Source",IF(AND(I1088="Fail",W1088=""),"Set Confidence",IF(AND(K1088="Unknown",W1088&lt;&gt;"Low"),"Unknown must be Low confidence",IF(AND(OR(K1088="Backend",K1088="SAP"),N1088=""),"Add HTTP status + endpoint",IF(AND(OR(K1088="Backend",K1088="SAP",K1088="Network"),P1088=""),"Add Correlation ID",IF(AND(I1088="Fail",T1088=""),"Write Root Cause / evidence gap",IF(AND(I1088="Fail",V1088=""),"Assign team","OK"))))))))</f>
        <v/>
      </c>
    </row>
    <row r="1089">
      <c r="A1089" s="5" t="n"/>
      <c r="B1089" s="5" t="n"/>
      <c r="C1089" s="5" t="n"/>
      <c r="D1089" s="5" t="n"/>
      <c r="E1089" s="5" t="n"/>
      <c r="F1089" s="5" t="n"/>
      <c r="G1089" s="5" t="n"/>
      <c r="H1089" s="5" t="n"/>
      <c r="I1089" s="5" t="n"/>
      <c r="J1089" s="5" t="n"/>
      <c r="K1089" s="5" t="n"/>
      <c r="L1089" s="5" t="n"/>
      <c r="M1089" s="5" t="n"/>
      <c r="N1089" s="5" t="n"/>
      <c r="O1089" s="5" t="n"/>
      <c r="P1089" s="5" t="n"/>
      <c r="Q1089" s="5" t="n"/>
      <c r="R1089" s="5" t="n"/>
      <c r="S1089" s="5" t="n"/>
      <c r="T1089" s="5" t="n"/>
      <c r="U1089" s="5" t="n"/>
      <c r="V1089" s="5" t="n"/>
      <c r="W1089" s="5" t="n"/>
      <c r="X1089" s="5" t="n"/>
      <c r="Y1089" s="5">
        <f>IF(I1089="","",IF(AND(I1089="Fail",K1089=""),"Classify Issue Source",IF(AND(I1089="Fail",W1089=""),"Set Confidence",IF(AND(K1089="Unknown",W1089&lt;&gt;"Low"),"Unknown must be Low confidence",IF(AND(OR(K1089="Backend",K1089="SAP"),N1089=""),"Add HTTP status + endpoint",IF(AND(OR(K1089="Backend",K1089="SAP",K1089="Network"),P1089=""),"Add Correlation ID",IF(AND(I1089="Fail",T1089=""),"Write Root Cause / evidence gap",IF(AND(I1089="Fail",V1089=""),"Assign team","OK"))))))))</f>
        <v/>
      </c>
    </row>
    <row r="1090">
      <c r="A1090" s="5" t="n"/>
      <c r="B1090" s="5" t="n"/>
      <c r="C1090" s="5" t="n"/>
      <c r="D1090" s="5" t="n"/>
      <c r="E1090" s="5" t="n"/>
      <c r="F1090" s="5" t="n"/>
      <c r="G1090" s="5" t="n"/>
      <c r="H1090" s="5" t="n"/>
      <c r="I1090" s="5" t="n"/>
      <c r="J1090" s="5" t="n"/>
      <c r="K1090" s="5" t="n"/>
      <c r="L1090" s="5" t="n"/>
      <c r="M1090" s="5" t="n"/>
      <c r="N1090" s="5" t="n"/>
      <c r="O1090" s="5" t="n"/>
      <c r="P1090" s="5" t="n"/>
      <c r="Q1090" s="5" t="n"/>
      <c r="R1090" s="5" t="n"/>
      <c r="S1090" s="5" t="n"/>
      <c r="T1090" s="5" t="n"/>
      <c r="U1090" s="5" t="n"/>
      <c r="V1090" s="5" t="n"/>
      <c r="W1090" s="5" t="n"/>
      <c r="X1090" s="5" t="n"/>
      <c r="Y1090" s="5">
        <f>IF(I1090="","",IF(AND(I1090="Fail",K1090=""),"Classify Issue Source",IF(AND(I1090="Fail",W1090=""),"Set Confidence",IF(AND(K1090="Unknown",W1090&lt;&gt;"Low"),"Unknown must be Low confidence",IF(AND(OR(K1090="Backend",K1090="SAP"),N1090=""),"Add HTTP status + endpoint",IF(AND(OR(K1090="Backend",K1090="SAP",K1090="Network"),P1090=""),"Add Correlation ID",IF(AND(I1090="Fail",T1090=""),"Write Root Cause / evidence gap",IF(AND(I1090="Fail",V1090=""),"Assign team","OK"))))))))</f>
        <v/>
      </c>
    </row>
    <row r="1091">
      <c r="A1091" s="5" t="n"/>
      <c r="B1091" s="5" t="n"/>
      <c r="C1091" s="5" t="n"/>
      <c r="D1091" s="5" t="n"/>
      <c r="E1091" s="5" t="n"/>
      <c r="F1091" s="5" t="n"/>
      <c r="G1091" s="5" t="n"/>
      <c r="H1091" s="5" t="n"/>
      <c r="I1091" s="5" t="n"/>
      <c r="J1091" s="5" t="n"/>
      <c r="K1091" s="5" t="n"/>
      <c r="L1091" s="5" t="n"/>
      <c r="M1091" s="5" t="n"/>
      <c r="N1091" s="5" t="n"/>
      <c r="O1091" s="5" t="n"/>
      <c r="P1091" s="5" t="n"/>
      <c r="Q1091" s="5" t="n"/>
      <c r="R1091" s="5" t="n"/>
      <c r="S1091" s="5" t="n"/>
      <c r="T1091" s="5" t="n"/>
      <c r="U1091" s="5" t="n"/>
      <c r="V1091" s="5" t="n"/>
      <c r="W1091" s="5" t="n"/>
      <c r="X1091" s="5" t="n"/>
      <c r="Y1091" s="5">
        <f>IF(I1091="","",IF(AND(I1091="Fail",K1091=""),"Classify Issue Source",IF(AND(I1091="Fail",W1091=""),"Set Confidence",IF(AND(K1091="Unknown",W1091&lt;&gt;"Low"),"Unknown must be Low confidence",IF(AND(OR(K1091="Backend",K1091="SAP"),N1091=""),"Add HTTP status + endpoint",IF(AND(OR(K1091="Backend",K1091="SAP",K1091="Network"),P1091=""),"Add Correlation ID",IF(AND(I1091="Fail",T1091=""),"Write Root Cause / evidence gap",IF(AND(I1091="Fail",V1091=""),"Assign team","OK"))))))))</f>
        <v/>
      </c>
    </row>
    <row r="1092">
      <c r="A1092" s="5" t="n"/>
      <c r="B1092" s="5" t="n"/>
      <c r="C1092" s="5" t="n"/>
      <c r="D1092" s="5" t="n"/>
      <c r="E1092" s="5" t="n"/>
      <c r="F1092" s="5" t="n"/>
      <c r="G1092" s="5" t="n"/>
      <c r="H1092" s="5" t="n"/>
      <c r="I1092" s="5" t="n"/>
      <c r="J1092" s="5" t="n"/>
      <c r="K1092" s="5" t="n"/>
      <c r="L1092" s="5" t="n"/>
      <c r="M1092" s="5" t="n"/>
      <c r="N1092" s="5" t="n"/>
      <c r="O1092" s="5" t="n"/>
      <c r="P1092" s="5" t="n"/>
      <c r="Q1092" s="5" t="n"/>
      <c r="R1092" s="5" t="n"/>
      <c r="S1092" s="5" t="n"/>
      <c r="T1092" s="5" t="n"/>
      <c r="U1092" s="5" t="n"/>
      <c r="V1092" s="5" t="n"/>
      <c r="W1092" s="5" t="n"/>
      <c r="X1092" s="5" t="n"/>
      <c r="Y1092" s="5">
        <f>IF(I1092="","",IF(AND(I1092="Fail",K1092=""),"Classify Issue Source",IF(AND(I1092="Fail",W1092=""),"Set Confidence",IF(AND(K1092="Unknown",W1092&lt;&gt;"Low"),"Unknown must be Low confidence",IF(AND(OR(K1092="Backend",K1092="SAP"),N1092=""),"Add HTTP status + endpoint",IF(AND(OR(K1092="Backend",K1092="SAP",K1092="Network"),P1092=""),"Add Correlation ID",IF(AND(I1092="Fail",T1092=""),"Write Root Cause / evidence gap",IF(AND(I1092="Fail",V1092=""),"Assign team","OK"))))))))</f>
        <v/>
      </c>
    </row>
    <row r="1093">
      <c r="A1093" s="5" t="n"/>
      <c r="B1093" s="5" t="n"/>
      <c r="C1093" s="5" t="n"/>
      <c r="D1093" s="5" t="n"/>
      <c r="E1093" s="5" t="n"/>
      <c r="F1093" s="5" t="n"/>
      <c r="G1093" s="5" t="n"/>
      <c r="H1093" s="5" t="n"/>
      <c r="I1093" s="5" t="n"/>
      <c r="J1093" s="5" t="n"/>
      <c r="K1093" s="5" t="n"/>
      <c r="L1093" s="5" t="n"/>
      <c r="M1093" s="5" t="n"/>
      <c r="N1093" s="5" t="n"/>
      <c r="O1093" s="5" t="n"/>
      <c r="P1093" s="5" t="n"/>
      <c r="Q1093" s="5" t="n"/>
      <c r="R1093" s="5" t="n"/>
      <c r="S1093" s="5" t="n"/>
      <c r="T1093" s="5" t="n"/>
      <c r="U1093" s="5" t="n"/>
      <c r="V1093" s="5" t="n"/>
      <c r="W1093" s="5" t="n"/>
      <c r="X1093" s="5" t="n"/>
      <c r="Y1093" s="5">
        <f>IF(I1093="","",IF(AND(I1093="Fail",K1093=""),"Classify Issue Source",IF(AND(I1093="Fail",W1093=""),"Set Confidence",IF(AND(K1093="Unknown",W1093&lt;&gt;"Low"),"Unknown must be Low confidence",IF(AND(OR(K1093="Backend",K1093="SAP"),N1093=""),"Add HTTP status + endpoint",IF(AND(OR(K1093="Backend",K1093="SAP",K1093="Network"),P1093=""),"Add Correlation ID",IF(AND(I1093="Fail",T1093=""),"Write Root Cause / evidence gap",IF(AND(I1093="Fail",V1093=""),"Assign team","OK"))))))))</f>
        <v/>
      </c>
    </row>
    <row r="1094">
      <c r="A1094" s="5" t="n"/>
      <c r="B1094" s="5" t="n"/>
      <c r="C1094" s="5" t="n"/>
      <c r="D1094" s="5" t="n"/>
      <c r="E1094" s="5" t="n"/>
      <c r="F1094" s="5" t="n"/>
      <c r="G1094" s="5" t="n"/>
      <c r="H1094" s="5" t="n"/>
      <c r="I1094" s="5" t="n"/>
      <c r="J1094" s="5" t="n"/>
      <c r="K1094" s="5" t="n"/>
      <c r="L1094" s="5" t="n"/>
      <c r="M1094" s="5" t="n"/>
      <c r="N1094" s="5" t="n"/>
      <c r="O1094" s="5" t="n"/>
      <c r="P1094" s="5" t="n"/>
      <c r="Q1094" s="5" t="n"/>
      <c r="R1094" s="5" t="n"/>
      <c r="S1094" s="5" t="n"/>
      <c r="T1094" s="5" t="n"/>
      <c r="U1094" s="5" t="n"/>
      <c r="V1094" s="5" t="n"/>
      <c r="W1094" s="5" t="n"/>
      <c r="X1094" s="5" t="n"/>
      <c r="Y1094" s="5">
        <f>IF(I1094="","",IF(AND(I1094="Fail",K1094=""),"Classify Issue Source",IF(AND(I1094="Fail",W1094=""),"Set Confidence",IF(AND(K1094="Unknown",W1094&lt;&gt;"Low"),"Unknown must be Low confidence",IF(AND(OR(K1094="Backend",K1094="SAP"),N1094=""),"Add HTTP status + endpoint",IF(AND(OR(K1094="Backend",K1094="SAP",K1094="Network"),P1094=""),"Add Correlation ID",IF(AND(I1094="Fail",T1094=""),"Write Root Cause / evidence gap",IF(AND(I1094="Fail",V1094=""),"Assign team","OK"))))))))</f>
        <v/>
      </c>
    </row>
    <row r="1095">
      <c r="A1095" s="5" t="n"/>
      <c r="B1095" s="5" t="n"/>
      <c r="C1095" s="5" t="n"/>
      <c r="D1095" s="5" t="n"/>
      <c r="E1095" s="5" t="n"/>
      <c r="F1095" s="5" t="n"/>
      <c r="G1095" s="5" t="n"/>
      <c r="H1095" s="5" t="n"/>
      <c r="I1095" s="5" t="n"/>
      <c r="J1095" s="5" t="n"/>
      <c r="K1095" s="5" t="n"/>
      <c r="L1095" s="5" t="n"/>
      <c r="M1095" s="5" t="n"/>
      <c r="N1095" s="5" t="n"/>
      <c r="O1095" s="5" t="n"/>
      <c r="P1095" s="5" t="n"/>
      <c r="Q1095" s="5" t="n"/>
      <c r="R1095" s="5" t="n"/>
      <c r="S1095" s="5" t="n"/>
      <c r="T1095" s="5" t="n"/>
      <c r="U1095" s="5" t="n"/>
      <c r="V1095" s="5" t="n"/>
      <c r="W1095" s="5" t="n"/>
      <c r="X1095" s="5" t="n"/>
      <c r="Y1095" s="5">
        <f>IF(I1095="","",IF(AND(I1095="Fail",K1095=""),"Classify Issue Source",IF(AND(I1095="Fail",W1095=""),"Set Confidence",IF(AND(K1095="Unknown",W1095&lt;&gt;"Low"),"Unknown must be Low confidence",IF(AND(OR(K1095="Backend",K1095="SAP"),N1095=""),"Add HTTP status + endpoint",IF(AND(OR(K1095="Backend",K1095="SAP",K1095="Network"),P1095=""),"Add Correlation ID",IF(AND(I1095="Fail",T1095=""),"Write Root Cause / evidence gap",IF(AND(I1095="Fail",V1095=""),"Assign team","OK"))))))))</f>
        <v/>
      </c>
    </row>
    <row r="1096">
      <c r="A1096" s="5" t="n"/>
      <c r="B1096" s="5" t="n"/>
      <c r="C1096" s="5" t="n"/>
      <c r="D1096" s="5" t="n"/>
      <c r="E1096" s="5" t="n"/>
      <c r="F1096" s="5" t="n"/>
      <c r="G1096" s="5" t="n"/>
      <c r="H1096" s="5" t="n"/>
      <c r="I1096" s="5" t="n"/>
      <c r="J1096" s="5" t="n"/>
      <c r="K1096" s="5" t="n"/>
      <c r="L1096" s="5" t="n"/>
      <c r="M1096" s="5" t="n"/>
      <c r="N1096" s="5" t="n"/>
      <c r="O1096" s="5" t="n"/>
      <c r="P1096" s="5" t="n"/>
      <c r="Q1096" s="5" t="n"/>
      <c r="R1096" s="5" t="n"/>
      <c r="S1096" s="5" t="n"/>
      <c r="T1096" s="5" t="n"/>
      <c r="U1096" s="5" t="n"/>
      <c r="V1096" s="5" t="n"/>
      <c r="W1096" s="5" t="n"/>
      <c r="X1096" s="5" t="n"/>
      <c r="Y1096" s="5">
        <f>IF(I1096="","",IF(AND(I1096="Fail",K1096=""),"Classify Issue Source",IF(AND(I1096="Fail",W1096=""),"Set Confidence",IF(AND(K1096="Unknown",W1096&lt;&gt;"Low"),"Unknown must be Low confidence",IF(AND(OR(K1096="Backend",K1096="SAP"),N1096=""),"Add HTTP status + endpoint",IF(AND(OR(K1096="Backend",K1096="SAP",K1096="Network"),P1096=""),"Add Correlation ID",IF(AND(I1096="Fail",T1096=""),"Write Root Cause / evidence gap",IF(AND(I1096="Fail",V1096=""),"Assign team","OK"))))))))</f>
        <v/>
      </c>
    </row>
    <row r="1097">
      <c r="A1097" s="5" t="n"/>
      <c r="B1097" s="5" t="n"/>
      <c r="C1097" s="5" t="n"/>
      <c r="D1097" s="5" t="n"/>
      <c r="E1097" s="5" t="n"/>
      <c r="F1097" s="5" t="n"/>
      <c r="G1097" s="5" t="n"/>
      <c r="H1097" s="5" t="n"/>
      <c r="I1097" s="5" t="n"/>
      <c r="J1097" s="5" t="n"/>
      <c r="K1097" s="5" t="n"/>
      <c r="L1097" s="5" t="n"/>
      <c r="M1097" s="5" t="n"/>
      <c r="N1097" s="5" t="n"/>
      <c r="O1097" s="5" t="n"/>
      <c r="P1097" s="5" t="n"/>
      <c r="Q1097" s="5" t="n"/>
      <c r="R1097" s="5" t="n"/>
      <c r="S1097" s="5" t="n"/>
      <c r="T1097" s="5" t="n"/>
      <c r="U1097" s="5" t="n"/>
      <c r="V1097" s="5" t="n"/>
      <c r="W1097" s="5" t="n"/>
      <c r="X1097" s="5" t="n"/>
      <c r="Y1097" s="5">
        <f>IF(I1097="","",IF(AND(I1097="Fail",K1097=""),"Classify Issue Source",IF(AND(I1097="Fail",W1097=""),"Set Confidence",IF(AND(K1097="Unknown",W1097&lt;&gt;"Low"),"Unknown must be Low confidence",IF(AND(OR(K1097="Backend",K1097="SAP"),N1097=""),"Add HTTP status + endpoint",IF(AND(OR(K1097="Backend",K1097="SAP",K1097="Network"),P1097=""),"Add Correlation ID",IF(AND(I1097="Fail",T1097=""),"Write Root Cause / evidence gap",IF(AND(I1097="Fail",V1097=""),"Assign team","OK"))))))))</f>
        <v/>
      </c>
    </row>
    <row r="1098">
      <c r="A1098" s="5" t="n"/>
      <c r="B1098" s="5" t="n"/>
      <c r="C1098" s="5" t="n"/>
      <c r="D1098" s="5" t="n"/>
      <c r="E1098" s="5" t="n"/>
      <c r="F1098" s="5" t="n"/>
      <c r="G1098" s="5" t="n"/>
      <c r="H1098" s="5" t="n"/>
      <c r="I1098" s="5" t="n"/>
      <c r="J1098" s="5" t="n"/>
      <c r="K1098" s="5" t="n"/>
      <c r="L1098" s="5" t="n"/>
      <c r="M1098" s="5" t="n"/>
      <c r="N1098" s="5" t="n"/>
      <c r="O1098" s="5" t="n"/>
      <c r="P1098" s="5" t="n"/>
      <c r="Q1098" s="5" t="n"/>
      <c r="R1098" s="5" t="n"/>
      <c r="S1098" s="5" t="n"/>
      <c r="T1098" s="5" t="n"/>
      <c r="U1098" s="5" t="n"/>
      <c r="V1098" s="5" t="n"/>
      <c r="W1098" s="5" t="n"/>
      <c r="X1098" s="5" t="n"/>
      <c r="Y1098" s="5">
        <f>IF(I1098="","",IF(AND(I1098="Fail",K1098=""),"Classify Issue Source",IF(AND(I1098="Fail",W1098=""),"Set Confidence",IF(AND(K1098="Unknown",W1098&lt;&gt;"Low"),"Unknown must be Low confidence",IF(AND(OR(K1098="Backend",K1098="SAP"),N1098=""),"Add HTTP status + endpoint",IF(AND(OR(K1098="Backend",K1098="SAP",K1098="Network"),P1098=""),"Add Correlation ID",IF(AND(I1098="Fail",T1098=""),"Write Root Cause / evidence gap",IF(AND(I1098="Fail",V1098=""),"Assign team","OK"))))))))</f>
        <v/>
      </c>
    </row>
    <row r="1099">
      <c r="A1099" s="5" t="n"/>
      <c r="B1099" s="5" t="n"/>
      <c r="C1099" s="5" t="n"/>
      <c r="D1099" s="5" t="n"/>
      <c r="E1099" s="5" t="n"/>
      <c r="F1099" s="5" t="n"/>
      <c r="G1099" s="5" t="n"/>
      <c r="H1099" s="5" t="n"/>
      <c r="I1099" s="5" t="n"/>
      <c r="J1099" s="5" t="n"/>
      <c r="K1099" s="5" t="n"/>
      <c r="L1099" s="5" t="n"/>
      <c r="M1099" s="5" t="n"/>
      <c r="N1099" s="5" t="n"/>
      <c r="O1099" s="5" t="n"/>
      <c r="P1099" s="5" t="n"/>
      <c r="Q1099" s="5" t="n"/>
      <c r="R1099" s="5" t="n"/>
      <c r="S1099" s="5" t="n"/>
      <c r="T1099" s="5" t="n"/>
      <c r="U1099" s="5" t="n"/>
      <c r="V1099" s="5" t="n"/>
      <c r="W1099" s="5" t="n"/>
      <c r="X1099" s="5" t="n"/>
      <c r="Y1099" s="5">
        <f>IF(I1099="","",IF(AND(I1099="Fail",K1099=""),"Classify Issue Source",IF(AND(I1099="Fail",W1099=""),"Set Confidence",IF(AND(K1099="Unknown",W1099&lt;&gt;"Low"),"Unknown must be Low confidence",IF(AND(OR(K1099="Backend",K1099="SAP"),N1099=""),"Add HTTP status + endpoint",IF(AND(OR(K1099="Backend",K1099="SAP",K1099="Network"),P1099=""),"Add Correlation ID",IF(AND(I1099="Fail",T1099=""),"Write Root Cause / evidence gap",IF(AND(I1099="Fail",V1099=""),"Assign team","OK"))))))))</f>
        <v/>
      </c>
    </row>
    <row r="1100">
      <c r="A1100" s="5" t="n"/>
      <c r="B1100" s="5" t="n"/>
      <c r="C1100" s="5" t="n"/>
      <c r="D1100" s="5" t="n"/>
      <c r="E1100" s="5" t="n"/>
      <c r="F1100" s="5" t="n"/>
      <c r="G1100" s="5" t="n"/>
      <c r="H1100" s="5" t="n"/>
      <c r="I1100" s="5" t="n"/>
      <c r="J1100" s="5" t="n"/>
      <c r="K1100" s="5" t="n"/>
      <c r="L1100" s="5" t="n"/>
      <c r="M1100" s="5" t="n"/>
      <c r="N1100" s="5" t="n"/>
      <c r="O1100" s="5" t="n"/>
      <c r="P1100" s="5" t="n"/>
      <c r="Q1100" s="5" t="n"/>
      <c r="R1100" s="5" t="n"/>
      <c r="S1100" s="5" t="n"/>
      <c r="T1100" s="5" t="n"/>
      <c r="U1100" s="5" t="n"/>
      <c r="V1100" s="5" t="n"/>
      <c r="W1100" s="5" t="n"/>
      <c r="X1100" s="5" t="n"/>
      <c r="Y1100" s="5">
        <f>IF(I1100="","",IF(AND(I1100="Fail",K1100=""),"Classify Issue Source",IF(AND(I1100="Fail",W1100=""),"Set Confidence",IF(AND(K1100="Unknown",W1100&lt;&gt;"Low"),"Unknown must be Low confidence",IF(AND(OR(K1100="Backend",K1100="SAP"),N1100=""),"Add HTTP status + endpoint",IF(AND(OR(K1100="Backend",K1100="SAP",K1100="Network"),P1100=""),"Add Correlation ID",IF(AND(I1100="Fail",T1100=""),"Write Root Cause / evidence gap",IF(AND(I1100="Fail",V1100=""),"Assign team","OK"))))))))</f>
        <v/>
      </c>
    </row>
    <row r="1101">
      <c r="A1101" s="5" t="n"/>
      <c r="B1101" s="5" t="n"/>
      <c r="C1101" s="5" t="n"/>
      <c r="D1101" s="5" t="n"/>
      <c r="E1101" s="5" t="n"/>
      <c r="F1101" s="5" t="n"/>
      <c r="G1101" s="5" t="n"/>
      <c r="H1101" s="5" t="n"/>
      <c r="I1101" s="5" t="n"/>
      <c r="J1101" s="5" t="n"/>
      <c r="K1101" s="5" t="n"/>
      <c r="L1101" s="5" t="n"/>
      <c r="M1101" s="5" t="n"/>
      <c r="N1101" s="5" t="n"/>
      <c r="O1101" s="5" t="n"/>
      <c r="P1101" s="5" t="n"/>
      <c r="Q1101" s="5" t="n"/>
      <c r="R1101" s="5" t="n"/>
      <c r="S1101" s="5" t="n"/>
      <c r="T1101" s="5" t="n"/>
      <c r="U1101" s="5" t="n"/>
      <c r="V1101" s="5" t="n"/>
      <c r="W1101" s="5" t="n"/>
      <c r="X1101" s="5" t="n"/>
      <c r="Y1101" s="5">
        <f>IF(I1101="","",IF(AND(I1101="Fail",K1101=""),"Classify Issue Source",IF(AND(I1101="Fail",W1101=""),"Set Confidence",IF(AND(K1101="Unknown",W1101&lt;&gt;"Low"),"Unknown must be Low confidence",IF(AND(OR(K1101="Backend",K1101="SAP"),N1101=""),"Add HTTP status + endpoint",IF(AND(OR(K1101="Backend",K1101="SAP",K1101="Network"),P1101=""),"Add Correlation ID",IF(AND(I1101="Fail",T1101=""),"Write Root Cause / evidence gap",IF(AND(I1101="Fail",V1101=""),"Assign team","OK"))))))))</f>
        <v/>
      </c>
    </row>
    <row r="1102">
      <c r="A1102" s="5" t="n"/>
      <c r="B1102" s="5" t="n"/>
      <c r="C1102" s="5" t="n"/>
      <c r="D1102" s="5" t="n"/>
      <c r="E1102" s="5" t="n"/>
      <c r="F1102" s="5" t="n"/>
      <c r="G1102" s="5" t="n"/>
      <c r="H1102" s="5" t="n"/>
      <c r="I1102" s="5" t="n"/>
      <c r="J1102" s="5" t="n"/>
      <c r="K1102" s="5" t="n"/>
      <c r="L1102" s="5" t="n"/>
      <c r="M1102" s="5" t="n"/>
      <c r="N1102" s="5" t="n"/>
      <c r="O1102" s="5" t="n"/>
      <c r="P1102" s="5" t="n"/>
      <c r="Q1102" s="5" t="n"/>
      <c r="R1102" s="5" t="n"/>
      <c r="S1102" s="5" t="n"/>
      <c r="T1102" s="5" t="n"/>
      <c r="U1102" s="5" t="n"/>
      <c r="V1102" s="5" t="n"/>
      <c r="W1102" s="5" t="n"/>
      <c r="X1102" s="5" t="n"/>
      <c r="Y1102" s="5">
        <f>IF(I1102="","",IF(AND(I1102="Fail",K1102=""),"Classify Issue Source",IF(AND(I1102="Fail",W1102=""),"Set Confidence",IF(AND(K1102="Unknown",W1102&lt;&gt;"Low"),"Unknown must be Low confidence",IF(AND(OR(K1102="Backend",K1102="SAP"),N1102=""),"Add HTTP status + endpoint",IF(AND(OR(K1102="Backend",K1102="SAP",K1102="Network"),P1102=""),"Add Correlation ID",IF(AND(I1102="Fail",T1102=""),"Write Root Cause / evidence gap",IF(AND(I1102="Fail",V1102=""),"Assign team","OK"))))))))</f>
        <v/>
      </c>
    </row>
    <row r="1103">
      <c r="A1103" s="5" t="n"/>
      <c r="B1103" s="5" t="n"/>
      <c r="C1103" s="5" t="n"/>
      <c r="D1103" s="5" t="n"/>
      <c r="E1103" s="5" t="n"/>
      <c r="F1103" s="5" t="n"/>
      <c r="G1103" s="5" t="n"/>
      <c r="H1103" s="5" t="n"/>
      <c r="I1103" s="5" t="n"/>
      <c r="J1103" s="5" t="n"/>
      <c r="K1103" s="5" t="n"/>
      <c r="L1103" s="5" t="n"/>
      <c r="M1103" s="5" t="n"/>
      <c r="N1103" s="5" t="n"/>
      <c r="O1103" s="5" t="n"/>
      <c r="P1103" s="5" t="n"/>
      <c r="Q1103" s="5" t="n"/>
      <c r="R1103" s="5" t="n"/>
      <c r="S1103" s="5" t="n"/>
      <c r="T1103" s="5" t="n"/>
      <c r="U1103" s="5" t="n"/>
      <c r="V1103" s="5" t="n"/>
      <c r="W1103" s="5" t="n"/>
      <c r="X1103" s="5" t="n"/>
      <c r="Y1103" s="5">
        <f>IF(I1103="","",IF(AND(I1103="Fail",K1103=""),"Classify Issue Source",IF(AND(I1103="Fail",W1103=""),"Set Confidence",IF(AND(K1103="Unknown",W1103&lt;&gt;"Low"),"Unknown must be Low confidence",IF(AND(OR(K1103="Backend",K1103="SAP"),N1103=""),"Add HTTP status + endpoint",IF(AND(OR(K1103="Backend",K1103="SAP",K1103="Network"),P1103=""),"Add Correlation ID",IF(AND(I1103="Fail",T1103=""),"Write Root Cause / evidence gap",IF(AND(I1103="Fail",V1103=""),"Assign team","OK"))))))))</f>
        <v/>
      </c>
    </row>
    <row r="1104">
      <c r="A1104" s="5" t="n"/>
      <c r="B1104" s="5" t="n"/>
      <c r="C1104" s="5" t="n"/>
      <c r="D1104" s="5" t="n"/>
      <c r="E1104" s="5" t="n"/>
      <c r="F1104" s="5" t="n"/>
      <c r="G1104" s="5" t="n"/>
      <c r="H1104" s="5" t="n"/>
      <c r="I1104" s="5" t="n"/>
      <c r="J1104" s="5" t="n"/>
      <c r="K1104" s="5" t="n"/>
      <c r="L1104" s="5" t="n"/>
      <c r="M1104" s="5" t="n"/>
      <c r="N1104" s="5" t="n"/>
      <c r="O1104" s="5" t="n"/>
      <c r="P1104" s="5" t="n"/>
      <c r="Q1104" s="5" t="n"/>
      <c r="R1104" s="5" t="n"/>
      <c r="S1104" s="5" t="n"/>
      <c r="T1104" s="5" t="n"/>
      <c r="U1104" s="5" t="n"/>
      <c r="V1104" s="5" t="n"/>
      <c r="W1104" s="5" t="n"/>
      <c r="X1104" s="5" t="n"/>
      <c r="Y1104" s="5">
        <f>IF(I1104="","",IF(AND(I1104="Fail",K1104=""),"Classify Issue Source",IF(AND(I1104="Fail",W1104=""),"Set Confidence",IF(AND(K1104="Unknown",W1104&lt;&gt;"Low"),"Unknown must be Low confidence",IF(AND(OR(K1104="Backend",K1104="SAP"),N1104=""),"Add HTTP status + endpoint",IF(AND(OR(K1104="Backend",K1104="SAP",K1104="Network"),P1104=""),"Add Correlation ID",IF(AND(I1104="Fail",T1104=""),"Write Root Cause / evidence gap",IF(AND(I1104="Fail",V1104=""),"Assign team","OK"))))))))</f>
        <v/>
      </c>
    </row>
    <row r="1105">
      <c r="A1105" s="5" t="n"/>
      <c r="B1105" s="5" t="n"/>
      <c r="C1105" s="5" t="n"/>
      <c r="D1105" s="5" t="n"/>
      <c r="E1105" s="5" t="n"/>
      <c r="F1105" s="5" t="n"/>
      <c r="G1105" s="5" t="n"/>
      <c r="H1105" s="5" t="n"/>
      <c r="I1105" s="5" t="n"/>
      <c r="J1105" s="5" t="n"/>
      <c r="K1105" s="5" t="n"/>
      <c r="L1105" s="5" t="n"/>
      <c r="M1105" s="5" t="n"/>
      <c r="N1105" s="5" t="n"/>
      <c r="O1105" s="5" t="n"/>
      <c r="P1105" s="5" t="n"/>
      <c r="Q1105" s="5" t="n"/>
      <c r="R1105" s="5" t="n"/>
      <c r="S1105" s="5" t="n"/>
      <c r="T1105" s="5" t="n"/>
      <c r="U1105" s="5" t="n"/>
      <c r="V1105" s="5" t="n"/>
      <c r="W1105" s="5" t="n"/>
      <c r="X1105" s="5" t="n"/>
      <c r="Y1105" s="5">
        <f>IF(I1105="","",IF(AND(I1105="Fail",K1105=""),"Classify Issue Source",IF(AND(I1105="Fail",W1105=""),"Set Confidence",IF(AND(K1105="Unknown",W1105&lt;&gt;"Low"),"Unknown must be Low confidence",IF(AND(OR(K1105="Backend",K1105="SAP"),N1105=""),"Add HTTP status + endpoint",IF(AND(OR(K1105="Backend",K1105="SAP",K1105="Network"),P1105=""),"Add Correlation ID",IF(AND(I1105="Fail",T1105=""),"Write Root Cause / evidence gap",IF(AND(I1105="Fail",V1105=""),"Assign team","OK"))))))))</f>
        <v/>
      </c>
    </row>
    <row r="1106">
      <c r="A1106" s="5" t="n"/>
      <c r="B1106" s="5" t="n"/>
      <c r="C1106" s="5" t="n"/>
      <c r="D1106" s="5" t="n"/>
      <c r="E1106" s="5" t="n"/>
      <c r="F1106" s="5" t="n"/>
      <c r="G1106" s="5" t="n"/>
      <c r="H1106" s="5" t="n"/>
      <c r="I1106" s="5" t="n"/>
      <c r="J1106" s="5" t="n"/>
      <c r="K1106" s="5" t="n"/>
      <c r="L1106" s="5" t="n"/>
      <c r="M1106" s="5" t="n"/>
      <c r="N1106" s="5" t="n"/>
      <c r="O1106" s="5" t="n"/>
      <c r="P1106" s="5" t="n"/>
      <c r="Q1106" s="5" t="n"/>
      <c r="R1106" s="5" t="n"/>
      <c r="S1106" s="5" t="n"/>
      <c r="T1106" s="5" t="n"/>
      <c r="U1106" s="5" t="n"/>
      <c r="V1106" s="5" t="n"/>
      <c r="W1106" s="5" t="n"/>
      <c r="X1106" s="5" t="n"/>
      <c r="Y1106" s="5">
        <f>IF(I1106="","",IF(AND(I1106="Fail",K1106=""),"Classify Issue Source",IF(AND(I1106="Fail",W1106=""),"Set Confidence",IF(AND(K1106="Unknown",W1106&lt;&gt;"Low"),"Unknown must be Low confidence",IF(AND(OR(K1106="Backend",K1106="SAP"),N1106=""),"Add HTTP status + endpoint",IF(AND(OR(K1106="Backend",K1106="SAP",K1106="Network"),P1106=""),"Add Correlation ID",IF(AND(I1106="Fail",T1106=""),"Write Root Cause / evidence gap",IF(AND(I1106="Fail",V1106=""),"Assign team","OK"))))))))</f>
        <v/>
      </c>
    </row>
    <row r="1107">
      <c r="A1107" s="5" t="n"/>
      <c r="B1107" s="5" t="n"/>
      <c r="C1107" s="5" t="n"/>
      <c r="D1107" s="5" t="n"/>
      <c r="E1107" s="5" t="n"/>
      <c r="F1107" s="5" t="n"/>
      <c r="G1107" s="5" t="n"/>
      <c r="H1107" s="5" t="n"/>
      <c r="I1107" s="5" t="n"/>
      <c r="J1107" s="5" t="n"/>
      <c r="K1107" s="5" t="n"/>
      <c r="L1107" s="5" t="n"/>
      <c r="M1107" s="5" t="n"/>
      <c r="N1107" s="5" t="n"/>
      <c r="O1107" s="5" t="n"/>
      <c r="P1107" s="5" t="n"/>
      <c r="Q1107" s="5" t="n"/>
      <c r="R1107" s="5" t="n"/>
      <c r="S1107" s="5" t="n"/>
      <c r="T1107" s="5" t="n"/>
      <c r="U1107" s="5" t="n"/>
      <c r="V1107" s="5" t="n"/>
      <c r="W1107" s="5" t="n"/>
      <c r="X1107" s="5" t="n"/>
      <c r="Y1107" s="5">
        <f>IF(I1107="","",IF(AND(I1107="Fail",K1107=""),"Classify Issue Source",IF(AND(I1107="Fail",W1107=""),"Set Confidence",IF(AND(K1107="Unknown",W1107&lt;&gt;"Low"),"Unknown must be Low confidence",IF(AND(OR(K1107="Backend",K1107="SAP"),N1107=""),"Add HTTP status + endpoint",IF(AND(OR(K1107="Backend",K1107="SAP",K1107="Network"),P1107=""),"Add Correlation ID",IF(AND(I1107="Fail",T1107=""),"Write Root Cause / evidence gap",IF(AND(I1107="Fail",V1107=""),"Assign team","OK"))))))))</f>
        <v/>
      </c>
    </row>
    <row r="1108">
      <c r="A1108" s="5" t="n"/>
      <c r="B1108" s="5" t="n"/>
      <c r="C1108" s="5" t="n"/>
      <c r="D1108" s="5" t="n"/>
      <c r="E1108" s="5" t="n"/>
      <c r="F1108" s="5" t="n"/>
      <c r="G1108" s="5" t="n"/>
      <c r="H1108" s="5" t="n"/>
      <c r="I1108" s="5" t="n"/>
      <c r="J1108" s="5" t="n"/>
      <c r="K1108" s="5" t="n"/>
      <c r="L1108" s="5" t="n"/>
      <c r="M1108" s="5" t="n"/>
      <c r="N1108" s="5" t="n"/>
      <c r="O1108" s="5" t="n"/>
      <c r="P1108" s="5" t="n"/>
      <c r="Q1108" s="5" t="n"/>
      <c r="R1108" s="5" t="n"/>
      <c r="S1108" s="5" t="n"/>
      <c r="T1108" s="5" t="n"/>
      <c r="U1108" s="5" t="n"/>
      <c r="V1108" s="5" t="n"/>
      <c r="W1108" s="5" t="n"/>
      <c r="X1108" s="5" t="n"/>
      <c r="Y1108" s="5">
        <f>IF(I1108="","",IF(AND(I1108="Fail",K1108=""),"Classify Issue Source",IF(AND(I1108="Fail",W1108=""),"Set Confidence",IF(AND(K1108="Unknown",W1108&lt;&gt;"Low"),"Unknown must be Low confidence",IF(AND(OR(K1108="Backend",K1108="SAP"),N1108=""),"Add HTTP status + endpoint",IF(AND(OR(K1108="Backend",K1108="SAP",K1108="Network"),P1108=""),"Add Correlation ID",IF(AND(I1108="Fail",T1108=""),"Write Root Cause / evidence gap",IF(AND(I1108="Fail",V1108=""),"Assign team","OK"))))))))</f>
        <v/>
      </c>
    </row>
    <row r="1109">
      <c r="A1109" s="5" t="n"/>
      <c r="B1109" s="5" t="n"/>
      <c r="C1109" s="5" t="n"/>
      <c r="D1109" s="5" t="n"/>
      <c r="E1109" s="5" t="n"/>
      <c r="F1109" s="5" t="n"/>
      <c r="G1109" s="5" t="n"/>
      <c r="H1109" s="5" t="n"/>
      <c r="I1109" s="5" t="n"/>
      <c r="J1109" s="5" t="n"/>
      <c r="K1109" s="5" t="n"/>
      <c r="L1109" s="5" t="n"/>
      <c r="M1109" s="5" t="n"/>
      <c r="N1109" s="5" t="n"/>
      <c r="O1109" s="5" t="n"/>
      <c r="P1109" s="5" t="n"/>
      <c r="Q1109" s="5" t="n"/>
      <c r="R1109" s="5" t="n"/>
      <c r="S1109" s="5" t="n"/>
      <c r="T1109" s="5" t="n"/>
      <c r="U1109" s="5" t="n"/>
      <c r="V1109" s="5" t="n"/>
      <c r="W1109" s="5" t="n"/>
      <c r="X1109" s="5" t="n"/>
      <c r="Y1109" s="5">
        <f>IF(I1109="","",IF(AND(I1109="Fail",K1109=""),"Classify Issue Source",IF(AND(I1109="Fail",W1109=""),"Set Confidence",IF(AND(K1109="Unknown",W1109&lt;&gt;"Low"),"Unknown must be Low confidence",IF(AND(OR(K1109="Backend",K1109="SAP"),N1109=""),"Add HTTP status + endpoint",IF(AND(OR(K1109="Backend",K1109="SAP",K1109="Network"),P1109=""),"Add Correlation ID",IF(AND(I1109="Fail",T1109=""),"Write Root Cause / evidence gap",IF(AND(I1109="Fail",V1109=""),"Assign team","OK"))))))))</f>
        <v/>
      </c>
    </row>
    <row r="1110">
      <c r="A1110" s="5" t="n"/>
      <c r="B1110" s="5" t="n"/>
      <c r="C1110" s="5" t="n"/>
      <c r="D1110" s="5" t="n"/>
      <c r="E1110" s="5" t="n"/>
      <c r="F1110" s="5" t="n"/>
      <c r="G1110" s="5" t="n"/>
      <c r="H1110" s="5" t="n"/>
      <c r="I1110" s="5" t="n"/>
      <c r="J1110" s="5" t="n"/>
      <c r="K1110" s="5" t="n"/>
      <c r="L1110" s="5" t="n"/>
      <c r="M1110" s="5" t="n"/>
      <c r="N1110" s="5" t="n"/>
      <c r="O1110" s="5" t="n"/>
      <c r="P1110" s="5" t="n"/>
      <c r="Q1110" s="5" t="n"/>
      <c r="R1110" s="5" t="n"/>
      <c r="S1110" s="5" t="n"/>
      <c r="T1110" s="5" t="n"/>
      <c r="U1110" s="5" t="n"/>
      <c r="V1110" s="5" t="n"/>
      <c r="W1110" s="5" t="n"/>
      <c r="X1110" s="5" t="n"/>
      <c r="Y1110" s="5">
        <f>IF(I1110="","",IF(AND(I1110="Fail",K1110=""),"Classify Issue Source",IF(AND(I1110="Fail",W1110=""),"Set Confidence",IF(AND(K1110="Unknown",W1110&lt;&gt;"Low"),"Unknown must be Low confidence",IF(AND(OR(K1110="Backend",K1110="SAP"),N1110=""),"Add HTTP status + endpoint",IF(AND(OR(K1110="Backend",K1110="SAP",K1110="Network"),P1110=""),"Add Correlation ID",IF(AND(I1110="Fail",T1110=""),"Write Root Cause / evidence gap",IF(AND(I1110="Fail",V1110=""),"Assign team","OK"))))))))</f>
        <v/>
      </c>
    </row>
    <row r="1111">
      <c r="A1111" s="5" t="n"/>
      <c r="B1111" s="5" t="n"/>
      <c r="C1111" s="5" t="n"/>
      <c r="D1111" s="5" t="n"/>
      <c r="E1111" s="5" t="n"/>
      <c r="F1111" s="5" t="n"/>
      <c r="G1111" s="5" t="n"/>
      <c r="H1111" s="5" t="n"/>
      <c r="I1111" s="5" t="n"/>
      <c r="J1111" s="5" t="n"/>
      <c r="K1111" s="5" t="n"/>
      <c r="L1111" s="5" t="n"/>
      <c r="M1111" s="5" t="n"/>
      <c r="N1111" s="5" t="n"/>
      <c r="O1111" s="5" t="n"/>
      <c r="P1111" s="5" t="n"/>
      <c r="Q1111" s="5" t="n"/>
      <c r="R1111" s="5" t="n"/>
      <c r="S1111" s="5" t="n"/>
      <c r="T1111" s="5" t="n"/>
      <c r="U1111" s="5" t="n"/>
      <c r="V1111" s="5" t="n"/>
      <c r="W1111" s="5" t="n"/>
      <c r="X1111" s="5" t="n"/>
      <c r="Y1111" s="5">
        <f>IF(I1111="","",IF(AND(I1111="Fail",K1111=""),"Classify Issue Source",IF(AND(I1111="Fail",W1111=""),"Set Confidence",IF(AND(K1111="Unknown",W1111&lt;&gt;"Low"),"Unknown must be Low confidence",IF(AND(OR(K1111="Backend",K1111="SAP"),N1111=""),"Add HTTP status + endpoint",IF(AND(OR(K1111="Backend",K1111="SAP",K1111="Network"),P1111=""),"Add Correlation ID",IF(AND(I1111="Fail",T1111=""),"Write Root Cause / evidence gap",IF(AND(I1111="Fail",V1111=""),"Assign team","OK"))))))))</f>
        <v/>
      </c>
    </row>
    <row r="1112">
      <c r="A1112" s="5" t="n"/>
      <c r="B1112" s="5" t="n"/>
      <c r="C1112" s="5" t="n"/>
      <c r="D1112" s="5" t="n"/>
      <c r="E1112" s="5" t="n"/>
      <c r="F1112" s="5" t="n"/>
      <c r="G1112" s="5" t="n"/>
      <c r="H1112" s="5" t="n"/>
      <c r="I1112" s="5" t="n"/>
      <c r="J1112" s="5" t="n"/>
      <c r="K1112" s="5" t="n"/>
      <c r="L1112" s="5" t="n"/>
      <c r="M1112" s="5" t="n"/>
      <c r="N1112" s="5" t="n"/>
      <c r="O1112" s="5" t="n"/>
      <c r="P1112" s="5" t="n"/>
      <c r="Q1112" s="5" t="n"/>
      <c r="R1112" s="5" t="n"/>
      <c r="S1112" s="5" t="n"/>
      <c r="T1112" s="5" t="n"/>
      <c r="U1112" s="5" t="n"/>
      <c r="V1112" s="5" t="n"/>
      <c r="W1112" s="5" t="n"/>
      <c r="X1112" s="5" t="n"/>
      <c r="Y1112" s="5">
        <f>IF(I1112="","",IF(AND(I1112="Fail",K1112=""),"Classify Issue Source",IF(AND(I1112="Fail",W1112=""),"Set Confidence",IF(AND(K1112="Unknown",W1112&lt;&gt;"Low"),"Unknown must be Low confidence",IF(AND(OR(K1112="Backend",K1112="SAP"),N1112=""),"Add HTTP status + endpoint",IF(AND(OR(K1112="Backend",K1112="SAP",K1112="Network"),P1112=""),"Add Correlation ID",IF(AND(I1112="Fail",T1112=""),"Write Root Cause / evidence gap",IF(AND(I1112="Fail",V1112=""),"Assign team","OK"))))))))</f>
        <v/>
      </c>
    </row>
    <row r="1113">
      <c r="A1113" s="5" t="n"/>
      <c r="B1113" s="5" t="n"/>
      <c r="C1113" s="5" t="n"/>
      <c r="D1113" s="5" t="n"/>
      <c r="E1113" s="5" t="n"/>
      <c r="F1113" s="5" t="n"/>
      <c r="G1113" s="5" t="n"/>
      <c r="H1113" s="5" t="n"/>
      <c r="I1113" s="5" t="n"/>
      <c r="J1113" s="5" t="n"/>
      <c r="K1113" s="5" t="n"/>
      <c r="L1113" s="5" t="n"/>
      <c r="M1113" s="5" t="n"/>
      <c r="N1113" s="5" t="n"/>
      <c r="O1113" s="5" t="n"/>
      <c r="P1113" s="5" t="n"/>
      <c r="Q1113" s="5" t="n"/>
      <c r="R1113" s="5" t="n"/>
      <c r="S1113" s="5" t="n"/>
      <c r="T1113" s="5" t="n"/>
      <c r="U1113" s="5" t="n"/>
      <c r="V1113" s="5" t="n"/>
      <c r="W1113" s="5" t="n"/>
      <c r="X1113" s="5" t="n"/>
      <c r="Y1113" s="5">
        <f>IF(I1113="","",IF(AND(I1113="Fail",K1113=""),"Classify Issue Source",IF(AND(I1113="Fail",W1113=""),"Set Confidence",IF(AND(K1113="Unknown",W1113&lt;&gt;"Low"),"Unknown must be Low confidence",IF(AND(OR(K1113="Backend",K1113="SAP"),N1113=""),"Add HTTP status + endpoint",IF(AND(OR(K1113="Backend",K1113="SAP",K1113="Network"),P1113=""),"Add Correlation ID",IF(AND(I1113="Fail",T1113=""),"Write Root Cause / evidence gap",IF(AND(I1113="Fail",V1113=""),"Assign team","OK"))))))))</f>
        <v/>
      </c>
    </row>
    <row r="1114">
      <c r="A1114" s="5" t="n"/>
      <c r="B1114" s="5" t="n"/>
      <c r="C1114" s="5" t="n"/>
      <c r="D1114" s="5" t="n"/>
      <c r="E1114" s="5" t="n"/>
      <c r="F1114" s="5" t="n"/>
      <c r="G1114" s="5" t="n"/>
      <c r="H1114" s="5" t="n"/>
      <c r="I1114" s="5" t="n"/>
      <c r="J1114" s="5" t="n"/>
      <c r="K1114" s="5" t="n"/>
      <c r="L1114" s="5" t="n"/>
      <c r="M1114" s="5" t="n"/>
      <c r="N1114" s="5" t="n"/>
      <c r="O1114" s="5" t="n"/>
      <c r="P1114" s="5" t="n"/>
      <c r="Q1114" s="5" t="n"/>
      <c r="R1114" s="5" t="n"/>
      <c r="S1114" s="5" t="n"/>
      <c r="T1114" s="5" t="n"/>
      <c r="U1114" s="5" t="n"/>
      <c r="V1114" s="5" t="n"/>
      <c r="W1114" s="5" t="n"/>
      <c r="X1114" s="5" t="n"/>
      <c r="Y1114" s="5">
        <f>IF(I1114="","",IF(AND(I1114="Fail",K1114=""),"Classify Issue Source",IF(AND(I1114="Fail",W1114=""),"Set Confidence",IF(AND(K1114="Unknown",W1114&lt;&gt;"Low"),"Unknown must be Low confidence",IF(AND(OR(K1114="Backend",K1114="SAP"),N1114=""),"Add HTTP status + endpoint",IF(AND(OR(K1114="Backend",K1114="SAP",K1114="Network"),P1114=""),"Add Correlation ID",IF(AND(I1114="Fail",T1114=""),"Write Root Cause / evidence gap",IF(AND(I1114="Fail",V1114=""),"Assign team","OK"))))))))</f>
        <v/>
      </c>
    </row>
    <row r="1115">
      <c r="A1115" s="5" t="n"/>
      <c r="B1115" s="5" t="n"/>
      <c r="C1115" s="5" t="n"/>
      <c r="D1115" s="5" t="n"/>
      <c r="E1115" s="5" t="n"/>
      <c r="F1115" s="5" t="n"/>
      <c r="G1115" s="5" t="n"/>
      <c r="H1115" s="5" t="n"/>
      <c r="I1115" s="5" t="n"/>
      <c r="J1115" s="5" t="n"/>
      <c r="K1115" s="5" t="n"/>
      <c r="L1115" s="5" t="n"/>
      <c r="M1115" s="5" t="n"/>
      <c r="N1115" s="5" t="n"/>
      <c r="O1115" s="5" t="n"/>
      <c r="P1115" s="5" t="n"/>
      <c r="Q1115" s="5" t="n"/>
      <c r="R1115" s="5" t="n"/>
      <c r="S1115" s="5" t="n"/>
      <c r="T1115" s="5" t="n"/>
      <c r="U1115" s="5" t="n"/>
      <c r="V1115" s="5" t="n"/>
      <c r="W1115" s="5" t="n"/>
      <c r="X1115" s="5" t="n"/>
      <c r="Y1115" s="5">
        <f>IF(I1115="","",IF(AND(I1115="Fail",K1115=""),"Classify Issue Source",IF(AND(I1115="Fail",W1115=""),"Set Confidence",IF(AND(K1115="Unknown",W1115&lt;&gt;"Low"),"Unknown must be Low confidence",IF(AND(OR(K1115="Backend",K1115="SAP"),N1115=""),"Add HTTP status + endpoint",IF(AND(OR(K1115="Backend",K1115="SAP",K1115="Network"),P1115=""),"Add Correlation ID",IF(AND(I1115="Fail",T1115=""),"Write Root Cause / evidence gap",IF(AND(I1115="Fail",V1115=""),"Assign team","OK"))))))))</f>
        <v/>
      </c>
    </row>
    <row r="1116">
      <c r="A1116" s="5" t="n"/>
      <c r="B1116" s="5" t="n"/>
      <c r="C1116" s="5" t="n"/>
      <c r="D1116" s="5" t="n"/>
      <c r="E1116" s="5" t="n"/>
      <c r="F1116" s="5" t="n"/>
      <c r="G1116" s="5" t="n"/>
      <c r="H1116" s="5" t="n"/>
      <c r="I1116" s="5" t="n"/>
      <c r="J1116" s="5" t="n"/>
      <c r="K1116" s="5" t="n"/>
      <c r="L1116" s="5" t="n"/>
      <c r="M1116" s="5" t="n"/>
      <c r="N1116" s="5" t="n"/>
      <c r="O1116" s="5" t="n"/>
      <c r="P1116" s="5" t="n"/>
      <c r="Q1116" s="5" t="n"/>
      <c r="R1116" s="5" t="n"/>
      <c r="S1116" s="5" t="n"/>
      <c r="T1116" s="5" t="n"/>
      <c r="U1116" s="5" t="n"/>
      <c r="V1116" s="5" t="n"/>
      <c r="W1116" s="5" t="n"/>
      <c r="X1116" s="5" t="n"/>
      <c r="Y1116" s="5">
        <f>IF(I1116="","",IF(AND(I1116="Fail",K1116=""),"Classify Issue Source",IF(AND(I1116="Fail",W1116=""),"Set Confidence",IF(AND(K1116="Unknown",W1116&lt;&gt;"Low"),"Unknown must be Low confidence",IF(AND(OR(K1116="Backend",K1116="SAP"),N1116=""),"Add HTTP status + endpoint",IF(AND(OR(K1116="Backend",K1116="SAP",K1116="Network"),P1116=""),"Add Correlation ID",IF(AND(I1116="Fail",T1116=""),"Write Root Cause / evidence gap",IF(AND(I1116="Fail",V1116=""),"Assign team","OK"))))))))</f>
        <v/>
      </c>
    </row>
    <row r="1117">
      <c r="A1117" s="5" t="n"/>
      <c r="B1117" s="5" t="n"/>
      <c r="C1117" s="5" t="n"/>
      <c r="D1117" s="5" t="n"/>
      <c r="E1117" s="5" t="n"/>
      <c r="F1117" s="5" t="n"/>
      <c r="G1117" s="5" t="n"/>
      <c r="H1117" s="5" t="n"/>
      <c r="I1117" s="5" t="n"/>
      <c r="J1117" s="5" t="n"/>
      <c r="K1117" s="5" t="n"/>
      <c r="L1117" s="5" t="n"/>
      <c r="M1117" s="5" t="n"/>
      <c r="N1117" s="5" t="n"/>
      <c r="O1117" s="5" t="n"/>
      <c r="P1117" s="5" t="n"/>
      <c r="Q1117" s="5" t="n"/>
      <c r="R1117" s="5" t="n"/>
      <c r="S1117" s="5" t="n"/>
      <c r="T1117" s="5" t="n"/>
      <c r="U1117" s="5" t="n"/>
      <c r="V1117" s="5" t="n"/>
      <c r="W1117" s="5" t="n"/>
      <c r="X1117" s="5" t="n"/>
      <c r="Y1117" s="5">
        <f>IF(I1117="","",IF(AND(I1117="Fail",K1117=""),"Classify Issue Source",IF(AND(I1117="Fail",W1117=""),"Set Confidence",IF(AND(K1117="Unknown",W1117&lt;&gt;"Low"),"Unknown must be Low confidence",IF(AND(OR(K1117="Backend",K1117="SAP"),N1117=""),"Add HTTP status + endpoint",IF(AND(OR(K1117="Backend",K1117="SAP",K1117="Network"),P1117=""),"Add Correlation ID",IF(AND(I1117="Fail",T1117=""),"Write Root Cause / evidence gap",IF(AND(I1117="Fail",V1117=""),"Assign team","OK"))))))))</f>
        <v/>
      </c>
    </row>
    <row r="1118">
      <c r="A1118" s="5" t="n"/>
      <c r="B1118" s="5" t="n"/>
      <c r="C1118" s="5" t="n"/>
      <c r="D1118" s="5" t="n"/>
      <c r="E1118" s="5" t="n"/>
      <c r="F1118" s="5" t="n"/>
      <c r="G1118" s="5" t="n"/>
      <c r="H1118" s="5" t="n"/>
      <c r="I1118" s="5" t="n"/>
      <c r="J1118" s="5" t="n"/>
      <c r="K1118" s="5" t="n"/>
      <c r="L1118" s="5" t="n"/>
      <c r="M1118" s="5" t="n"/>
      <c r="N1118" s="5" t="n"/>
      <c r="O1118" s="5" t="n"/>
      <c r="P1118" s="5" t="n"/>
      <c r="Q1118" s="5" t="n"/>
      <c r="R1118" s="5" t="n"/>
      <c r="S1118" s="5" t="n"/>
      <c r="T1118" s="5" t="n"/>
      <c r="U1118" s="5" t="n"/>
      <c r="V1118" s="5" t="n"/>
      <c r="W1118" s="5" t="n"/>
      <c r="X1118" s="5" t="n"/>
      <c r="Y1118" s="5">
        <f>IF(I1118="","",IF(AND(I1118="Fail",K1118=""),"Classify Issue Source",IF(AND(I1118="Fail",W1118=""),"Set Confidence",IF(AND(K1118="Unknown",W1118&lt;&gt;"Low"),"Unknown must be Low confidence",IF(AND(OR(K1118="Backend",K1118="SAP"),N1118=""),"Add HTTP status + endpoint",IF(AND(OR(K1118="Backend",K1118="SAP",K1118="Network"),P1118=""),"Add Correlation ID",IF(AND(I1118="Fail",T1118=""),"Write Root Cause / evidence gap",IF(AND(I1118="Fail",V1118=""),"Assign team","OK"))))))))</f>
        <v/>
      </c>
    </row>
    <row r="1119">
      <c r="A1119" s="5" t="n"/>
      <c r="B1119" s="5" t="n"/>
      <c r="C1119" s="5" t="n"/>
      <c r="D1119" s="5" t="n"/>
      <c r="E1119" s="5" t="n"/>
      <c r="F1119" s="5" t="n"/>
      <c r="G1119" s="5" t="n"/>
      <c r="H1119" s="5" t="n"/>
      <c r="I1119" s="5" t="n"/>
      <c r="J1119" s="5" t="n"/>
      <c r="K1119" s="5" t="n"/>
      <c r="L1119" s="5" t="n"/>
      <c r="M1119" s="5" t="n"/>
      <c r="N1119" s="5" t="n"/>
      <c r="O1119" s="5" t="n"/>
      <c r="P1119" s="5" t="n"/>
      <c r="Q1119" s="5" t="n"/>
      <c r="R1119" s="5" t="n"/>
      <c r="S1119" s="5" t="n"/>
      <c r="T1119" s="5" t="n"/>
      <c r="U1119" s="5" t="n"/>
      <c r="V1119" s="5" t="n"/>
      <c r="W1119" s="5" t="n"/>
      <c r="X1119" s="5" t="n"/>
      <c r="Y1119" s="5">
        <f>IF(I1119="","",IF(AND(I1119="Fail",K1119=""),"Classify Issue Source",IF(AND(I1119="Fail",W1119=""),"Set Confidence",IF(AND(K1119="Unknown",W1119&lt;&gt;"Low"),"Unknown must be Low confidence",IF(AND(OR(K1119="Backend",K1119="SAP"),N1119=""),"Add HTTP status + endpoint",IF(AND(OR(K1119="Backend",K1119="SAP",K1119="Network"),P1119=""),"Add Correlation ID",IF(AND(I1119="Fail",T1119=""),"Write Root Cause / evidence gap",IF(AND(I1119="Fail",V1119=""),"Assign team","OK"))))))))</f>
        <v/>
      </c>
    </row>
    <row r="1120">
      <c r="A1120" s="5" t="n"/>
      <c r="B1120" s="5" t="n"/>
      <c r="C1120" s="5" t="n"/>
      <c r="D1120" s="5" t="n"/>
      <c r="E1120" s="5" t="n"/>
      <c r="F1120" s="5" t="n"/>
      <c r="G1120" s="5" t="n"/>
      <c r="H1120" s="5" t="n"/>
      <c r="I1120" s="5" t="n"/>
      <c r="J1120" s="5" t="n"/>
      <c r="K1120" s="5" t="n"/>
      <c r="L1120" s="5" t="n"/>
      <c r="M1120" s="5" t="n"/>
      <c r="N1120" s="5" t="n"/>
      <c r="O1120" s="5" t="n"/>
      <c r="P1120" s="5" t="n"/>
      <c r="Q1120" s="5" t="n"/>
      <c r="R1120" s="5" t="n"/>
      <c r="S1120" s="5" t="n"/>
      <c r="T1120" s="5" t="n"/>
      <c r="U1120" s="5" t="n"/>
      <c r="V1120" s="5" t="n"/>
      <c r="W1120" s="5" t="n"/>
      <c r="X1120" s="5" t="n"/>
      <c r="Y1120" s="5">
        <f>IF(I1120="","",IF(AND(I1120="Fail",K1120=""),"Classify Issue Source",IF(AND(I1120="Fail",W1120=""),"Set Confidence",IF(AND(K1120="Unknown",W1120&lt;&gt;"Low"),"Unknown must be Low confidence",IF(AND(OR(K1120="Backend",K1120="SAP"),N1120=""),"Add HTTP status + endpoint",IF(AND(OR(K1120="Backend",K1120="SAP",K1120="Network"),P1120=""),"Add Correlation ID",IF(AND(I1120="Fail",T1120=""),"Write Root Cause / evidence gap",IF(AND(I1120="Fail",V1120=""),"Assign team","OK"))))))))</f>
        <v/>
      </c>
    </row>
    <row r="1121">
      <c r="A1121" s="5" t="n"/>
      <c r="B1121" s="5" t="n"/>
      <c r="C1121" s="5" t="n"/>
      <c r="D1121" s="5" t="n"/>
      <c r="E1121" s="5" t="n"/>
      <c r="F1121" s="5" t="n"/>
      <c r="G1121" s="5" t="n"/>
      <c r="H1121" s="5" t="n"/>
      <c r="I1121" s="5" t="n"/>
      <c r="J1121" s="5" t="n"/>
      <c r="K1121" s="5" t="n"/>
      <c r="L1121" s="5" t="n"/>
      <c r="M1121" s="5" t="n"/>
      <c r="N1121" s="5" t="n"/>
      <c r="O1121" s="5" t="n"/>
      <c r="P1121" s="5" t="n"/>
      <c r="Q1121" s="5" t="n"/>
      <c r="R1121" s="5" t="n"/>
      <c r="S1121" s="5" t="n"/>
      <c r="T1121" s="5" t="n"/>
      <c r="U1121" s="5" t="n"/>
      <c r="V1121" s="5" t="n"/>
      <c r="W1121" s="5" t="n"/>
      <c r="X1121" s="5" t="n"/>
      <c r="Y1121" s="5">
        <f>IF(I1121="","",IF(AND(I1121="Fail",K1121=""),"Classify Issue Source",IF(AND(I1121="Fail",W1121=""),"Set Confidence",IF(AND(K1121="Unknown",W1121&lt;&gt;"Low"),"Unknown must be Low confidence",IF(AND(OR(K1121="Backend",K1121="SAP"),N1121=""),"Add HTTP status + endpoint",IF(AND(OR(K1121="Backend",K1121="SAP",K1121="Network"),P1121=""),"Add Correlation ID",IF(AND(I1121="Fail",T1121=""),"Write Root Cause / evidence gap",IF(AND(I1121="Fail",V1121=""),"Assign team","OK"))))))))</f>
        <v/>
      </c>
    </row>
    <row r="1122">
      <c r="A1122" s="5" t="n"/>
      <c r="B1122" s="5" t="n"/>
      <c r="C1122" s="5" t="n"/>
      <c r="D1122" s="5" t="n"/>
      <c r="E1122" s="5" t="n"/>
      <c r="F1122" s="5" t="n"/>
      <c r="G1122" s="5" t="n"/>
      <c r="H1122" s="5" t="n"/>
      <c r="I1122" s="5" t="n"/>
      <c r="J1122" s="5" t="n"/>
      <c r="K1122" s="5" t="n"/>
      <c r="L1122" s="5" t="n"/>
      <c r="M1122" s="5" t="n"/>
      <c r="N1122" s="5" t="n"/>
      <c r="O1122" s="5" t="n"/>
      <c r="P1122" s="5" t="n"/>
      <c r="Q1122" s="5" t="n"/>
      <c r="R1122" s="5" t="n"/>
      <c r="S1122" s="5" t="n"/>
      <c r="T1122" s="5" t="n"/>
      <c r="U1122" s="5" t="n"/>
      <c r="V1122" s="5" t="n"/>
      <c r="W1122" s="5" t="n"/>
      <c r="X1122" s="5" t="n"/>
      <c r="Y1122" s="5">
        <f>IF(I1122="","",IF(AND(I1122="Fail",K1122=""),"Classify Issue Source",IF(AND(I1122="Fail",W1122=""),"Set Confidence",IF(AND(K1122="Unknown",W1122&lt;&gt;"Low"),"Unknown must be Low confidence",IF(AND(OR(K1122="Backend",K1122="SAP"),N1122=""),"Add HTTP status + endpoint",IF(AND(OR(K1122="Backend",K1122="SAP",K1122="Network"),P1122=""),"Add Correlation ID",IF(AND(I1122="Fail",T1122=""),"Write Root Cause / evidence gap",IF(AND(I1122="Fail",V1122=""),"Assign team","OK"))))))))</f>
        <v/>
      </c>
    </row>
    <row r="1123">
      <c r="A1123" s="5" t="n"/>
      <c r="B1123" s="5" t="n"/>
      <c r="C1123" s="5" t="n"/>
      <c r="D1123" s="5" t="n"/>
      <c r="E1123" s="5" t="n"/>
      <c r="F1123" s="5" t="n"/>
      <c r="G1123" s="5" t="n"/>
      <c r="H1123" s="5" t="n"/>
      <c r="I1123" s="5" t="n"/>
      <c r="J1123" s="5" t="n"/>
      <c r="K1123" s="5" t="n"/>
      <c r="L1123" s="5" t="n"/>
      <c r="M1123" s="5" t="n"/>
      <c r="N1123" s="5" t="n"/>
      <c r="O1123" s="5" t="n"/>
      <c r="P1123" s="5" t="n"/>
      <c r="Q1123" s="5" t="n"/>
      <c r="R1123" s="5" t="n"/>
      <c r="S1123" s="5" t="n"/>
      <c r="T1123" s="5" t="n"/>
      <c r="U1123" s="5" t="n"/>
      <c r="V1123" s="5" t="n"/>
      <c r="W1123" s="5" t="n"/>
      <c r="X1123" s="5" t="n"/>
      <c r="Y1123" s="5">
        <f>IF(I1123="","",IF(AND(I1123="Fail",K1123=""),"Classify Issue Source",IF(AND(I1123="Fail",W1123=""),"Set Confidence",IF(AND(K1123="Unknown",W1123&lt;&gt;"Low"),"Unknown must be Low confidence",IF(AND(OR(K1123="Backend",K1123="SAP"),N1123=""),"Add HTTP status + endpoint",IF(AND(OR(K1123="Backend",K1123="SAP",K1123="Network"),P1123=""),"Add Correlation ID",IF(AND(I1123="Fail",T1123=""),"Write Root Cause / evidence gap",IF(AND(I1123="Fail",V1123=""),"Assign team","OK"))))))))</f>
        <v/>
      </c>
    </row>
    <row r="1124">
      <c r="A1124" s="5" t="n"/>
      <c r="B1124" s="5" t="n"/>
      <c r="C1124" s="5" t="n"/>
      <c r="D1124" s="5" t="n"/>
      <c r="E1124" s="5" t="n"/>
      <c r="F1124" s="5" t="n"/>
      <c r="G1124" s="5" t="n"/>
      <c r="H1124" s="5" t="n"/>
      <c r="I1124" s="5" t="n"/>
      <c r="J1124" s="5" t="n"/>
      <c r="K1124" s="5" t="n"/>
      <c r="L1124" s="5" t="n"/>
      <c r="M1124" s="5" t="n"/>
      <c r="N1124" s="5" t="n"/>
      <c r="O1124" s="5" t="n"/>
      <c r="P1124" s="5" t="n"/>
      <c r="Q1124" s="5" t="n"/>
      <c r="R1124" s="5" t="n"/>
      <c r="S1124" s="5" t="n"/>
      <c r="T1124" s="5" t="n"/>
      <c r="U1124" s="5" t="n"/>
      <c r="V1124" s="5" t="n"/>
      <c r="W1124" s="5" t="n"/>
      <c r="X1124" s="5" t="n"/>
      <c r="Y1124" s="5">
        <f>IF(I1124="","",IF(AND(I1124="Fail",K1124=""),"Classify Issue Source",IF(AND(I1124="Fail",W1124=""),"Set Confidence",IF(AND(K1124="Unknown",W1124&lt;&gt;"Low"),"Unknown must be Low confidence",IF(AND(OR(K1124="Backend",K1124="SAP"),N1124=""),"Add HTTP status + endpoint",IF(AND(OR(K1124="Backend",K1124="SAP",K1124="Network"),P1124=""),"Add Correlation ID",IF(AND(I1124="Fail",T1124=""),"Write Root Cause / evidence gap",IF(AND(I1124="Fail",V1124=""),"Assign team","OK"))))))))</f>
        <v/>
      </c>
    </row>
    <row r="1125">
      <c r="A1125" s="5" t="n"/>
      <c r="B1125" s="5" t="n"/>
      <c r="C1125" s="5" t="n"/>
      <c r="D1125" s="5" t="n"/>
      <c r="E1125" s="5" t="n"/>
      <c r="F1125" s="5" t="n"/>
      <c r="G1125" s="5" t="n"/>
      <c r="H1125" s="5" t="n"/>
      <c r="I1125" s="5" t="n"/>
      <c r="J1125" s="5" t="n"/>
      <c r="K1125" s="5" t="n"/>
      <c r="L1125" s="5" t="n"/>
      <c r="M1125" s="5" t="n"/>
      <c r="N1125" s="5" t="n"/>
      <c r="O1125" s="5" t="n"/>
      <c r="P1125" s="5" t="n"/>
      <c r="Q1125" s="5" t="n"/>
      <c r="R1125" s="5" t="n"/>
      <c r="S1125" s="5" t="n"/>
      <c r="T1125" s="5" t="n"/>
      <c r="U1125" s="5" t="n"/>
      <c r="V1125" s="5" t="n"/>
      <c r="W1125" s="5" t="n"/>
      <c r="X1125" s="5" t="n"/>
      <c r="Y1125" s="5">
        <f>IF(I1125="","",IF(AND(I1125="Fail",K1125=""),"Classify Issue Source",IF(AND(I1125="Fail",W1125=""),"Set Confidence",IF(AND(K1125="Unknown",W1125&lt;&gt;"Low"),"Unknown must be Low confidence",IF(AND(OR(K1125="Backend",K1125="SAP"),N1125=""),"Add HTTP status + endpoint",IF(AND(OR(K1125="Backend",K1125="SAP",K1125="Network"),P1125=""),"Add Correlation ID",IF(AND(I1125="Fail",T1125=""),"Write Root Cause / evidence gap",IF(AND(I1125="Fail",V1125=""),"Assign team","OK"))))))))</f>
        <v/>
      </c>
    </row>
    <row r="1126">
      <c r="A1126" s="5" t="n"/>
      <c r="B1126" s="5" t="n"/>
      <c r="C1126" s="5" t="n"/>
      <c r="D1126" s="5" t="n"/>
      <c r="E1126" s="5" t="n"/>
      <c r="F1126" s="5" t="n"/>
      <c r="G1126" s="5" t="n"/>
      <c r="H1126" s="5" t="n"/>
      <c r="I1126" s="5" t="n"/>
      <c r="J1126" s="5" t="n"/>
      <c r="K1126" s="5" t="n"/>
      <c r="L1126" s="5" t="n"/>
      <c r="M1126" s="5" t="n"/>
      <c r="N1126" s="5" t="n"/>
      <c r="O1126" s="5" t="n"/>
      <c r="P1126" s="5" t="n"/>
      <c r="Q1126" s="5" t="n"/>
      <c r="R1126" s="5" t="n"/>
      <c r="S1126" s="5" t="n"/>
      <c r="T1126" s="5" t="n"/>
      <c r="U1126" s="5" t="n"/>
      <c r="V1126" s="5" t="n"/>
      <c r="W1126" s="5" t="n"/>
      <c r="X1126" s="5" t="n"/>
      <c r="Y1126" s="5">
        <f>IF(I1126="","",IF(AND(I1126="Fail",K1126=""),"Classify Issue Source",IF(AND(I1126="Fail",W1126=""),"Set Confidence",IF(AND(K1126="Unknown",W1126&lt;&gt;"Low"),"Unknown must be Low confidence",IF(AND(OR(K1126="Backend",K1126="SAP"),N1126=""),"Add HTTP status + endpoint",IF(AND(OR(K1126="Backend",K1126="SAP",K1126="Network"),P1126=""),"Add Correlation ID",IF(AND(I1126="Fail",T1126=""),"Write Root Cause / evidence gap",IF(AND(I1126="Fail",V1126=""),"Assign team","OK"))))))))</f>
        <v/>
      </c>
    </row>
    <row r="1127">
      <c r="A1127" s="5" t="n"/>
      <c r="B1127" s="5" t="n"/>
      <c r="C1127" s="5" t="n"/>
      <c r="D1127" s="5" t="n"/>
      <c r="E1127" s="5" t="n"/>
      <c r="F1127" s="5" t="n"/>
      <c r="G1127" s="5" t="n"/>
      <c r="H1127" s="5" t="n"/>
      <c r="I1127" s="5" t="n"/>
      <c r="J1127" s="5" t="n"/>
      <c r="K1127" s="5" t="n"/>
      <c r="L1127" s="5" t="n"/>
      <c r="M1127" s="5" t="n"/>
      <c r="N1127" s="5" t="n"/>
      <c r="O1127" s="5" t="n"/>
      <c r="P1127" s="5" t="n"/>
      <c r="Q1127" s="5" t="n"/>
      <c r="R1127" s="5" t="n"/>
      <c r="S1127" s="5" t="n"/>
      <c r="T1127" s="5" t="n"/>
      <c r="U1127" s="5" t="n"/>
      <c r="V1127" s="5" t="n"/>
      <c r="W1127" s="5" t="n"/>
      <c r="X1127" s="5" t="n"/>
      <c r="Y1127" s="5">
        <f>IF(I1127="","",IF(AND(I1127="Fail",K1127=""),"Classify Issue Source",IF(AND(I1127="Fail",W1127=""),"Set Confidence",IF(AND(K1127="Unknown",W1127&lt;&gt;"Low"),"Unknown must be Low confidence",IF(AND(OR(K1127="Backend",K1127="SAP"),N1127=""),"Add HTTP status + endpoint",IF(AND(OR(K1127="Backend",K1127="SAP",K1127="Network"),P1127=""),"Add Correlation ID",IF(AND(I1127="Fail",T1127=""),"Write Root Cause / evidence gap",IF(AND(I1127="Fail",V1127=""),"Assign team","OK"))))))))</f>
        <v/>
      </c>
    </row>
    <row r="1128">
      <c r="A1128" s="5" t="n"/>
      <c r="B1128" s="5" t="n"/>
      <c r="C1128" s="5" t="n"/>
      <c r="D1128" s="5" t="n"/>
      <c r="E1128" s="5" t="n"/>
      <c r="F1128" s="5" t="n"/>
      <c r="G1128" s="5" t="n"/>
      <c r="H1128" s="5" t="n"/>
      <c r="I1128" s="5" t="n"/>
      <c r="J1128" s="5" t="n"/>
      <c r="K1128" s="5" t="n"/>
      <c r="L1128" s="5" t="n"/>
      <c r="M1128" s="5" t="n"/>
      <c r="N1128" s="5" t="n"/>
      <c r="O1128" s="5" t="n"/>
      <c r="P1128" s="5" t="n"/>
      <c r="Q1128" s="5" t="n"/>
      <c r="R1128" s="5" t="n"/>
      <c r="S1128" s="5" t="n"/>
      <c r="T1128" s="5" t="n"/>
      <c r="U1128" s="5" t="n"/>
      <c r="V1128" s="5" t="n"/>
      <c r="W1128" s="5" t="n"/>
      <c r="X1128" s="5" t="n"/>
      <c r="Y1128" s="5">
        <f>IF(I1128="","",IF(AND(I1128="Fail",K1128=""),"Classify Issue Source",IF(AND(I1128="Fail",W1128=""),"Set Confidence",IF(AND(K1128="Unknown",W1128&lt;&gt;"Low"),"Unknown must be Low confidence",IF(AND(OR(K1128="Backend",K1128="SAP"),N1128=""),"Add HTTP status + endpoint",IF(AND(OR(K1128="Backend",K1128="SAP",K1128="Network"),P1128=""),"Add Correlation ID",IF(AND(I1128="Fail",T1128=""),"Write Root Cause / evidence gap",IF(AND(I1128="Fail",V1128=""),"Assign team","OK"))))))))</f>
        <v/>
      </c>
    </row>
    <row r="1129">
      <c r="A1129" s="5" t="n"/>
      <c r="B1129" s="5" t="n"/>
      <c r="C1129" s="5" t="n"/>
      <c r="D1129" s="5" t="n"/>
      <c r="E1129" s="5" t="n"/>
      <c r="F1129" s="5" t="n"/>
      <c r="G1129" s="5" t="n"/>
      <c r="H1129" s="5" t="n"/>
      <c r="I1129" s="5" t="n"/>
      <c r="J1129" s="5" t="n"/>
      <c r="K1129" s="5" t="n"/>
      <c r="L1129" s="5" t="n"/>
      <c r="M1129" s="5" t="n"/>
      <c r="N1129" s="5" t="n"/>
      <c r="O1129" s="5" t="n"/>
      <c r="P1129" s="5" t="n"/>
      <c r="Q1129" s="5" t="n"/>
      <c r="R1129" s="5" t="n"/>
      <c r="S1129" s="5" t="n"/>
      <c r="T1129" s="5" t="n"/>
      <c r="U1129" s="5" t="n"/>
      <c r="V1129" s="5" t="n"/>
      <c r="W1129" s="5" t="n"/>
      <c r="X1129" s="5" t="n"/>
      <c r="Y1129" s="5">
        <f>IF(I1129="","",IF(AND(I1129="Fail",K1129=""),"Classify Issue Source",IF(AND(I1129="Fail",W1129=""),"Set Confidence",IF(AND(K1129="Unknown",W1129&lt;&gt;"Low"),"Unknown must be Low confidence",IF(AND(OR(K1129="Backend",K1129="SAP"),N1129=""),"Add HTTP status + endpoint",IF(AND(OR(K1129="Backend",K1129="SAP",K1129="Network"),P1129=""),"Add Correlation ID",IF(AND(I1129="Fail",T1129=""),"Write Root Cause / evidence gap",IF(AND(I1129="Fail",V1129=""),"Assign team","OK"))))))))</f>
        <v/>
      </c>
    </row>
    <row r="1130">
      <c r="A1130" s="5" t="n"/>
      <c r="B1130" s="5" t="n"/>
      <c r="C1130" s="5" t="n"/>
      <c r="D1130" s="5" t="n"/>
      <c r="E1130" s="5" t="n"/>
      <c r="F1130" s="5" t="n"/>
      <c r="G1130" s="5" t="n"/>
      <c r="H1130" s="5" t="n"/>
      <c r="I1130" s="5" t="n"/>
      <c r="J1130" s="5" t="n"/>
      <c r="K1130" s="5" t="n"/>
      <c r="L1130" s="5" t="n"/>
      <c r="M1130" s="5" t="n"/>
      <c r="N1130" s="5" t="n"/>
      <c r="O1130" s="5" t="n"/>
      <c r="P1130" s="5" t="n"/>
      <c r="Q1130" s="5" t="n"/>
      <c r="R1130" s="5" t="n"/>
      <c r="S1130" s="5" t="n"/>
      <c r="T1130" s="5" t="n"/>
      <c r="U1130" s="5" t="n"/>
      <c r="V1130" s="5" t="n"/>
      <c r="W1130" s="5" t="n"/>
      <c r="X1130" s="5" t="n"/>
      <c r="Y1130" s="5">
        <f>IF(I1130="","",IF(AND(I1130="Fail",K1130=""),"Classify Issue Source",IF(AND(I1130="Fail",W1130=""),"Set Confidence",IF(AND(K1130="Unknown",W1130&lt;&gt;"Low"),"Unknown must be Low confidence",IF(AND(OR(K1130="Backend",K1130="SAP"),N1130=""),"Add HTTP status + endpoint",IF(AND(OR(K1130="Backend",K1130="SAP",K1130="Network"),P1130=""),"Add Correlation ID",IF(AND(I1130="Fail",T1130=""),"Write Root Cause / evidence gap",IF(AND(I1130="Fail",V1130=""),"Assign team","OK"))))))))</f>
        <v/>
      </c>
    </row>
    <row r="1131">
      <c r="A1131" s="5" t="n"/>
      <c r="B1131" s="5" t="n"/>
      <c r="C1131" s="5" t="n"/>
      <c r="D1131" s="5" t="n"/>
      <c r="E1131" s="5" t="n"/>
      <c r="F1131" s="5" t="n"/>
      <c r="G1131" s="5" t="n"/>
      <c r="H1131" s="5" t="n"/>
      <c r="I1131" s="5" t="n"/>
      <c r="J1131" s="5" t="n"/>
      <c r="K1131" s="5" t="n"/>
      <c r="L1131" s="5" t="n"/>
      <c r="M1131" s="5" t="n"/>
      <c r="N1131" s="5" t="n"/>
      <c r="O1131" s="5" t="n"/>
      <c r="P1131" s="5" t="n"/>
      <c r="Q1131" s="5" t="n"/>
      <c r="R1131" s="5" t="n"/>
      <c r="S1131" s="5" t="n"/>
      <c r="T1131" s="5" t="n"/>
      <c r="U1131" s="5" t="n"/>
      <c r="V1131" s="5" t="n"/>
      <c r="W1131" s="5" t="n"/>
      <c r="X1131" s="5" t="n"/>
      <c r="Y1131" s="5">
        <f>IF(I1131="","",IF(AND(I1131="Fail",K1131=""),"Classify Issue Source",IF(AND(I1131="Fail",W1131=""),"Set Confidence",IF(AND(K1131="Unknown",W1131&lt;&gt;"Low"),"Unknown must be Low confidence",IF(AND(OR(K1131="Backend",K1131="SAP"),N1131=""),"Add HTTP status + endpoint",IF(AND(OR(K1131="Backend",K1131="SAP",K1131="Network"),P1131=""),"Add Correlation ID",IF(AND(I1131="Fail",T1131=""),"Write Root Cause / evidence gap",IF(AND(I1131="Fail",V1131=""),"Assign team","OK"))))))))</f>
        <v/>
      </c>
    </row>
    <row r="1132">
      <c r="A1132" s="5" t="n"/>
      <c r="B1132" s="5" t="n"/>
      <c r="C1132" s="5" t="n"/>
      <c r="D1132" s="5" t="n"/>
      <c r="E1132" s="5" t="n"/>
      <c r="F1132" s="5" t="n"/>
      <c r="G1132" s="5" t="n"/>
      <c r="H1132" s="5" t="n"/>
      <c r="I1132" s="5" t="n"/>
      <c r="J1132" s="5" t="n"/>
      <c r="K1132" s="5" t="n"/>
      <c r="L1132" s="5" t="n"/>
      <c r="M1132" s="5" t="n"/>
      <c r="N1132" s="5" t="n"/>
      <c r="O1132" s="5" t="n"/>
      <c r="P1132" s="5" t="n"/>
      <c r="Q1132" s="5" t="n"/>
      <c r="R1132" s="5" t="n"/>
      <c r="S1132" s="5" t="n"/>
      <c r="T1132" s="5" t="n"/>
      <c r="U1132" s="5" t="n"/>
      <c r="V1132" s="5" t="n"/>
      <c r="W1132" s="5" t="n"/>
      <c r="X1132" s="5" t="n"/>
      <c r="Y1132" s="5">
        <f>IF(I1132="","",IF(AND(I1132="Fail",K1132=""),"Classify Issue Source",IF(AND(I1132="Fail",W1132=""),"Set Confidence",IF(AND(K1132="Unknown",W1132&lt;&gt;"Low"),"Unknown must be Low confidence",IF(AND(OR(K1132="Backend",K1132="SAP"),N1132=""),"Add HTTP status + endpoint",IF(AND(OR(K1132="Backend",K1132="SAP",K1132="Network"),P1132=""),"Add Correlation ID",IF(AND(I1132="Fail",T1132=""),"Write Root Cause / evidence gap",IF(AND(I1132="Fail",V1132=""),"Assign team","OK"))))))))</f>
        <v/>
      </c>
    </row>
    <row r="1133">
      <c r="A1133" s="5" t="n"/>
      <c r="B1133" s="5" t="n"/>
      <c r="C1133" s="5" t="n"/>
      <c r="D1133" s="5" t="n"/>
      <c r="E1133" s="5" t="n"/>
      <c r="F1133" s="5" t="n"/>
      <c r="G1133" s="5" t="n"/>
      <c r="H1133" s="5" t="n"/>
      <c r="I1133" s="5" t="n"/>
      <c r="J1133" s="5" t="n"/>
      <c r="K1133" s="5" t="n"/>
      <c r="L1133" s="5" t="n"/>
      <c r="M1133" s="5" t="n"/>
      <c r="N1133" s="5" t="n"/>
      <c r="O1133" s="5" t="n"/>
      <c r="P1133" s="5" t="n"/>
      <c r="Q1133" s="5" t="n"/>
      <c r="R1133" s="5" t="n"/>
      <c r="S1133" s="5" t="n"/>
      <c r="T1133" s="5" t="n"/>
      <c r="U1133" s="5" t="n"/>
      <c r="V1133" s="5" t="n"/>
      <c r="W1133" s="5" t="n"/>
      <c r="X1133" s="5" t="n"/>
      <c r="Y1133" s="5">
        <f>IF(I1133="","",IF(AND(I1133="Fail",K1133=""),"Classify Issue Source",IF(AND(I1133="Fail",W1133=""),"Set Confidence",IF(AND(K1133="Unknown",W1133&lt;&gt;"Low"),"Unknown must be Low confidence",IF(AND(OR(K1133="Backend",K1133="SAP"),N1133=""),"Add HTTP status + endpoint",IF(AND(OR(K1133="Backend",K1133="SAP",K1133="Network"),P1133=""),"Add Correlation ID",IF(AND(I1133="Fail",T1133=""),"Write Root Cause / evidence gap",IF(AND(I1133="Fail",V1133=""),"Assign team","OK"))))))))</f>
        <v/>
      </c>
    </row>
    <row r="1134">
      <c r="A1134" s="5" t="n"/>
      <c r="B1134" s="5" t="n"/>
      <c r="C1134" s="5" t="n"/>
      <c r="D1134" s="5" t="n"/>
      <c r="E1134" s="5" t="n"/>
      <c r="F1134" s="5" t="n"/>
      <c r="G1134" s="5" t="n"/>
      <c r="H1134" s="5" t="n"/>
      <c r="I1134" s="5" t="n"/>
      <c r="J1134" s="5" t="n"/>
      <c r="K1134" s="5" t="n"/>
      <c r="L1134" s="5" t="n"/>
      <c r="M1134" s="5" t="n"/>
      <c r="N1134" s="5" t="n"/>
      <c r="O1134" s="5" t="n"/>
      <c r="P1134" s="5" t="n"/>
      <c r="Q1134" s="5" t="n"/>
      <c r="R1134" s="5" t="n"/>
      <c r="S1134" s="5" t="n"/>
      <c r="T1134" s="5" t="n"/>
      <c r="U1134" s="5" t="n"/>
      <c r="V1134" s="5" t="n"/>
      <c r="W1134" s="5" t="n"/>
      <c r="X1134" s="5" t="n"/>
      <c r="Y1134" s="5">
        <f>IF(I1134="","",IF(AND(I1134="Fail",K1134=""),"Classify Issue Source",IF(AND(I1134="Fail",W1134=""),"Set Confidence",IF(AND(K1134="Unknown",W1134&lt;&gt;"Low"),"Unknown must be Low confidence",IF(AND(OR(K1134="Backend",K1134="SAP"),N1134=""),"Add HTTP status + endpoint",IF(AND(OR(K1134="Backend",K1134="SAP",K1134="Network"),P1134=""),"Add Correlation ID",IF(AND(I1134="Fail",T1134=""),"Write Root Cause / evidence gap",IF(AND(I1134="Fail",V1134=""),"Assign team","OK"))))))))</f>
        <v/>
      </c>
    </row>
    <row r="1135">
      <c r="A1135" s="5" t="n"/>
      <c r="B1135" s="5" t="n"/>
      <c r="C1135" s="5" t="n"/>
      <c r="D1135" s="5" t="n"/>
      <c r="E1135" s="5" t="n"/>
      <c r="F1135" s="5" t="n"/>
      <c r="G1135" s="5" t="n"/>
      <c r="H1135" s="5" t="n"/>
      <c r="I1135" s="5" t="n"/>
      <c r="J1135" s="5" t="n"/>
      <c r="K1135" s="5" t="n"/>
      <c r="L1135" s="5" t="n"/>
      <c r="M1135" s="5" t="n"/>
      <c r="N1135" s="5" t="n"/>
      <c r="O1135" s="5" t="n"/>
      <c r="P1135" s="5" t="n"/>
      <c r="Q1135" s="5" t="n"/>
      <c r="R1135" s="5" t="n"/>
      <c r="S1135" s="5" t="n"/>
      <c r="T1135" s="5" t="n"/>
      <c r="U1135" s="5" t="n"/>
      <c r="V1135" s="5" t="n"/>
      <c r="W1135" s="5" t="n"/>
      <c r="X1135" s="5" t="n"/>
      <c r="Y1135" s="5">
        <f>IF(I1135="","",IF(AND(I1135="Fail",K1135=""),"Classify Issue Source",IF(AND(I1135="Fail",W1135=""),"Set Confidence",IF(AND(K1135="Unknown",W1135&lt;&gt;"Low"),"Unknown must be Low confidence",IF(AND(OR(K1135="Backend",K1135="SAP"),N1135=""),"Add HTTP status + endpoint",IF(AND(OR(K1135="Backend",K1135="SAP",K1135="Network"),P1135=""),"Add Correlation ID",IF(AND(I1135="Fail",T1135=""),"Write Root Cause / evidence gap",IF(AND(I1135="Fail",V1135=""),"Assign team","OK"))))))))</f>
        <v/>
      </c>
    </row>
    <row r="1136">
      <c r="A1136" s="5" t="n"/>
      <c r="B1136" s="5" t="n"/>
      <c r="C1136" s="5" t="n"/>
      <c r="D1136" s="5" t="n"/>
      <c r="E1136" s="5" t="n"/>
      <c r="F1136" s="5" t="n"/>
      <c r="G1136" s="5" t="n"/>
      <c r="H1136" s="5" t="n"/>
      <c r="I1136" s="5" t="n"/>
      <c r="J1136" s="5" t="n"/>
      <c r="K1136" s="5" t="n"/>
      <c r="L1136" s="5" t="n"/>
      <c r="M1136" s="5" t="n"/>
      <c r="N1136" s="5" t="n"/>
      <c r="O1136" s="5" t="n"/>
      <c r="P1136" s="5" t="n"/>
      <c r="Q1136" s="5" t="n"/>
      <c r="R1136" s="5" t="n"/>
      <c r="S1136" s="5" t="n"/>
      <c r="T1136" s="5" t="n"/>
      <c r="U1136" s="5" t="n"/>
      <c r="V1136" s="5" t="n"/>
      <c r="W1136" s="5" t="n"/>
      <c r="X1136" s="5" t="n"/>
      <c r="Y1136" s="5">
        <f>IF(I1136="","",IF(AND(I1136="Fail",K1136=""),"Classify Issue Source",IF(AND(I1136="Fail",W1136=""),"Set Confidence",IF(AND(K1136="Unknown",W1136&lt;&gt;"Low"),"Unknown must be Low confidence",IF(AND(OR(K1136="Backend",K1136="SAP"),N1136=""),"Add HTTP status + endpoint",IF(AND(OR(K1136="Backend",K1136="SAP",K1136="Network"),P1136=""),"Add Correlation ID",IF(AND(I1136="Fail",T1136=""),"Write Root Cause / evidence gap",IF(AND(I1136="Fail",V1136=""),"Assign team","OK"))))))))</f>
        <v/>
      </c>
    </row>
    <row r="1137">
      <c r="A1137" s="5" t="n"/>
      <c r="B1137" s="5" t="n"/>
      <c r="C1137" s="5" t="n"/>
      <c r="D1137" s="5" t="n"/>
      <c r="E1137" s="5" t="n"/>
      <c r="F1137" s="5" t="n"/>
      <c r="G1137" s="5" t="n"/>
      <c r="H1137" s="5" t="n"/>
      <c r="I1137" s="5" t="n"/>
      <c r="J1137" s="5" t="n"/>
      <c r="K1137" s="5" t="n"/>
      <c r="L1137" s="5" t="n"/>
      <c r="M1137" s="5" t="n"/>
      <c r="N1137" s="5" t="n"/>
      <c r="O1137" s="5" t="n"/>
      <c r="P1137" s="5" t="n"/>
      <c r="Q1137" s="5" t="n"/>
      <c r="R1137" s="5" t="n"/>
      <c r="S1137" s="5" t="n"/>
      <c r="T1137" s="5" t="n"/>
      <c r="U1137" s="5" t="n"/>
      <c r="V1137" s="5" t="n"/>
      <c r="W1137" s="5" t="n"/>
      <c r="X1137" s="5" t="n"/>
      <c r="Y1137" s="5">
        <f>IF(I1137="","",IF(AND(I1137="Fail",K1137=""),"Classify Issue Source",IF(AND(I1137="Fail",W1137=""),"Set Confidence",IF(AND(K1137="Unknown",W1137&lt;&gt;"Low"),"Unknown must be Low confidence",IF(AND(OR(K1137="Backend",K1137="SAP"),N1137=""),"Add HTTP status + endpoint",IF(AND(OR(K1137="Backend",K1137="SAP",K1137="Network"),P1137=""),"Add Correlation ID",IF(AND(I1137="Fail",T1137=""),"Write Root Cause / evidence gap",IF(AND(I1137="Fail",V1137=""),"Assign team","OK"))))))))</f>
        <v/>
      </c>
    </row>
    <row r="1138">
      <c r="A1138" s="5" t="n"/>
      <c r="B1138" s="5" t="n"/>
      <c r="C1138" s="5" t="n"/>
      <c r="D1138" s="5" t="n"/>
      <c r="E1138" s="5" t="n"/>
      <c r="F1138" s="5" t="n"/>
      <c r="G1138" s="5" t="n"/>
      <c r="H1138" s="5" t="n"/>
      <c r="I1138" s="5" t="n"/>
      <c r="J1138" s="5" t="n"/>
      <c r="K1138" s="5" t="n"/>
      <c r="L1138" s="5" t="n"/>
      <c r="M1138" s="5" t="n"/>
      <c r="N1138" s="5" t="n"/>
      <c r="O1138" s="5" t="n"/>
      <c r="P1138" s="5" t="n"/>
      <c r="Q1138" s="5" t="n"/>
      <c r="R1138" s="5" t="n"/>
      <c r="S1138" s="5" t="n"/>
      <c r="T1138" s="5" t="n"/>
      <c r="U1138" s="5" t="n"/>
      <c r="V1138" s="5" t="n"/>
      <c r="W1138" s="5" t="n"/>
      <c r="X1138" s="5" t="n"/>
      <c r="Y1138" s="5">
        <f>IF(I1138="","",IF(AND(I1138="Fail",K1138=""),"Classify Issue Source",IF(AND(I1138="Fail",W1138=""),"Set Confidence",IF(AND(K1138="Unknown",W1138&lt;&gt;"Low"),"Unknown must be Low confidence",IF(AND(OR(K1138="Backend",K1138="SAP"),N1138=""),"Add HTTP status + endpoint",IF(AND(OR(K1138="Backend",K1138="SAP",K1138="Network"),P1138=""),"Add Correlation ID",IF(AND(I1138="Fail",T1138=""),"Write Root Cause / evidence gap",IF(AND(I1138="Fail",V1138=""),"Assign team","OK"))))))))</f>
        <v/>
      </c>
    </row>
    <row r="1139">
      <c r="A1139" s="5" t="n"/>
      <c r="B1139" s="5" t="n"/>
      <c r="C1139" s="5" t="n"/>
      <c r="D1139" s="5" t="n"/>
      <c r="E1139" s="5" t="n"/>
      <c r="F1139" s="5" t="n"/>
      <c r="G1139" s="5" t="n"/>
      <c r="H1139" s="5" t="n"/>
      <c r="I1139" s="5" t="n"/>
      <c r="J1139" s="5" t="n"/>
      <c r="K1139" s="5" t="n"/>
      <c r="L1139" s="5" t="n"/>
      <c r="M1139" s="5" t="n"/>
      <c r="N1139" s="5" t="n"/>
      <c r="O1139" s="5" t="n"/>
      <c r="P1139" s="5" t="n"/>
      <c r="Q1139" s="5" t="n"/>
      <c r="R1139" s="5" t="n"/>
      <c r="S1139" s="5" t="n"/>
      <c r="T1139" s="5" t="n"/>
      <c r="U1139" s="5" t="n"/>
      <c r="V1139" s="5" t="n"/>
      <c r="W1139" s="5" t="n"/>
      <c r="X1139" s="5" t="n"/>
      <c r="Y1139" s="5">
        <f>IF(I1139="","",IF(AND(I1139="Fail",K1139=""),"Classify Issue Source",IF(AND(I1139="Fail",W1139=""),"Set Confidence",IF(AND(K1139="Unknown",W1139&lt;&gt;"Low"),"Unknown must be Low confidence",IF(AND(OR(K1139="Backend",K1139="SAP"),N1139=""),"Add HTTP status + endpoint",IF(AND(OR(K1139="Backend",K1139="SAP",K1139="Network"),P1139=""),"Add Correlation ID",IF(AND(I1139="Fail",T1139=""),"Write Root Cause / evidence gap",IF(AND(I1139="Fail",V1139=""),"Assign team","OK"))))))))</f>
        <v/>
      </c>
    </row>
    <row r="1140">
      <c r="A1140" s="5" t="n"/>
      <c r="B1140" s="5" t="n"/>
      <c r="C1140" s="5" t="n"/>
      <c r="D1140" s="5" t="n"/>
      <c r="E1140" s="5" t="n"/>
      <c r="F1140" s="5" t="n"/>
      <c r="G1140" s="5" t="n"/>
      <c r="H1140" s="5" t="n"/>
      <c r="I1140" s="5" t="n"/>
      <c r="J1140" s="5" t="n"/>
      <c r="K1140" s="5" t="n"/>
      <c r="L1140" s="5" t="n"/>
      <c r="M1140" s="5" t="n"/>
      <c r="N1140" s="5" t="n"/>
      <c r="O1140" s="5" t="n"/>
      <c r="P1140" s="5" t="n"/>
      <c r="Q1140" s="5" t="n"/>
      <c r="R1140" s="5" t="n"/>
      <c r="S1140" s="5" t="n"/>
      <c r="T1140" s="5" t="n"/>
      <c r="U1140" s="5" t="n"/>
      <c r="V1140" s="5" t="n"/>
      <c r="W1140" s="5" t="n"/>
      <c r="X1140" s="5" t="n"/>
      <c r="Y1140" s="5">
        <f>IF(I1140="","",IF(AND(I1140="Fail",K1140=""),"Classify Issue Source",IF(AND(I1140="Fail",W1140=""),"Set Confidence",IF(AND(K1140="Unknown",W1140&lt;&gt;"Low"),"Unknown must be Low confidence",IF(AND(OR(K1140="Backend",K1140="SAP"),N1140=""),"Add HTTP status + endpoint",IF(AND(OR(K1140="Backend",K1140="SAP",K1140="Network"),P1140=""),"Add Correlation ID",IF(AND(I1140="Fail",T1140=""),"Write Root Cause / evidence gap",IF(AND(I1140="Fail",V1140=""),"Assign team","OK"))))))))</f>
        <v/>
      </c>
    </row>
    <row r="1141">
      <c r="A1141" s="5" t="n"/>
      <c r="B1141" s="5" t="n"/>
      <c r="C1141" s="5" t="n"/>
      <c r="D1141" s="5" t="n"/>
      <c r="E1141" s="5" t="n"/>
      <c r="F1141" s="5" t="n"/>
      <c r="G1141" s="5" t="n"/>
      <c r="H1141" s="5" t="n"/>
      <c r="I1141" s="5" t="n"/>
      <c r="J1141" s="5" t="n"/>
      <c r="K1141" s="5" t="n"/>
      <c r="L1141" s="5" t="n"/>
      <c r="M1141" s="5" t="n"/>
      <c r="N1141" s="5" t="n"/>
      <c r="O1141" s="5" t="n"/>
      <c r="P1141" s="5" t="n"/>
      <c r="Q1141" s="5" t="n"/>
      <c r="R1141" s="5" t="n"/>
      <c r="S1141" s="5" t="n"/>
      <c r="T1141" s="5" t="n"/>
      <c r="U1141" s="5" t="n"/>
      <c r="V1141" s="5" t="n"/>
      <c r="W1141" s="5" t="n"/>
      <c r="X1141" s="5" t="n"/>
      <c r="Y1141" s="5">
        <f>IF(I1141="","",IF(AND(I1141="Fail",K1141=""),"Classify Issue Source",IF(AND(I1141="Fail",W1141=""),"Set Confidence",IF(AND(K1141="Unknown",W1141&lt;&gt;"Low"),"Unknown must be Low confidence",IF(AND(OR(K1141="Backend",K1141="SAP"),N1141=""),"Add HTTP status + endpoint",IF(AND(OR(K1141="Backend",K1141="SAP",K1141="Network"),P1141=""),"Add Correlation ID",IF(AND(I1141="Fail",T1141=""),"Write Root Cause / evidence gap",IF(AND(I1141="Fail",V1141=""),"Assign team","OK"))))))))</f>
        <v/>
      </c>
    </row>
    <row r="1142">
      <c r="A1142" s="5" t="n"/>
      <c r="B1142" s="5" t="n"/>
      <c r="C1142" s="5" t="n"/>
      <c r="D1142" s="5" t="n"/>
      <c r="E1142" s="5" t="n"/>
      <c r="F1142" s="5" t="n"/>
      <c r="G1142" s="5" t="n"/>
      <c r="H1142" s="5" t="n"/>
      <c r="I1142" s="5" t="n"/>
      <c r="J1142" s="5" t="n"/>
      <c r="K1142" s="5" t="n"/>
      <c r="L1142" s="5" t="n"/>
      <c r="M1142" s="5" t="n"/>
      <c r="N1142" s="5" t="n"/>
      <c r="O1142" s="5" t="n"/>
      <c r="P1142" s="5" t="n"/>
      <c r="Q1142" s="5" t="n"/>
      <c r="R1142" s="5" t="n"/>
      <c r="S1142" s="5" t="n"/>
      <c r="T1142" s="5" t="n"/>
      <c r="U1142" s="5" t="n"/>
      <c r="V1142" s="5" t="n"/>
      <c r="W1142" s="5" t="n"/>
      <c r="X1142" s="5" t="n"/>
      <c r="Y1142" s="5">
        <f>IF(I1142="","",IF(AND(I1142="Fail",K1142=""),"Classify Issue Source",IF(AND(I1142="Fail",W1142=""),"Set Confidence",IF(AND(K1142="Unknown",W1142&lt;&gt;"Low"),"Unknown must be Low confidence",IF(AND(OR(K1142="Backend",K1142="SAP"),N1142=""),"Add HTTP status + endpoint",IF(AND(OR(K1142="Backend",K1142="SAP",K1142="Network"),P1142=""),"Add Correlation ID",IF(AND(I1142="Fail",T1142=""),"Write Root Cause / evidence gap",IF(AND(I1142="Fail",V1142=""),"Assign team","OK"))))))))</f>
        <v/>
      </c>
    </row>
    <row r="1143">
      <c r="A1143" s="5" t="n"/>
      <c r="B1143" s="5" t="n"/>
      <c r="C1143" s="5" t="n"/>
      <c r="D1143" s="5" t="n"/>
      <c r="E1143" s="5" t="n"/>
      <c r="F1143" s="5" t="n"/>
      <c r="G1143" s="5" t="n"/>
      <c r="H1143" s="5" t="n"/>
      <c r="I1143" s="5" t="n"/>
      <c r="J1143" s="5" t="n"/>
      <c r="K1143" s="5" t="n"/>
      <c r="L1143" s="5" t="n"/>
      <c r="M1143" s="5" t="n"/>
      <c r="N1143" s="5" t="n"/>
      <c r="O1143" s="5" t="n"/>
      <c r="P1143" s="5" t="n"/>
      <c r="Q1143" s="5" t="n"/>
      <c r="R1143" s="5" t="n"/>
      <c r="S1143" s="5" t="n"/>
      <c r="T1143" s="5" t="n"/>
      <c r="U1143" s="5" t="n"/>
      <c r="V1143" s="5" t="n"/>
      <c r="W1143" s="5" t="n"/>
      <c r="X1143" s="5" t="n"/>
      <c r="Y1143" s="5">
        <f>IF(I1143="","",IF(AND(I1143="Fail",K1143=""),"Classify Issue Source",IF(AND(I1143="Fail",W1143=""),"Set Confidence",IF(AND(K1143="Unknown",W1143&lt;&gt;"Low"),"Unknown must be Low confidence",IF(AND(OR(K1143="Backend",K1143="SAP"),N1143=""),"Add HTTP status + endpoint",IF(AND(OR(K1143="Backend",K1143="SAP",K1143="Network"),P1143=""),"Add Correlation ID",IF(AND(I1143="Fail",T1143=""),"Write Root Cause / evidence gap",IF(AND(I1143="Fail",V1143=""),"Assign team","OK"))))))))</f>
        <v/>
      </c>
    </row>
    <row r="1144">
      <c r="A1144" s="5" t="n"/>
      <c r="B1144" s="5" t="n"/>
      <c r="C1144" s="5" t="n"/>
      <c r="D1144" s="5" t="n"/>
      <c r="E1144" s="5" t="n"/>
      <c r="F1144" s="5" t="n"/>
      <c r="G1144" s="5" t="n"/>
      <c r="H1144" s="5" t="n"/>
      <c r="I1144" s="5" t="n"/>
      <c r="J1144" s="5" t="n"/>
      <c r="K1144" s="5" t="n"/>
      <c r="L1144" s="5" t="n"/>
      <c r="M1144" s="5" t="n"/>
      <c r="N1144" s="5" t="n"/>
      <c r="O1144" s="5" t="n"/>
      <c r="P1144" s="5" t="n"/>
      <c r="Q1144" s="5" t="n"/>
      <c r="R1144" s="5" t="n"/>
      <c r="S1144" s="5" t="n"/>
      <c r="T1144" s="5" t="n"/>
      <c r="U1144" s="5" t="n"/>
      <c r="V1144" s="5" t="n"/>
      <c r="W1144" s="5" t="n"/>
      <c r="X1144" s="5" t="n"/>
      <c r="Y1144" s="5">
        <f>IF(I1144="","",IF(AND(I1144="Fail",K1144=""),"Classify Issue Source",IF(AND(I1144="Fail",W1144=""),"Set Confidence",IF(AND(K1144="Unknown",W1144&lt;&gt;"Low"),"Unknown must be Low confidence",IF(AND(OR(K1144="Backend",K1144="SAP"),N1144=""),"Add HTTP status + endpoint",IF(AND(OR(K1144="Backend",K1144="SAP",K1144="Network"),P1144=""),"Add Correlation ID",IF(AND(I1144="Fail",T1144=""),"Write Root Cause / evidence gap",IF(AND(I1144="Fail",V1144=""),"Assign team","OK"))))))))</f>
        <v/>
      </c>
    </row>
    <row r="1145">
      <c r="A1145" s="5" t="n"/>
      <c r="B1145" s="5" t="n"/>
      <c r="C1145" s="5" t="n"/>
      <c r="D1145" s="5" t="n"/>
      <c r="E1145" s="5" t="n"/>
      <c r="F1145" s="5" t="n"/>
      <c r="G1145" s="5" t="n"/>
      <c r="H1145" s="5" t="n"/>
      <c r="I1145" s="5" t="n"/>
      <c r="J1145" s="5" t="n"/>
      <c r="K1145" s="5" t="n"/>
      <c r="L1145" s="5" t="n"/>
      <c r="M1145" s="5" t="n"/>
      <c r="N1145" s="5" t="n"/>
      <c r="O1145" s="5" t="n"/>
      <c r="P1145" s="5" t="n"/>
      <c r="Q1145" s="5" t="n"/>
      <c r="R1145" s="5" t="n"/>
      <c r="S1145" s="5" t="n"/>
      <c r="T1145" s="5" t="n"/>
      <c r="U1145" s="5" t="n"/>
      <c r="V1145" s="5" t="n"/>
      <c r="W1145" s="5" t="n"/>
      <c r="X1145" s="5" t="n"/>
      <c r="Y1145" s="5">
        <f>IF(I1145="","",IF(AND(I1145="Fail",K1145=""),"Classify Issue Source",IF(AND(I1145="Fail",W1145=""),"Set Confidence",IF(AND(K1145="Unknown",W1145&lt;&gt;"Low"),"Unknown must be Low confidence",IF(AND(OR(K1145="Backend",K1145="SAP"),N1145=""),"Add HTTP status + endpoint",IF(AND(OR(K1145="Backend",K1145="SAP",K1145="Network"),P1145=""),"Add Correlation ID",IF(AND(I1145="Fail",T1145=""),"Write Root Cause / evidence gap",IF(AND(I1145="Fail",V1145=""),"Assign team","OK"))))))))</f>
        <v/>
      </c>
    </row>
    <row r="1146">
      <c r="A1146" s="5" t="n"/>
      <c r="B1146" s="5" t="n"/>
      <c r="C1146" s="5" t="n"/>
      <c r="D1146" s="5" t="n"/>
      <c r="E1146" s="5" t="n"/>
      <c r="F1146" s="5" t="n"/>
      <c r="G1146" s="5" t="n"/>
      <c r="H1146" s="5" t="n"/>
      <c r="I1146" s="5" t="n"/>
      <c r="J1146" s="5" t="n"/>
      <c r="K1146" s="5" t="n"/>
      <c r="L1146" s="5" t="n"/>
      <c r="M1146" s="5" t="n"/>
      <c r="N1146" s="5" t="n"/>
      <c r="O1146" s="5" t="n"/>
      <c r="P1146" s="5" t="n"/>
      <c r="Q1146" s="5" t="n"/>
      <c r="R1146" s="5" t="n"/>
      <c r="S1146" s="5" t="n"/>
      <c r="T1146" s="5" t="n"/>
      <c r="U1146" s="5" t="n"/>
      <c r="V1146" s="5" t="n"/>
      <c r="W1146" s="5" t="n"/>
      <c r="X1146" s="5" t="n"/>
      <c r="Y1146" s="5">
        <f>IF(I1146="","",IF(AND(I1146="Fail",K1146=""),"Classify Issue Source",IF(AND(I1146="Fail",W1146=""),"Set Confidence",IF(AND(K1146="Unknown",W1146&lt;&gt;"Low"),"Unknown must be Low confidence",IF(AND(OR(K1146="Backend",K1146="SAP"),N1146=""),"Add HTTP status + endpoint",IF(AND(OR(K1146="Backend",K1146="SAP",K1146="Network"),P1146=""),"Add Correlation ID",IF(AND(I1146="Fail",T1146=""),"Write Root Cause / evidence gap",IF(AND(I1146="Fail",V1146=""),"Assign team","OK"))))))))</f>
        <v/>
      </c>
    </row>
    <row r="1147">
      <c r="A1147" s="5" t="n"/>
      <c r="B1147" s="5" t="n"/>
      <c r="C1147" s="5" t="n"/>
      <c r="D1147" s="5" t="n"/>
      <c r="E1147" s="5" t="n"/>
      <c r="F1147" s="5" t="n"/>
      <c r="G1147" s="5" t="n"/>
      <c r="H1147" s="5" t="n"/>
      <c r="I1147" s="5" t="n"/>
      <c r="J1147" s="5" t="n"/>
      <c r="K1147" s="5" t="n"/>
      <c r="L1147" s="5" t="n"/>
      <c r="M1147" s="5" t="n"/>
      <c r="N1147" s="5" t="n"/>
      <c r="O1147" s="5" t="n"/>
      <c r="P1147" s="5" t="n"/>
      <c r="Q1147" s="5" t="n"/>
      <c r="R1147" s="5" t="n"/>
      <c r="S1147" s="5" t="n"/>
      <c r="T1147" s="5" t="n"/>
      <c r="U1147" s="5" t="n"/>
      <c r="V1147" s="5" t="n"/>
      <c r="W1147" s="5" t="n"/>
      <c r="X1147" s="5" t="n"/>
      <c r="Y1147" s="5">
        <f>IF(I1147="","",IF(AND(I1147="Fail",K1147=""),"Classify Issue Source",IF(AND(I1147="Fail",W1147=""),"Set Confidence",IF(AND(K1147="Unknown",W1147&lt;&gt;"Low"),"Unknown must be Low confidence",IF(AND(OR(K1147="Backend",K1147="SAP"),N1147=""),"Add HTTP status + endpoint",IF(AND(OR(K1147="Backend",K1147="SAP",K1147="Network"),P1147=""),"Add Correlation ID",IF(AND(I1147="Fail",T1147=""),"Write Root Cause / evidence gap",IF(AND(I1147="Fail",V1147=""),"Assign team","OK"))))))))</f>
        <v/>
      </c>
    </row>
    <row r="1148">
      <c r="A1148" s="5" t="n"/>
      <c r="B1148" s="5" t="n"/>
      <c r="C1148" s="5" t="n"/>
      <c r="D1148" s="5" t="n"/>
      <c r="E1148" s="5" t="n"/>
      <c r="F1148" s="5" t="n"/>
      <c r="G1148" s="5" t="n"/>
      <c r="H1148" s="5" t="n"/>
      <c r="I1148" s="5" t="n"/>
      <c r="J1148" s="5" t="n"/>
      <c r="K1148" s="5" t="n"/>
      <c r="L1148" s="5" t="n"/>
      <c r="M1148" s="5" t="n"/>
      <c r="N1148" s="5" t="n"/>
      <c r="O1148" s="5" t="n"/>
      <c r="P1148" s="5" t="n"/>
      <c r="Q1148" s="5" t="n"/>
      <c r="R1148" s="5" t="n"/>
      <c r="S1148" s="5" t="n"/>
      <c r="T1148" s="5" t="n"/>
      <c r="U1148" s="5" t="n"/>
      <c r="V1148" s="5" t="n"/>
      <c r="W1148" s="5" t="n"/>
      <c r="X1148" s="5" t="n"/>
      <c r="Y1148" s="5">
        <f>IF(I1148="","",IF(AND(I1148="Fail",K1148=""),"Classify Issue Source",IF(AND(I1148="Fail",W1148=""),"Set Confidence",IF(AND(K1148="Unknown",W1148&lt;&gt;"Low"),"Unknown must be Low confidence",IF(AND(OR(K1148="Backend",K1148="SAP"),N1148=""),"Add HTTP status + endpoint",IF(AND(OR(K1148="Backend",K1148="SAP",K1148="Network"),P1148=""),"Add Correlation ID",IF(AND(I1148="Fail",T1148=""),"Write Root Cause / evidence gap",IF(AND(I1148="Fail",V1148=""),"Assign team","OK"))))))))</f>
        <v/>
      </c>
    </row>
    <row r="1149">
      <c r="A1149" s="5" t="n"/>
      <c r="B1149" s="5" t="n"/>
      <c r="C1149" s="5" t="n"/>
      <c r="D1149" s="5" t="n"/>
      <c r="E1149" s="5" t="n"/>
      <c r="F1149" s="5" t="n"/>
      <c r="G1149" s="5" t="n"/>
      <c r="H1149" s="5" t="n"/>
      <c r="I1149" s="5" t="n"/>
      <c r="J1149" s="5" t="n"/>
      <c r="K1149" s="5" t="n"/>
      <c r="L1149" s="5" t="n"/>
      <c r="M1149" s="5" t="n"/>
      <c r="N1149" s="5" t="n"/>
      <c r="O1149" s="5" t="n"/>
      <c r="P1149" s="5" t="n"/>
      <c r="Q1149" s="5" t="n"/>
      <c r="R1149" s="5" t="n"/>
      <c r="S1149" s="5" t="n"/>
      <c r="T1149" s="5" t="n"/>
      <c r="U1149" s="5" t="n"/>
      <c r="V1149" s="5" t="n"/>
      <c r="W1149" s="5" t="n"/>
      <c r="X1149" s="5" t="n"/>
      <c r="Y1149" s="5">
        <f>IF(I1149="","",IF(AND(I1149="Fail",K1149=""),"Classify Issue Source",IF(AND(I1149="Fail",W1149=""),"Set Confidence",IF(AND(K1149="Unknown",W1149&lt;&gt;"Low"),"Unknown must be Low confidence",IF(AND(OR(K1149="Backend",K1149="SAP"),N1149=""),"Add HTTP status + endpoint",IF(AND(OR(K1149="Backend",K1149="SAP",K1149="Network"),P1149=""),"Add Correlation ID",IF(AND(I1149="Fail",T1149=""),"Write Root Cause / evidence gap",IF(AND(I1149="Fail",V1149=""),"Assign team","OK"))))))))</f>
        <v/>
      </c>
    </row>
    <row r="1150">
      <c r="A1150" s="5" t="n"/>
      <c r="B1150" s="5" t="n"/>
      <c r="C1150" s="5" t="n"/>
      <c r="D1150" s="5" t="n"/>
      <c r="E1150" s="5" t="n"/>
      <c r="F1150" s="5" t="n"/>
      <c r="G1150" s="5" t="n"/>
      <c r="H1150" s="5" t="n"/>
      <c r="I1150" s="5" t="n"/>
      <c r="J1150" s="5" t="n"/>
      <c r="K1150" s="5" t="n"/>
      <c r="L1150" s="5" t="n"/>
      <c r="M1150" s="5" t="n"/>
      <c r="N1150" s="5" t="n"/>
      <c r="O1150" s="5" t="n"/>
      <c r="P1150" s="5" t="n"/>
      <c r="Q1150" s="5" t="n"/>
      <c r="R1150" s="5" t="n"/>
      <c r="S1150" s="5" t="n"/>
      <c r="T1150" s="5" t="n"/>
      <c r="U1150" s="5" t="n"/>
      <c r="V1150" s="5" t="n"/>
      <c r="W1150" s="5" t="n"/>
      <c r="X1150" s="5" t="n"/>
      <c r="Y1150" s="5">
        <f>IF(I1150="","",IF(AND(I1150="Fail",K1150=""),"Classify Issue Source",IF(AND(I1150="Fail",W1150=""),"Set Confidence",IF(AND(K1150="Unknown",W1150&lt;&gt;"Low"),"Unknown must be Low confidence",IF(AND(OR(K1150="Backend",K1150="SAP"),N1150=""),"Add HTTP status + endpoint",IF(AND(OR(K1150="Backend",K1150="SAP",K1150="Network"),P1150=""),"Add Correlation ID",IF(AND(I1150="Fail",T1150=""),"Write Root Cause / evidence gap",IF(AND(I1150="Fail",V1150=""),"Assign team","OK"))))))))</f>
        <v/>
      </c>
    </row>
    <row r="1151">
      <c r="A1151" s="5" t="n"/>
      <c r="B1151" s="5" t="n"/>
      <c r="C1151" s="5" t="n"/>
      <c r="D1151" s="5" t="n"/>
      <c r="E1151" s="5" t="n"/>
      <c r="F1151" s="5" t="n"/>
      <c r="G1151" s="5" t="n"/>
      <c r="H1151" s="5" t="n"/>
      <c r="I1151" s="5" t="n"/>
      <c r="J1151" s="5" t="n"/>
      <c r="K1151" s="5" t="n"/>
      <c r="L1151" s="5" t="n"/>
      <c r="M1151" s="5" t="n"/>
      <c r="N1151" s="5" t="n"/>
      <c r="O1151" s="5" t="n"/>
      <c r="P1151" s="5" t="n"/>
      <c r="Q1151" s="5" t="n"/>
      <c r="R1151" s="5" t="n"/>
      <c r="S1151" s="5" t="n"/>
      <c r="T1151" s="5" t="n"/>
      <c r="U1151" s="5" t="n"/>
      <c r="V1151" s="5" t="n"/>
      <c r="W1151" s="5" t="n"/>
      <c r="X1151" s="5" t="n"/>
      <c r="Y1151" s="5">
        <f>IF(I1151="","",IF(AND(I1151="Fail",K1151=""),"Classify Issue Source",IF(AND(I1151="Fail",W1151=""),"Set Confidence",IF(AND(K1151="Unknown",W1151&lt;&gt;"Low"),"Unknown must be Low confidence",IF(AND(OR(K1151="Backend",K1151="SAP"),N1151=""),"Add HTTP status + endpoint",IF(AND(OR(K1151="Backend",K1151="SAP",K1151="Network"),P1151=""),"Add Correlation ID",IF(AND(I1151="Fail",T1151=""),"Write Root Cause / evidence gap",IF(AND(I1151="Fail",V1151=""),"Assign team","OK"))))))))</f>
        <v/>
      </c>
    </row>
    <row r="1152">
      <c r="A1152" s="5" t="n"/>
      <c r="B1152" s="5" t="n"/>
      <c r="C1152" s="5" t="n"/>
      <c r="D1152" s="5" t="n"/>
      <c r="E1152" s="5" t="n"/>
      <c r="F1152" s="5" t="n"/>
      <c r="G1152" s="5" t="n"/>
      <c r="H1152" s="5" t="n"/>
      <c r="I1152" s="5" t="n"/>
      <c r="J1152" s="5" t="n"/>
      <c r="K1152" s="5" t="n"/>
      <c r="L1152" s="5" t="n"/>
      <c r="M1152" s="5" t="n"/>
      <c r="N1152" s="5" t="n"/>
      <c r="O1152" s="5" t="n"/>
      <c r="P1152" s="5" t="n"/>
      <c r="Q1152" s="5" t="n"/>
      <c r="R1152" s="5" t="n"/>
      <c r="S1152" s="5" t="n"/>
      <c r="T1152" s="5" t="n"/>
      <c r="U1152" s="5" t="n"/>
      <c r="V1152" s="5" t="n"/>
      <c r="W1152" s="5" t="n"/>
      <c r="X1152" s="5" t="n"/>
      <c r="Y1152" s="5">
        <f>IF(I1152="","",IF(AND(I1152="Fail",K1152=""),"Classify Issue Source",IF(AND(I1152="Fail",W1152=""),"Set Confidence",IF(AND(K1152="Unknown",W1152&lt;&gt;"Low"),"Unknown must be Low confidence",IF(AND(OR(K1152="Backend",K1152="SAP"),N1152=""),"Add HTTP status + endpoint",IF(AND(OR(K1152="Backend",K1152="SAP",K1152="Network"),P1152=""),"Add Correlation ID",IF(AND(I1152="Fail",T1152=""),"Write Root Cause / evidence gap",IF(AND(I1152="Fail",V1152=""),"Assign team","OK"))))))))</f>
        <v/>
      </c>
    </row>
    <row r="1153">
      <c r="A1153" s="5" t="n"/>
      <c r="B1153" s="5" t="n"/>
      <c r="C1153" s="5" t="n"/>
      <c r="D1153" s="5" t="n"/>
      <c r="E1153" s="5" t="n"/>
      <c r="F1153" s="5" t="n"/>
      <c r="G1153" s="5" t="n"/>
      <c r="H1153" s="5" t="n"/>
      <c r="I1153" s="5" t="n"/>
      <c r="J1153" s="5" t="n"/>
      <c r="K1153" s="5" t="n"/>
      <c r="L1153" s="5" t="n"/>
      <c r="M1153" s="5" t="n"/>
      <c r="N1153" s="5" t="n"/>
      <c r="O1153" s="5" t="n"/>
      <c r="P1153" s="5" t="n"/>
      <c r="Q1153" s="5" t="n"/>
      <c r="R1153" s="5" t="n"/>
      <c r="S1153" s="5" t="n"/>
      <c r="T1153" s="5" t="n"/>
      <c r="U1153" s="5" t="n"/>
      <c r="V1153" s="5" t="n"/>
      <c r="W1153" s="5" t="n"/>
      <c r="X1153" s="5" t="n"/>
      <c r="Y1153" s="5">
        <f>IF(I1153="","",IF(AND(I1153="Fail",K1153=""),"Classify Issue Source",IF(AND(I1153="Fail",W1153=""),"Set Confidence",IF(AND(K1153="Unknown",W1153&lt;&gt;"Low"),"Unknown must be Low confidence",IF(AND(OR(K1153="Backend",K1153="SAP"),N1153=""),"Add HTTP status + endpoint",IF(AND(OR(K1153="Backend",K1153="SAP",K1153="Network"),P1153=""),"Add Correlation ID",IF(AND(I1153="Fail",T1153=""),"Write Root Cause / evidence gap",IF(AND(I1153="Fail",V1153=""),"Assign team","OK"))))))))</f>
        <v/>
      </c>
    </row>
    <row r="1154">
      <c r="A1154" s="5" t="n"/>
      <c r="B1154" s="5" t="n"/>
      <c r="C1154" s="5" t="n"/>
      <c r="D1154" s="5" t="n"/>
      <c r="E1154" s="5" t="n"/>
      <c r="F1154" s="5" t="n"/>
      <c r="G1154" s="5" t="n"/>
      <c r="H1154" s="5" t="n"/>
      <c r="I1154" s="5" t="n"/>
      <c r="J1154" s="5" t="n"/>
      <c r="K1154" s="5" t="n"/>
      <c r="L1154" s="5" t="n"/>
      <c r="M1154" s="5" t="n"/>
      <c r="N1154" s="5" t="n"/>
      <c r="O1154" s="5" t="n"/>
      <c r="P1154" s="5" t="n"/>
      <c r="Q1154" s="5" t="n"/>
      <c r="R1154" s="5" t="n"/>
      <c r="S1154" s="5" t="n"/>
      <c r="T1154" s="5" t="n"/>
      <c r="U1154" s="5" t="n"/>
      <c r="V1154" s="5" t="n"/>
      <c r="W1154" s="5" t="n"/>
      <c r="X1154" s="5" t="n"/>
      <c r="Y1154" s="5">
        <f>IF(I1154="","",IF(AND(I1154="Fail",K1154=""),"Classify Issue Source",IF(AND(I1154="Fail",W1154=""),"Set Confidence",IF(AND(K1154="Unknown",W1154&lt;&gt;"Low"),"Unknown must be Low confidence",IF(AND(OR(K1154="Backend",K1154="SAP"),N1154=""),"Add HTTP status + endpoint",IF(AND(OR(K1154="Backend",K1154="SAP",K1154="Network"),P1154=""),"Add Correlation ID",IF(AND(I1154="Fail",T1154=""),"Write Root Cause / evidence gap",IF(AND(I1154="Fail",V1154=""),"Assign team","OK"))))))))</f>
        <v/>
      </c>
    </row>
    <row r="1155">
      <c r="A1155" s="5" t="n"/>
      <c r="B1155" s="5" t="n"/>
      <c r="C1155" s="5" t="n"/>
      <c r="D1155" s="5" t="n"/>
      <c r="E1155" s="5" t="n"/>
      <c r="F1155" s="5" t="n"/>
      <c r="G1155" s="5" t="n"/>
      <c r="H1155" s="5" t="n"/>
      <c r="I1155" s="5" t="n"/>
      <c r="J1155" s="5" t="n"/>
      <c r="K1155" s="5" t="n"/>
      <c r="L1155" s="5" t="n"/>
      <c r="M1155" s="5" t="n"/>
      <c r="N1155" s="5" t="n"/>
      <c r="O1155" s="5" t="n"/>
      <c r="P1155" s="5" t="n"/>
      <c r="Q1155" s="5" t="n"/>
      <c r="R1155" s="5" t="n"/>
      <c r="S1155" s="5" t="n"/>
      <c r="T1155" s="5" t="n"/>
      <c r="U1155" s="5" t="n"/>
      <c r="V1155" s="5" t="n"/>
      <c r="W1155" s="5" t="n"/>
      <c r="X1155" s="5" t="n"/>
      <c r="Y1155" s="5">
        <f>IF(I1155="","",IF(AND(I1155="Fail",K1155=""),"Classify Issue Source",IF(AND(I1155="Fail",W1155=""),"Set Confidence",IF(AND(K1155="Unknown",W1155&lt;&gt;"Low"),"Unknown must be Low confidence",IF(AND(OR(K1155="Backend",K1155="SAP"),N1155=""),"Add HTTP status + endpoint",IF(AND(OR(K1155="Backend",K1155="SAP",K1155="Network"),P1155=""),"Add Correlation ID",IF(AND(I1155="Fail",T1155=""),"Write Root Cause / evidence gap",IF(AND(I1155="Fail",V1155=""),"Assign team","OK"))))))))</f>
        <v/>
      </c>
    </row>
    <row r="1156">
      <c r="A1156" s="5" t="n"/>
      <c r="B1156" s="5" t="n"/>
      <c r="C1156" s="5" t="n"/>
      <c r="D1156" s="5" t="n"/>
      <c r="E1156" s="5" t="n"/>
      <c r="F1156" s="5" t="n"/>
      <c r="G1156" s="5" t="n"/>
      <c r="H1156" s="5" t="n"/>
      <c r="I1156" s="5" t="n"/>
      <c r="J1156" s="5" t="n"/>
      <c r="K1156" s="5" t="n"/>
      <c r="L1156" s="5" t="n"/>
      <c r="M1156" s="5" t="n"/>
      <c r="N1156" s="5" t="n"/>
      <c r="O1156" s="5" t="n"/>
      <c r="P1156" s="5" t="n"/>
      <c r="Q1156" s="5" t="n"/>
      <c r="R1156" s="5" t="n"/>
      <c r="S1156" s="5" t="n"/>
      <c r="T1156" s="5" t="n"/>
      <c r="U1156" s="5" t="n"/>
      <c r="V1156" s="5" t="n"/>
      <c r="W1156" s="5" t="n"/>
      <c r="X1156" s="5" t="n"/>
      <c r="Y1156" s="5">
        <f>IF(I1156="","",IF(AND(I1156="Fail",K1156=""),"Classify Issue Source",IF(AND(I1156="Fail",W1156=""),"Set Confidence",IF(AND(K1156="Unknown",W1156&lt;&gt;"Low"),"Unknown must be Low confidence",IF(AND(OR(K1156="Backend",K1156="SAP"),N1156=""),"Add HTTP status + endpoint",IF(AND(OR(K1156="Backend",K1156="SAP",K1156="Network"),P1156=""),"Add Correlation ID",IF(AND(I1156="Fail",T1156=""),"Write Root Cause / evidence gap",IF(AND(I1156="Fail",V1156=""),"Assign team","OK"))))))))</f>
        <v/>
      </c>
    </row>
    <row r="1157">
      <c r="A1157" s="5" t="n"/>
      <c r="B1157" s="5" t="n"/>
      <c r="C1157" s="5" t="n"/>
      <c r="D1157" s="5" t="n"/>
      <c r="E1157" s="5" t="n"/>
      <c r="F1157" s="5" t="n"/>
      <c r="G1157" s="5" t="n"/>
      <c r="H1157" s="5" t="n"/>
      <c r="I1157" s="5" t="n"/>
      <c r="J1157" s="5" t="n"/>
      <c r="K1157" s="5" t="n"/>
      <c r="L1157" s="5" t="n"/>
      <c r="M1157" s="5" t="n"/>
      <c r="N1157" s="5" t="n"/>
      <c r="O1157" s="5" t="n"/>
      <c r="P1157" s="5" t="n"/>
      <c r="Q1157" s="5" t="n"/>
      <c r="R1157" s="5" t="n"/>
      <c r="S1157" s="5" t="n"/>
      <c r="T1157" s="5" t="n"/>
      <c r="U1157" s="5" t="n"/>
      <c r="V1157" s="5" t="n"/>
      <c r="W1157" s="5" t="n"/>
      <c r="X1157" s="5" t="n"/>
      <c r="Y1157" s="5">
        <f>IF(I1157="","",IF(AND(I1157="Fail",K1157=""),"Classify Issue Source",IF(AND(I1157="Fail",W1157=""),"Set Confidence",IF(AND(K1157="Unknown",W1157&lt;&gt;"Low"),"Unknown must be Low confidence",IF(AND(OR(K1157="Backend",K1157="SAP"),N1157=""),"Add HTTP status + endpoint",IF(AND(OR(K1157="Backend",K1157="SAP",K1157="Network"),P1157=""),"Add Correlation ID",IF(AND(I1157="Fail",T1157=""),"Write Root Cause / evidence gap",IF(AND(I1157="Fail",V1157=""),"Assign team","OK"))))))))</f>
        <v/>
      </c>
    </row>
    <row r="1158">
      <c r="A1158" s="5" t="n"/>
      <c r="B1158" s="5" t="n"/>
      <c r="C1158" s="5" t="n"/>
      <c r="D1158" s="5" t="n"/>
      <c r="E1158" s="5" t="n"/>
      <c r="F1158" s="5" t="n"/>
      <c r="G1158" s="5" t="n"/>
      <c r="H1158" s="5" t="n"/>
      <c r="I1158" s="5" t="n"/>
      <c r="J1158" s="5" t="n"/>
      <c r="K1158" s="5" t="n"/>
      <c r="L1158" s="5" t="n"/>
      <c r="M1158" s="5" t="n"/>
      <c r="N1158" s="5" t="n"/>
      <c r="O1158" s="5" t="n"/>
      <c r="P1158" s="5" t="n"/>
      <c r="Q1158" s="5" t="n"/>
      <c r="R1158" s="5" t="n"/>
      <c r="S1158" s="5" t="n"/>
      <c r="T1158" s="5" t="n"/>
      <c r="U1158" s="5" t="n"/>
      <c r="V1158" s="5" t="n"/>
      <c r="W1158" s="5" t="n"/>
      <c r="X1158" s="5" t="n"/>
      <c r="Y1158" s="5">
        <f>IF(I1158="","",IF(AND(I1158="Fail",K1158=""),"Classify Issue Source",IF(AND(I1158="Fail",W1158=""),"Set Confidence",IF(AND(K1158="Unknown",W1158&lt;&gt;"Low"),"Unknown must be Low confidence",IF(AND(OR(K1158="Backend",K1158="SAP"),N1158=""),"Add HTTP status + endpoint",IF(AND(OR(K1158="Backend",K1158="SAP",K1158="Network"),P1158=""),"Add Correlation ID",IF(AND(I1158="Fail",T1158=""),"Write Root Cause / evidence gap",IF(AND(I1158="Fail",V1158=""),"Assign team","OK"))))))))</f>
        <v/>
      </c>
    </row>
    <row r="1159">
      <c r="A1159" s="5" t="n"/>
      <c r="B1159" s="5" t="n"/>
      <c r="C1159" s="5" t="n"/>
      <c r="D1159" s="5" t="n"/>
      <c r="E1159" s="5" t="n"/>
      <c r="F1159" s="5" t="n"/>
      <c r="G1159" s="5" t="n"/>
      <c r="H1159" s="5" t="n"/>
      <c r="I1159" s="5" t="n"/>
      <c r="J1159" s="5" t="n"/>
      <c r="K1159" s="5" t="n"/>
      <c r="L1159" s="5" t="n"/>
      <c r="M1159" s="5" t="n"/>
      <c r="N1159" s="5" t="n"/>
      <c r="O1159" s="5" t="n"/>
      <c r="P1159" s="5" t="n"/>
      <c r="Q1159" s="5" t="n"/>
      <c r="R1159" s="5" t="n"/>
      <c r="S1159" s="5" t="n"/>
      <c r="T1159" s="5" t="n"/>
      <c r="U1159" s="5" t="n"/>
      <c r="V1159" s="5" t="n"/>
      <c r="W1159" s="5" t="n"/>
      <c r="X1159" s="5" t="n"/>
      <c r="Y1159" s="5">
        <f>IF(I1159="","",IF(AND(I1159="Fail",K1159=""),"Classify Issue Source",IF(AND(I1159="Fail",W1159=""),"Set Confidence",IF(AND(K1159="Unknown",W1159&lt;&gt;"Low"),"Unknown must be Low confidence",IF(AND(OR(K1159="Backend",K1159="SAP"),N1159=""),"Add HTTP status + endpoint",IF(AND(OR(K1159="Backend",K1159="SAP",K1159="Network"),P1159=""),"Add Correlation ID",IF(AND(I1159="Fail",T1159=""),"Write Root Cause / evidence gap",IF(AND(I1159="Fail",V1159=""),"Assign team","OK"))))))))</f>
        <v/>
      </c>
    </row>
    <row r="1160">
      <c r="A1160" s="5" t="n"/>
      <c r="B1160" s="5" t="n"/>
      <c r="C1160" s="5" t="n"/>
      <c r="D1160" s="5" t="n"/>
      <c r="E1160" s="5" t="n"/>
      <c r="F1160" s="5" t="n"/>
      <c r="G1160" s="5" t="n"/>
      <c r="H1160" s="5" t="n"/>
      <c r="I1160" s="5" t="n"/>
      <c r="J1160" s="5" t="n"/>
      <c r="K1160" s="5" t="n"/>
      <c r="L1160" s="5" t="n"/>
      <c r="M1160" s="5" t="n"/>
      <c r="N1160" s="5" t="n"/>
      <c r="O1160" s="5" t="n"/>
      <c r="P1160" s="5" t="n"/>
      <c r="Q1160" s="5" t="n"/>
      <c r="R1160" s="5" t="n"/>
      <c r="S1160" s="5" t="n"/>
      <c r="T1160" s="5" t="n"/>
      <c r="U1160" s="5" t="n"/>
      <c r="V1160" s="5" t="n"/>
      <c r="W1160" s="5" t="n"/>
      <c r="X1160" s="5" t="n"/>
      <c r="Y1160" s="5">
        <f>IF(I1160="","",IF(AND(I1160="Fail",K1160=""),"Classify Issue Source",IF(AND(I1160="Fail",W1160=""),"Set Confidence",IF(AND(K1160="Unknown",W1160&lt;&gt;"Low"),"Unknown must be Low confidence",IF(AND(OR(K1160="Backend",K1160="SAP"),N1160=""),"Add HTTP status + endpoint",IF(AND(OR(K1160="Backend",K1160="SAP",K1160="Network"),P1160=""),"Add Correlation ID",IF(AND(I1160="Fail",T1160=""),"Write Root Cause / evidence gap",IF(AND(I1160="Fail",V1160=""),"Assign team","OK"))))))))</f>
        <v/>
      </c>
    </row>
    <row r="1161">
      <c r="A1161" s="5" t="n"/>
      <c r="B1161" s="5" t="n"/>
      <c r="C1161" s="5" t="n"/>
      <c r="D1161" s="5" t="n"/>
      <c r="E1161" s="5" t="n"/>
      <c r="F1161" s="5" t="n"/>
      <c r="G1161" s="5" t="n"/>
      <c r="H1161" s="5" t="n"/>
      <c r="I1161" s="5" t="n"/>
      <c r="J1161" s="5" t="n"/>
      <c r="K1161" s="5" t="n"/>
      <c r="L1161" s="5" t="n"/>
      <c r="M1161" s="5" t="n"/>
      <c r="N1161" s="5" t="n"/>
      <c r="O1161" s="5" t="n"/>
      <c r="P1161" s="5" t="n"/>
      <c r="Q1161" s="5" t="n"/>
      <c r="R1161" s="5" t="n"/>
      <c r="S1161" s="5" t="n"/>
      <c r="T1161" s="5" t="n"/>
      <c r="U1161" s="5" t="n"/>
      <c r="V1161" s="5" t="n"/>
      <c r="W1161" s="5" t="n"/>
      <c r="X1161" s="5" t="n"/>
      <c r="Y1161" s="5">
        <f>IF(I1161="","",IF(AND(I1161="Fail",K1161=""),"Classify Issue Source",IF(AND(I1161="Fail",W1161=""),"Set Confidence",IF(AND(K1161="Unknown",W1161&lt;&gt;"Low"),"Unknown must be Low confidence",IF(AND(OR(K1161="Backend",K1161="SAP"),N1161=""),"Add HTTP status + endpoint",IF(AND(OR(K1161="Backend",K1161="SAP",K1161="Network"),P1161=""),"Add Correlation ID",IF(AND(I1161="Fail",T1161=""),"Write Root Cause / evidence gap",IF(AND(I1161="Fail",V1161=""),"Assign team","OK"))))))))</f>
        <v/>
      </c>
    </row>
    <row r="1162">
      <c r="A1162" s="5" t="n"/>
      <c r="B1162" s="5" t="n"/>
      <c r="C1162" s="5" t="n"/>
      <c r="D1162" s="5" t="n"/>
      <c r="E1162" s="5" t="n"/>
      <c r="F1162" s="5" t="n"/>
      <c r="G1162" s="5" t="n"/>
      <c r="H1162" s="5" t="n"/>
      <c r="I1162" s="5" t="n"/>
      <c r="J1162" s="5" t="n"/>
      <c r="K1162" s="5" t="n"/>
      <c r="L1162" s="5" t="n"/>
      <c r="M1162" s="5" t="n"/>
      <c r="N1162" s="5" t="n"/>
      <c r="O1162" s="5" t="n"/>
      <c r="P1162" s="5" t="n"/>
      <c r="Q1162" s="5" t="n"/>
      <c r="R1162" s="5" t="n"/>
      <c r="S1162" s="5" t="n"/>
      <c r="T1162" s="5" t="n"/>
      <c r="U1162" s="5" t="n"/>
      <c r="V1162" s="5" t="n"/>
      <c r="W1162" s="5" t="n"/>
      <c r="X1162" s="5" t="n"/>
      <c r="Y1162" s="5">
        <f>IF(I1162="","",IF(AND(I1162="Fail",K1162=""),"Classify Issue Source",IF(AND(I1162="Fail",W1162=""),"Set Confidence",IF(AND(K1162="Unknown",W1162&lt;&gt;"Low"),"Unknown must be Low confidence",IF(AND(OR(K1162="Backend",K1162="SAP"),N1162=""),"Add HTTP status + endpoint",IF(AND(OR(K1162="Backend",K1162="SAP",K1162="Network"),P1162=""),"Add Correlation ID",IF(AND(I1162="Fail",T1162=""),"Write Root Cause / evidence gap",IF(AND(I1162="Fail",V1162=""),"Assign team","OK"))))))))</f>
        <v/>
      </c>
    </row>
    <row r="1163">
      <c r="A1163" s="5" t="n"/>
      <c r="B1163" s="5" t="n"/>
      <c r="C1163" s="5" t="n"/>
      <c r="D1163" s="5" t="n"/>
      <c r="E1163" s="5" t="n"/>
      <c r="F1163" s="5" t="n"/>
      <c r="G1163" s="5" t="n"/>
      <c r="H1163" s="5" t="n"/>
      <c r="I1163" s="5" t="n"/>
      <c r="J1163" s="5" t="n"/>
      <c r="K1163" s="5" t="n"/>
      <c r="L1163" s="5" t="n"/>
      <c r="M1163" s="5" t="n"/>
      <c r="N1163" s="5" t="n"/>
      <c r="O1163" s="5" t="n"/>
      <c r="P1163" s="5" t="n"/>
      <c r="Q1163" s="5" t="n"/>
      <c r="R1163" s="5" t="n"/>
      <c r="S1163" s="5" t="n"/>
      <c r="T1163" s="5" t="n"/>
      <c r="U1163" s="5" t="n"/>
      <c r="V1163" s="5" t="n"/>
      <c r="W1163" s="5" t="n"/>
      <c r="X1163" s="5" t="n"/>
      <c r="Y1163" s="5">
        <f>IF(I1163="","",IF(AND(I1163="Fail",K1163=""),"Classify Issue Source",IF(AND(I1163="Fail",W1163=""),"Set Confidence",IF(AND(K1163="Unknown",W1163&lt;&gt;"Low"),"Unknown must be Low confidence",IF(AND(OR(K1163="Backend",K1163="SAP"),N1163=""),"Add HTTP status + endpoint",IF(AND(OR(K1163="Backend",K1163="SAP",K1163="Network"),P1163=""),"Add Correlation ID",IF(AND(I1163="Fail",T1163=""),"Write Root Cause / evidence gap",IF(AND(I1163="Fail",V1163=""),"Assign team","OK"))))))))</f>
        <v/>
      </c>
    </row>
    <row r="1164">
      <c r="A1164" s="5" t="n"/>
      <c r="B1164" s="5" t="n"/>
      <c r="C1164" s="5" t="n"/>
      <c r="D1164" s="5" t="n"/>
      <c r="E1164" s="5" t="n"/>
      <c r="F1164" s="5" t="n"/>
      <c r="G1164" s="5" t="n"/>
      <c r="H1164" s="5" t="n"/>
      <c r="I1164" s="5" t="n"/>
      <c r="J1164" s="5" t="n"/>
      <c r="K1164" s="5" t="n"/>
      <c r="L1164" s="5" t="n"/>
      <c r="M1164" s="5" t="n"/>
      <c r="N1164" s="5" t="n"/>
      <c r="O1164" s="5" t="n"/>
      <c r="P1164" s="5" t="n"/>
      <c r="Q1164" s="5" t="n"/>
      <c r="R1164" s="5" t="n"/>
      <c r="S1164" s="5" t="n"/>
      <c r="T1164" s="5" t="n"/>
      <c r="U1164" s="5" t="n"/>
      <c r="V1164" s="5" t="n"/>
      <c r="W1164" s="5" t="n"/>
      <c r="X1164" s="5" t="n"/>
      <c r="Y1164" s="5">
        <f>IF(I1164="","",IF(AND(I1164="Fail",K1164=""),"Classify Issue Source",IF(AND(I1164="Fail",W1164=""),"Set Confidence",IF(AND(K1164="Unknown",W1164&lt;&gt;"Low"),"Unknown must be Low confidence",IF(AND(OR(K1164="Backend",K1164="SAP"),N1164=""),"Add HTTP status + endpoint",IF(AND(OR(K1164="Backend",K1164="SAP",K1164="Network"),P1164=""),"Add Correlation ID",IF(AND(I1164="Fail",T1164=""),"Write Root Cause / evidence gap",IF(AND(I1164="Fail",V1164=""),"Assign team","OK"))))))))</f>
        <v/>
      </c>
    </row>
    <row r="1165">
      <c r="A1165" s="5" t="n"/>
      <c r="B1165" s="5" t="n"/>
      <c r="C1165" s="5" t="n"/>
      <c r="D1165" s="5" t="n"/>
      <c r="E1165" s="5" t="n"/>
      <c r="F1165" s="5" t="n"/>
      <c r="G1165" s="5" t="n"/>
      <c r="H1165" s="5" t="n"/>
      <c r="I1165" s="5" t="n"/>
      <c r="J1165" s="5" t="n"/>
      <c r="K1165" s="5" t="n"/>
      <c r="L1165" s="5" t="n"/>
      <c r="M1165" s="5" t="n"/>
      <c r="N1165" s="5" t="n"/>
      <c r="O1165" s="5" t="n"/>
      <c r="P1165" s="5" t="n"/>
      <c r="Q1165" s="5" t="n"/>
      <c r="R1165" s="5" t="n"/>
      <c r="S1165" s="5" t="n"/>
      <c r="T1165" s="5" t="n"/>
      <c r="U1165" s="5" t="n"/>
      <c r="V1165" s="5" t="n"/>
      <c r="W1165" s="5" t="n"/>
      <c r="X1165" s="5" t="n"/>
      <c r="Y1165" s="5">
        <f>IF(I1165="","",IF(AND(I1165="Fail",K1165=""),"Classify Issue Source",IF(AND(I1165="Fail",W1165=""),"Set Confidence",IF(AND(K1165="Unknown",W1165&lt;&gt;"Low"),"Unknown must be Low confidence",IF(AND(OR(K1165="Backend",K1165="SAP"),N1165=""),"Add HTTP status + endpoint",IF(AND(OR(K1165="Backend",K1165="SAP",K1165="Network"),P1165=""),"Add Correlation ID",IF(AND(I1165="Fail",T1165=""),"Write Root Cause / evidence gap",IF(AND(I1165="Fail",V1165=""),"Assign team","OK"))))))))</f>
        <v/>
      </c>
    </row>
    <row r="1166">
      <c r="A1166" s="5" t="n"/>
      <c r="B1166" s="5" t="n"/>
      <c r="C1166" s="5" t="n"/>
      <c r="D1166" s="5" t="n"/>
      <c r="E1166" s="5" t="n"/>
      <c r="F1166" s="5" t="n"/>
      <c r="G1166" s="5" t="n"/>
      <c r="H1166" s="5" t="n"/>
      <c r="I1166" s="5" t="n"/>
      <c r="J1166" s="5" t="n"/>
      <c r="K1166" s="5" t="n"/>
      <c r="L1166" s="5" t="n"/>
      <c r="M1166" s="5" t="n"/>
      <c r="N1166" s="5" t="n"/>
      <c r="O1166" s="5" t="n"/>
      <c r="P1166" s="5" t="n"/>
      <c r="Q1166" s="5" t="n"/>
      <c r="R1166" s="5" t="n"/>
      <c r="S1166" s="5" t="n"/>
      <c r="T1166" s="5" t="n"/>
      <c r="U1166" s="5" t="n"/>
      <c r="V1166" s="5" t="n"/>
      <c r="W1166" s="5" t="n"/>
      <c r="X1166" s="5" t="n"/>
      <c r="Y1166" s="5">
        <f>IF(I1166="","",IF(AND(I1166="Fail",K1166=""),"Classify Issue Source",IF(AND(I1166="Fail",W1166=""),"Set Confidence",IF(AND(K1166="Unknown",W1166&lt;&gt;"Low"),"Unknown must be Low confidence",IF(AND(OR(K1166="Backend",K1166="SAP"),N1166=""),"Add HTTP status + endpoint",IF(AND(OR(K1166="Backend",K1166="SAP",K1166="Network"),P1166=""),"Add Correlation ID",IF(AND(I1166="Fail",T1166=""),"Write Root Cause / evidence gap",IF(AND(I1166="Fail",V1166=""),"Assign team","OK"))))))))</f>
        <v/>
      </c>
    </row>
    <row r="1167">
      <c r="A1167" s="5" t="n"/>
      <c r="B1167" s="5" t="n"/>
      <c r="C1167" s="5" t="n"/>
      <c r="D1167" s="5" t="n"/>
      <c r="E1167" s="5" t="n"/>
      <c r="F1167" s="5" t="n"/>
      <c r="G1167" s="5" t="n"/>
      <c r="H1167" s="5" t="n"/>
      <c r="I1167" s="5" t="n"/>
      <c r="J1167" s="5" t="n"/>
      <c r="K1167" s="5" t="n"/>
      <c r="L1167" s="5" t="n"/>
      <c r="M1167" s="5" t="n"/>
      <c r="N1167" s="5" t="n"/>
      <c r="O1167" s="5" t="n"/>
      <c r="P1167" s="5" t="n"/>
      <c r="Q1167" s="5" t="n"/>
      <c r="R1167" s="5" t="n"/>
      <c r="S1167" s="5" t="n"/>
      <c r="T1167" s="5" t="n"/>
      <c r="U1167" s="5" t="n"/>
      <c r="V1167" s="5" t="n"/>
      <c r="W1167" s="5" t="n"/>
      <c r="X1167" s="5" t="n"/>
      <c r="Y1167" s="5">
        <f>IF(I1167="","",IF(AND(I1167="Fail",K1167=""),"Classify Issue Source",IF(AND(I1167="Fail",W1167=""),"Set Confidence",IF(AND(K1167="Unknown",W1167&lt;&gt;"Low"),"Unknown must be Low confidence",IF(AND(OR(K1167="Backend",K1167="SAP"),N1167=""),"Add HTTP status + endpoint",IF(AND(OR(K1167="Backend",K1167="SAP",K1167="Network"),P1167=""),"Add Correlation ID",IF(AND(I1167="Fail",T1167=""),"Write Root Cause / evidence gap",IF(AND(I1167="Fail",V1167=""),"Assign team","OK"))))))))</f>
        <v/>
      </c>
    </row>
    <row r="1168">
      <c r="A1168" s="5" t="n"/>
      <c r="B1168" s="5" t="n"/>
      <c r="C1168" s="5" t="n"/>
      <c r="D1168" s="5" t="n"/>
      <c r="E1168" s="5" t="n"/>
      <c r="F1168" s="5" t="n"/>
      <c r="G1168" s="5" t="n"/>
      <c r="H1168" s="5" t="n"/>
      <c r="I1168" s="5" t="n"/>
      <c r="J1168" s="5" t="n"/>
      <c r="K1168" s="5" t="n"/>
      <c r="L1168" s="5" t="n"/>
      <c r="M1168" s="5" t="n"/>
      <c r="N1168" s="5" t="n"/>
      <c r="O1168" s="5" t="n"/>
      <c r="P1168" s="5" t="n"/>
      <c r="Q1168" s="5" t="n"/>
      <c r="R1168" s="5" t="n"/>
      <c r="S1168" s="5" t="n"/>
      <c r="T1168" s="5" t="n"/>
      <c r="U1168" s="5" t="n"/>
      <c r="V1168" s="5" t="n"/>
      <c r="W1168" s="5" t="n"/>
      <c r="X1168" s="5" t="n"/>
      <c r="Y1168" s="5">
        <f>IF(I1168="","",IF(AND(I1168="Fail",K1168=""),"Classify Issue Source",IF(AND(I1168="Fail",W1168=""),"Set Confidence",IF(AND(K1168="Unknown",W1168&lt;&gt;"Low"),"Unknown must be Low confidence",IF(AND(OR(K1168="Backend",K1168="SAP"),N1168=""),"Add HTTP status + endpoint",IF(AND(OR(K1168="Backend",K1168="SAP",K1168="Network"),P1168=""),"Add Correlation ID",IF(AND(I1168="Fail",T1168=""),"Write Root Cause / evidence gap",IF(AND(I1168="Fail",V1168=""),"Assign team","OK"))))))))</f>
        <v/>
      </c>
    </row>
    <row r="1169">
      <c r="A1169" s="5" t="n"/>
      <c r="B1169" s="5" t="n"/>
      <c r="C1169" s="5" t="n"/>
      <c r="D1169" s="5" t="n"/>
      <c r="E1169" s="5" t="n"/>
      <c r="F1169" s="5" t="n"/>
      <c r="G1169" s="5" t="n"/>
      <c r="H1169" s="5" t="n"/>
      <c r="I1169" s="5" t="n"/>
      <c r="J1169" s="5" t="n"/>
      <c r="K1169" s="5" t="n"/>
      <c r="L1169" s="5" t="n"/>
      <c r="M1169" s="5" t="n"/>
      <c r="N1169" s="5" t="n"/>
      <c r="O1169" s="5" t="n"/>
      <c r="P1169" s="5" t="n"/>
      <c r="Q1169" s="5" t="n"/>
      <c r="R1169" s="5" t="n"/>
      <c r="S1169" s="5" t="n"/>
      <c r="T1169" s="5" t="n"/>
      <c r="U1169" s="5" t="n"/>
      <c r="V1169" s="5" t="n"/>
      <c r="W1169" s="5" t="n"/>
      <c r="X1169" s="5" t="n"/>
      <c r="Y1169" s="5">
        <f>IF(I1169="","",IF(AND(I1169="Fail",K1169=""),"Classify Issue Source",IF(AND(I1169="Fail",W1169=""),"Set Confidence",IF(AND(K1169="Unknown",W1169&lt;&gt;"Low"),"Unknown must be Low confidence",IF(AND(OR(K1169="Backend",K1169="SAP"),N1169=""),"Add HTTP status + endpoint",IF(AND(OR(K1169="Backend",K1169="SAP",K1169="Network"),P1169=""),"Add Correlation ID",IF(AND(I1169="Fail",T1169=""),"Write Root Cause / evidence gap",IF(AND(I1169="Fail",V1169=""),"Assign team","OK"))))))))</f>
        <v/>
      </c>
    </row>
    <row r="1170">
      <c r="A1170" s="5" t="n"/>
      <c r="B1170" s="5" t="n"/>
      <c r="C1170" s="5" t="n"/>
      <c r="D1170" s="5" t="n"/>
      <c r="E1170" s="5" t="n"/>
      <c r="F1170" s="5" t="n"/>
      <c r="G1170" s="5" t="n"/>
      <c r="H1170" s="5" t="n"/>
      <c r="I1170" s="5" t="n"/>
      <c r="J1170" s="5" t="n"/>
      <c r="K1170" s="5" t="n"/>
      <c r="L1170" s="5" t="n"/>
      <c r="M1170" s="5" t="n"/>
      <c r="N1170" s="5" t="n"/>
      <c r="O1170" s="5" t="n"/>
      <c r="P1170" s="5" t="n"/>
      <c r="Q1170" s="5" t="n"/>
      <c r="R1170" s="5" t="n"/>
      <c r="S1170" s="5" t="n"/>
      <c r="T1170" s="5" t="n"/>
      <c r="U1170" s="5" t="n"/>
      <c r="V1170" s="5" t="n"/>
      <c r="W1170" s="5" t="n"/>
      <c r="X1170" s="5" t="n"/>
      <c r="Y1170" s="5">
        <f>IF(I1170="","",IF(AND(I1170="Fail",K1170=""),"Classify Issue Source",IF(AND(I1170="Fail",W1170=""),"Set Confidence",IF(AND(K1170="Unknown",W1170&lt;&gt;"Low"),"Unknown must be Low confidence",IF(AND(OR(K1170="Backend",K1170="SAP"),N1170=""),"Add HTTP status + endpoint",IF(AND(OR(K1170="Backend",K1170="SAP",K1170="Network"),P1170=""),"Add Correlation ID",IF(AND(I1170="Fail",T1170=""),"Write Root Cause / evidence gap",IF(AND(I1170="Fail",V1170=""),"Assign team","OK"))))))))</f>
        <v/>
      </c>
    </row>
    <row r="1171">
      <c r="A1171" s="5" t="n"/>
      <c r="B1171" s="5" t="n"/>
      <c r="C1171" s="5" t="n"/>
      <c r="D1171" s="5" t="n"/>
      <c r="E1171" s="5" t="n"/>
      <c r="F1171" s="5" t="n"/>
      <c r="G1171" s="5" t="n"/>
      <c r="H1171" s="5" t="n"/>
      <c r="I1171" s="5" t="n"/>
      <c r="J1171" s="5" t="n"/>
      <c r="K1171" s="5" t="n"/>
      <c r="L1171" s="5" t="n"/>
      <c r="M1171" s="5" t="n"/>
      <c r="N1171" s="5" t="n"/>
      <c r="O1171" s="5" t="n"/>
      <c r="P1171" s="5" t="n"/>
      <c r="Q1171" s="5" t="n"/>
      <c r="R1171" s="5" t="n"/>
      <c r="S1171" s="5" t="n"/>
      <c r="T1171" s="5" t="n"/>
      <c r="U1171" s="5" t="n"/>
      <c r="V1171" s="5" t="n"/>
      <c r="W1171" s="5" t="n"/>
      <c r="X1171" s="5" t="n"/>
      <c r="Y1171" s="5">
        <f>IF(I1171="","",IF(AND(I1171="Fail",K1171=""),"Classify Issue Source",IF(AND(I1171="Fail",W1171=""),"Set Confidence",IF(AND(K1171="Unknown",W1171&lt;&gt;"Low"),"Unknown must be Low confidence",IF(AND(OR(K1171="Backend",K1171="SAP"),N1171=""),"Add HTTP status + endpoint",IF(AND(OR(K1171="Backend",K1171="SAP",K1171="Network"),P1171=""),"Add Correlation ID",IF(AND(I1171="Fail",T1171=""),"Write Root Cause / evidence gap",IF(AND(I1171="Fail",V1171=""),"Assign team","OK"))))))))</f>
        <v/>
      </c>
    </row>
    <row r="1172">
      <c r="A1172" s="5" t="n"/>
      <c r="B1172" s="5" t="n"/>
      <c r="C1172" s="5" t="n"/>
      <c r="D1172" s="5" t="n"/>
      <c r="E1172" s="5" t="n"/>
      <c r="F1172" s="5" t="n"/>
      <c r="G1172" s="5" t="n"/>
      <c r="H1172" s="5" t="n"/>
      <c r="I1172" s="5" t="n"/>
      <c r="J1172" s="5" t="n"/>
      <c r="K1172" s="5" t="n"/>
      <c r="L1172" s="5" t="n"/>
      <c r="M1172" s="5" t="n"/>
      <c r="N1172" s="5" t="n"/>
      <c r="O1172" s="5" t="n"/>
      <c r="P1172" s="5" t="n"/>
      <c r="Q1172" s="5" t="n"/>
      <c r="R1172" s="5" t="n"/>
      <c r="S1172" s="5" t="n"/>
      <c r="T1172" s="5" t="n"/>
      <c r="U1172" s="5" t="n"/>
      <c r="V1172" s="5" t="n"/>
      <c r="W1172" s="5" t="n"/>
      <c r="X1172" s="5" t="n"/>
      <c r="Y1172" s="5">
        <f>IF(I1172="","",IF(AND(I1172="Fail",K1172=""),"Classify Issue Source",IF(AND(I1172="Fail",W1172=""),"Set Confidence",IF(AND(K1172="Unknown",W1172&lt;&gt;"Low"),"Unknown must be Low confidence",IF(AND(OR(K1172="Backend",K1172="SAP"),N1172=""),"Add HTTP status + endpoint",IF(AND(OR(K1172="Backend",K1172="SAP",K1172="Network"),P1172=""),"Add Correlation ID",IF(AND(I1172="Fail",T1172=""),"Write Root Cause / evidence gap",IF(AND(I1172="Fail",V1172=""),"Assign team","OK"))))))))</f>
        <v/>
      </c>
    </row>
    <row r="1173">
      <c r="A1173" s="5" t="n"/>
      <c r="B1173" s="5" t="n"/>
      <c r="C1173" s="5" t="n"/>
      <c r="D1173" s="5" t="n"/>
      <c r="E1173" s="5" t="n"/>
      <c r="F1173" s="5" t="n"/>
      <c r="G1173" s="5" t="n"/>
      <c r="H1173" s="5" t="n"/>
      <c r="I1173" s="5" t="n"/>
      <c r="J1173" s="5" t="n"/>
      <c r="K1173" s="5" t="n"/>
      <c r="L1173" s="5" t="n"/>
      <c r="M1173" s="5" t="n"/>
      <c r="N1173" s="5" t="n"/>
      <c r="O1173" s="5" t="n"/>
      <c r="P1173" s="5" t="n"/>
      <c r="Q1173" s="5" t="n"/>
      <c r="R1173" s="5" t="n"/>
      <c r="S1173" s="5" t="n"/>
      <c r="T1173" s="5" t="n"/>
      <c r="U1173" s="5" t="n"/>
      <c r="V1173" s="5" t="n"/>
      <c r="W1173" s="5" t="n"/>
      <c r="X1173" s="5" t="n"/>
      <c r="Y1173" s="5">
        <f>IF(I1173="","",IF(AND(I1173="Fail",K1173=""),"Classify Issue Source",IF(AND(I1173="Fail",W1173=""),"Set Confidence",IF(AND(K1173="Unknown",W1173&lt;&gt;"Low"),"Unknown must be Low confidence",IF(AND(OR(K1173="Backend",K1173="SAP"),N1173=""),"Add HTTP status + endpoint",IF(AND(OR(K1173="Backend",K1173="SAP",K1173="Network"),P1173=""),"Add Correlation ID",IF(AND(I1173="Fail",T1173=""),"Write Root Cause / evidence gap",IF(AND(I1173="Fail",V1173=""),"Assign team","OK"))))))))</f>
        <v/>
      </c>
    </row>
    <row r="1174">
      <c r="A1174" s="5" t="n"/>
      <c r="B1174" s="5" t="n"/>
      <c r="C1174" s="5" t="n"/>
      <c r="D1174" s="5" t="n"/>
      <c r="E1174" s="5" t="n"/>
      <c r="F1174" s="5" t="n"/>
      <c r="G1174" s="5" t="n"/>
      <c r="H1174" s="5" t="n"/>
      <c r="I1174" s="5" t="n"/>
      <c r="J1174" s="5" t="n"/>
      <c r="K1174" s="5" t="n"/>
      <c r="L1174" s="5" t="n"/>
      <c r="M1174" s="5" t="n"/>
      <c r="N1174" s="5" t="n"/>
      <c r="O1174" s="5" t="n"/>
      <c r="P1174" s="5" t="n"/>
      <c r="Q1174" s="5" t="n"/>
      <c r="R1174" s="5" t="n"/>
      <c r="S1174" s="5" t="n"/>
      <c r="T1174" s="5" t="n"/>
      <c r="U1174" s="5" t="n"/>
      <c r="V1174" s="5" t="n"/>
      <c r="W1174" s="5" t="n"/>
      <c r="X1174" s="5" t="n"/>
      <c r="Y1174" s="5">
        <f>IF(I1174="","",IF(AND(I1174="Fail",K1174=""),"Classify Issue Source",IF(AND(I1174="Fail",W1174=""),"Set Confidence",IF(AND(K1174="Unknown",W1174&lt;&gt;"Low"),"Unknown must be Low confidence",IF(AND(OR(K1174="Backend",K1174="SAP"),N1174=""),"Add HTTP status + endpoint",IF(AND(OR(K1174="Backend",K1174="SAP",K1174="Network"),P1174=""),"Add Correlation ID",IF(AND(I1174="Fail",T1174=""),"Write Root Cause / evidence gap",IF(AND(I1174="Fail",V1174=""),"Assign team","OK"))))))))</f>
        <v/>
      </c>
    </row>
    <row r="1175">
      <c r="A1175" s="5" t="n"/>
      <c r="B1175" s="5" t="n"/>
      <c r="C1175" s="5" t="n"/>
      <c r="D1175" s="5" t="n"/>
      <c r="E1175" s="5" t="n"/>
      <c r="F1175" s="5" t="n"/>
      <c r="G1175" s="5" t="n"/>
      <c r="H1175" s="5" t="n"/>
      <c r="I1175" s="5" t="n"/>
      <c r="J1175" s="5" t="n"/>
      <c r="K1175" s="5" t="n"/>
      <c r="L1175" s="5" t="n"/>
      <c r="M1175" s="5" t="n"/>
      <c r="N1175" s="5" t="n"/>
      <c r="O1175" s="5" t="n"/>
      <c r="P1175" s="5" t="n"/>
      <c r="Q1175" s="5" t="n"/>
      <c r="R1175" s="5" t="n"/>
      <c r="S1175" s="5" t="n"/>
      <c r="T1175" s="5" t="n"/>
      <c r="U1175" s="5" t="n"/>
      <c r="V1175" s="5" t="n"/>
      <c r="W1175" s="5" t="n"/>
      <c r="X1175" s="5" t="n"/>
      <c r="Y1175" s="5">
        <f>IF(I1175="","",IF(AND(I1175="Fail",K1175=""),"Classify Issue Source",IF(AND(I1175="Fail",W1175=""),"Set Confidence",IF(AND(K1175="Unknown",W1175&lt;&gt;"Low"),"Unknown must be Low confidence",IF(AND(OR(K1175="Backend",K1175="SAP"),N1175=""),"Add HTTP status + endpoint",IF(AND(OR(K1175="Backend",K1175="SAP",K1175="Network"),P1175=""),"Add Correlation ID",IF(AND(I1175="Fail",T1175=""),"Write Root Cause / evidence gap",IF(AND(I1175="Fail",V1175=""),"Assign team","OK"))))))))</f>
        <v/>
      </c>
    </row>
    <row r="1176">
      <c r="A1176" s="5" t="n"/>
      <c r="B1176" s="5" t="n"/>
      <c r="C1176" s="5" t="n"/>
      <c r="D1176" s="5" t="n"/>
      <c r="E1176" s="5" t="n"/>
      <c r="F1176" s="5" t="n"/>
      <c r="G1176" s="5" t="n"/>
      <c r="H1176" s="5" t="n"/>
      <c r="I1176" s="5" t="n"/>
      <c r="J1176" s="5" t="n"/>
      <c r="K1176" s="5" t="n"/>
      <c r="L1176" s="5" t="n"/>
      <c r="M1176" s="5" t="n"/>
      <c r="N1176" s="5" t="n"/>
      <c r="O1176" s="5" t="n"/>
      <c r="P1176" s="5" t="n"/>
      <c r="Q1176" s="5" t="n"/>
      <c r="R1176" s="5" t="n"/>
      <c r="S1176" s="5" t="n"/>
      <c r="T1176" s="5" t="n"/>
      <c r="U1176" s="5" t="n"/>
      <c r="V1176" s="5" t="n"/>
      <c r="W1176" s="5" t="n"/>
      <c r="X1176" s="5" t="n"/>
      <c r="Y1176" s="5">
        <f>IF(I1176="","",IF(AND(I1176="Fail",K1176=""),"Classify Issue Source",IF(AND(I1176="Fail",W1176=""),"Set Confidence",IF(AND(K1176="Unknown",W1176&lt;&gt;"Low"),"Unknown must be Low confidence",IF(AND(OR(K1176="Backend",K1176="SAP"),N1176=""),"Add HTTP status + endpoint",IF(AND(OR(K1176="Backend",K1176="SAP",K1176="Network"),P1176=""),"Add Correlation ID",IF(AND(I1176="Fail",T1176=""),"Write Root Cause / evidence gap",IF(AND(I1176="Fail",V1176=""),"Assign team","OK"))))))))</f>
        <v/>
      </c>
    </row>
    <row r="1177">
      <c r="A1177" s="5" t="n"/>
      <c r="B1177" s="5" t="n"/>
      <c r="C1177" s="5" t="n"/>
      <c r="D1177" s="5" t="n"/>
      <c r="E1177" s="5" t="n"/>
      <c r="F1177" s="5" t="n"/>
      <c r="G1177" s="5" t="n"/>
      <c r="H1177" s="5" t="n"/>
      <c r="I1177" s="5" t="n"/>
      <c r="J1177" s="5" t="n"/>
      <c r="K1177" s="5" t="n"/>
      <c r="L1177" s="5" t="n"/>
      <c r="M1177" s="5" t="n"/>
      <c r="N1177" s="5" t="n"/>
      <c r="O1177" s="5" t="n"/>
      <c r="P1177" s="5" t="n"/>
      <c r="Q1177" s="5" t="n"/>
      <c r="R1177" s="5" t="n"/>
      <c r="S1177" s="5" t="n"/>
      <c r="T1177" s="5" t="n"/>
      <c r="U1177" s="5" t="n"/>
      <c r="V1177" s="5" t="n"/>
      <c r="W1177" s="5" t="n"/>
      <c r="X1177" s="5" t="n"/>
      <c r="Y1177" s="5">
        <f>IF(I1177="","",IF(AND(I1177="Fail",K1177=""),"Classify Issue Source",IF(AND(I1177="Fail",W1177=""),"Set Confidence",IF(AND(K1177="Unknown",W1177&lt;&gt;"Low"),"Unknown must be Low confidence",IF(AND(OR(K1177="Backend",K1177="SAP"),N1177=""),"Add HTTP status + endpoint",IF(AND(OR(K1177="Backend",K1177="SAP",K1177="Network"),P1177=""),"Add Correlation ID",IF(AND(I1177="Fail",T1177=""),"Write Root Cause / evidence gap",IF(AND(I1177="Fail",V1177=""),"Assign team","OK"))))))))</f>
        <v/>
      </c>
    </row>
    <row r="1178">
      <c r="A1178" s="5" t="n"/>
      <c r="B1178" s="5" t="n"/>
      <c r="C1178" s="5" t="n"/>
      <c r="D1178" s="5" t="n"/>
      <c r="E1178" s="5" t="n"/>
      <c r="F1178" s="5" t="n"/>
      <c r="G1178" s="5" t="n"/>
      <c r="H1178" s="5" t="n"/>
      <c r="I1178" s="5" t="n"/>
      <c r="J1178" s="5" t="n"/>
      <c r="K1178" s="5" t="n"/>
      <c r="L1178" s="5" t="n"/>
      <c r="M1178" s="5" t="n"/>
      <c r="N1178" s="5" t="n"/>
      <c r="O1178" s="5" t="n"/>
      <c r="P1178" s="5" t="n"/>
      <c r="Q1178" s="5" t="n"/>
      <c r="R1178" s="5" t="n"/>
      <c r="S1178" s="5" t="n"/>
      <c r="T1178" s="5" t="n"/>
      <c r="U1178" s="5" t="n"/>
      <c r="V1178" s="5" t="n"/>
      <c r="W1178" s="5" t="n"/>
      <c r="X1178" s="5" t="n"/>
      <c r="Y1178" s="5">
        <f>IF(I1178="","",IF(AND(I1178="Fail",K1178=""),"Classify Issue Source",IF(AND(I1178="Fail",W1178=""),"Set Confidence",IF(AND(K1178="Unknown",W1178&lt;&gt;"Low"),"Unknown must be Low confidence",IF(AND(OR(K1178="Backend",K1178="SAP"),N1178=""),"Add HTTP status + endpoint",IF(AND(OR(K1178="Backend",K1178="SAP",K1178="Network"),P1178=""),"Add Correlation ID",IF(AND(I1178="Fail",T1178=""),"Write Root Cause / evidence gap",IF(AND(I1178="Fail",V1178=""),"Assign team","OK"))))))))</f>
        <v/>
      </c>
    </row>
    <row r="1179">
      <c r="A1179" s="5" t="n"/>
      <c r="B1179" s="5" t="n"/>
      <c r="C1179" s="5" t="n"/>
      <c r="D1179" s="5" t="n"/>
      <c r="E1179" s="5" t="n"/>
      <c r="F1179" s="5" t="n"/>
      <c r="G1179" s="5" t="n"/>
      <c r="H1179" s="5" t="n"/>
      <c r="I1179" s="5" t="n"/>
      <c r="J1179" s="5" t="n"/>
      <c r="K1179" s="5" t="n"/>
      <c r="L1179" s="5" t="n"/>
      <c r="M1179" s="5" t="n"/>
      <c r="N1179" s="5" t="n"/>
      <c r="O1179" s="5" t="n"/>
      <c r="P1179" s="5" t="n"/>
      <c r="Q1179" s="5" t="n"/>
      <c r="R1179" s="5" t="n"/>
      <c r="S1179" s="5" t="n"/>
      <c r="T1179" s="5" t="n"/>
      <c r="U1179" s="5" t="n"/>
      <c r="V1179" s="5" t="n"/>
      <c r="W1179" s="5" t="n"/>
      <c r="X1179" s="5" t="n"/>
      <c r="Y1179" s="5">
        <f>IF(I1179="","",IF(AND(I1179="Fail",K1179=""),"Classify Issue Source",IF(AND(I1179="Fail",W1179=""),"Set Confidence",IF(AND(K1179="Unknown",W1179&lt;&gt;"Low"),"Unknown must be Low confidence",IF(AND(OR(K1179="Backend",K1179="SAP"),N1179=""),"Add HTTP status + endpoint",IF(AND(OR(K1179="Backend",K1179="SAP",K1179="Network"),P1179=""),"Add Correlation ID",IF(AND(I1179="Fail",T1179=""),"Write Root Cause / evidence gap",IF(AND(I1179="Fail",V1179=""),"Assign team","OK"))))))))</f>
        <v/>
      </c>
    </row>
    <row r="1180">
      <c r="A1180" s="5" t="n"/>
      <c r="B1180" s="5" t="n"/>
      <c r="C1180" s="5" t="n"/>
      <c r="D1180" s="5" t="n"/>
      <c r="E1180" s="5" t="n"/>
      <c r="F1180" s="5" t="n"/>
      <c r="G1180" s="5" t="n"/>
      <c r="H1180" s="5" t="n"/>
      <c r="I1180" s="5" t="n"/>
      <c r="J1180" s="5" t="n"/>
      <c r="K1180" s="5" t="n"/>
      <c r="L1180" s="5" t="n"/>
      <c r="M1180" s="5" t="n"/>
      <c r="N1180" s="5" t="n"/>
      <c r="O1180" s="5" t="n"/>
      <c r="P1180" s="5" t="n"/>
      <c r="Q1180" s="5" t="n"/>
      <c r="R1180" s="5" t="n"/>
      <c r="S1180" s="5" t="n"/>
      <c r="T1180" s="5" t="n"/>
      <c r="U1180" s="5" t="n"/>
      <c r="V1180" s="5" t="n"/>
      <c r="W1180" s="5" t="n"/>
      <c r="X1180" s="5" t="n"/>
      <c r="Y1180" s="5">
        <f>IF(I1180="","",IF(AND(I1180="Fail",K1180=""),"Classify Issue Source",IF(AND(I1180="Fail",W1180=""),"Set Confidence",IF(AND(K1180="Unknown",W1180&lt;&gt;"Low"),"Unknown must be Low confidence",IF(AND(OR(K1180="Backend",K1180="SAP"),N1180=""),"Add HTTP status + endpoint",IF(AND(OR(K1180="Backend",K1180="SAP",K1180="Network"),P1180=""),"Add Correlation ID",IF(AND(I1180="Fail",T1180=""),"Write Root Cause / evidence gap",IF(AND(I1180="Fail",V1180=""),"Assign team","OK"))))))))</f>
        <v/>
      </c>
    </row>
    <row r="1181">
      <c r="A1181" s="5" t="n"/>
      <c r="B1181" s="5" t="n"/>
      <c r="C1181" s="5" t="n"/>
      <c r="D1181" s="5" t="n"/>
      <c r="E1181" s="5" t="n"/>
      <c r="F1181" s="5" t="n"/>
      <c r="G1181" s="5" t="n"/>
      <c r="H1181" s="5" t="n"/>
      <c r="I1181" s="5" t="n"/>
      <c r="J1181" s="5" t="n"/>
      <c r="K1181" s="5" t="n"/>
      <c r="L1181" s="5" t="n"/>
      <c r="M1181" s="5" t="n"/>
      <c r="N1181" s="5" t="n"/>
      <c r="O1181" s="5" t="n"/>
      <c r="P1181" s="5" t="n"/>
      <c r="Q1181" s="5" t="n"/>
      <c r="R1181" s="5" t="n"/>
      <c r="S1181" s="5" t="n"/>
      <c r="T1181" s="5" t="n"/>
      <c r="U1181" s="5" t="n"/>
      <c r="V1181" s="5" t="n"/>
      <c r="W1181" s="5" t="n"/>
      <c r="X1181" s="5" t="n"/>
      <c r="Y1181" s="5">
        <f>IF(I1181="","",IF(AND(I1181="Fail",K1181=""),"Classify Issue Source",IF(AND(I1181="Fail",W1181=""),"Set Confidence",IF(AND(K1181="Unknown",W1181&lt;&gt;"Low"),"Unknown must be Low confidence",IF(AND(OR(K1181="Backend",K1181="SAP"),N1181=""),"Add HTTP status + endpoint",IF(AND(OR(K1181="Backend",K1181="SAP",K1181="Network"),P1181=""),"Add Correlation ID",IF(AND(I1181="Fail",T1181=""),"Write Root Cause / evidence gap",IF(AND(I1181="Fail",V1181=""),"Assign team","OK"))))))))</f>
        <v/>
      </c>
    </row>
    <row r="1182">
      <c r="A1182" s="5" t="n"/>
      <c r="B1182" s="5" t="n"/>
      <c r="C1182" s="5" t="n"/>
      <c r="D1182" s="5" t="n"/>
      <c r="E1182" s="5" t="n"/>
      <c r="F1182" s="5" t="n"/>
      <c r="G1182" s="5" t="n"/>
      <c r="H1182" s="5" t="n"/>
      <c r="I1182" s="5" t="n"/>
      <c r="J1182" s="5" t="n"/>
      <c r="K1182" s="5" t="n"/>
      <c r="L1182" s="5" t="n"/>
      <c r="M1182" s="5" t="n"/>
      <c r="N1182" s="5" t="n"/>
      <c r="O1182" s="5" t="n"/>
      <c r="P1182" s="5" t="n"/>
      <c r="Q1182" s="5" t="n"/>
      <c r="R1182" s="5" t="n"/>
      <c r="S1182" s="5" t="n"/>
      <c r="T1182" s="5" t="n"/>
      <c r="U1182" s="5" t="n"/>
      <c r="V1182" s="5" t="n"/>
      <c r="W1182" s="5" t="n"/>
      <c r="X1182" s="5" t="n"/>
      <c r="Y1182" s="5">
        <f>IF(I1182="","",IF(AND(I1182="Fail",K1182=""),"Classify Issue Source",IF(AND(I1182="Fail",W1182=""),"Set Confidence",IF(AND(K1182="Unknown",W1182&lt;&gt;"Low"),"Unknown must be Low confidence",IF(AND(OR(K1182="Backend",K1182="SAP"),N1182=""),"Add HTTP status + endpoint",IF(AND(OR(K1182="Backend",K1182="SAP",K1182="Network"),P1182=""),"Add Correlation ID",IF(AND(I1182="Fail",T1182=""),"Write Root Cause / evidence gap",IF(AND(I1182="Fail",V1182=""),"Assign team","OK"))))))))</f>
        <v/>
      </c>
    </row>
    <row r="1183">
      <c r="A1183" s="5" t="n"/>
      <c r="B1183" s="5" t="n"/>
      <c r="C1183" s="5" t="n"/>
      <c r="D1183" s="5" t="n"/>
      <c r="E1183" s="5" t="n"/>
      <c r="F1183" s="5" t="n"/>
      <c r="G1183" s="5" t="n"/>
      <c r="H1183" s="5" t="n"/>
      <c r="I1183" s="5" t="n"/>
      <c r="J1183" s="5" t="n"/>
      <c r="K1183" s="5" t="n"/>
      <c r="L1183" s="5" t="n"/>
      <c r="M1183" s="5" t="n"/>
      <c r="N1183" s="5" t="n"/>
      <c r="O1183" s="5" t="n"/>
      <c r="P1183" s="5" t="n"/>
      <c r="Q1183" s="5" t="n"/>
      <c r="R1183" s="5" t="n"/>
      <c r="S1183" s="5" t="n"/>
      <c r="T1183" s="5" t="n"/>
      <c r="U1183" s="5" t="n"/>
      <c r="V1183" s="5" t="n"/>
      <c r="W1183" s="5" t="n"/>
      <c r="X1183" s="5" t="n"/>
      <c r="Y1183" s="5">
        <f>IF(I1183="","",IF(AND(I1183="Fail",K1183=""),"Classify Issue Source",IF(AND(I1183="Fail",W1183=""),"Set Confidence",IF(AND(K1183="Unknown",W1183&lt;&gt;"Low"),"Unknown must be Low confidence",IF(AND(OR(K1183="Backend",K1183="SAP"),N1183=""),"Add HTTP status + endpoint",IF(AND(OR(K1183="Backend",K1183="SAP",K1183="Network"),P1183=""),"Add Correlation ID",IF(AND(I1183="Fail",T1183=""),"Write Root Cause / evidence gap",IF(AND(I1183="Fail",V1183=""),"Assign team","OK"))))))))</f>
        <v/>
      </c>
    </row>
    <row r="1184">
      <c r="A1184" s="5" t="n"/>
      <c r="B1184" s="5" t="n"/>
      <c r="C1184" s="5" t="n"/>
      <c r="D1184" s="5" t="n"/>
      <c r="E1184" s="5" t="n"/>
      <c r="F1184" s="5" t="n"/>
      <c r="G1184" s="5" t="n"/>
      <c r="H1184" s="5" t="n"/>
      <c r="I1184" s="5" t="n"/>
      <c r="J1184" s="5" t="n"/>
      <c r="K1184" s="5" t="n"/>
      <c r="L1184" s="5" t="n"/>
      <c r="M1184" s="5" t="n"/>
      <c r="N1184" s="5" t="n"/>
      <c r="O1184" s="5" t="n"/>
      <c r="P1184" s="5" t="n"/>
      <c r="Q1184" s="5" t="n"/>
      <c r="R1184" s="5" t="n"/>
      <c r="S1184" s="5" t="n"/>
      <c r="T1184" s="5" t="n"/>
      <c r="U1184" s="5" t="n"/>
      <c r="V1184" s="5" t="n"/>
      <c r="W1184" s="5" t="n"/>
      <c r="X1184" s="5" t="n"/>
      <c r="Y1184" s="5">
        <f>IF(I1184="","",IF(AND(I1184="Fail",K1184=""),"Classify Issue Source",IF(AND(I1184="Fail",W1184=""),"Set Confidence",IF(AND(K1184="Unknown",W1184&lt;&gt;"Low"),"Unknown must be Low confidence",IF(AND(OR(K1184="Backend",K1184="SAP"),N1184=""),"Add HTTP status + endpoint",IF(AND(OR(K1184="Backend",K1184="SAP",K1184="Network"),P1184=""),"Add Correlation ID",IF(AND(I1184="Fail",T1184=""),"Write Root Cause / evidence gap",IF(AND(I1184="Fail",V1184=""),"Assign team","OK"))))))))</f>
        <v/>
      </c>
    </row>
    <row r="1185">
      <c r="A1185" s="5" t="n"/>
      <c r="B1185" s="5" t="n"/>
      <c r="C1185" s="5" t="n"/>
      <c r="D1185" s="5" t="n"/>
      <c r="E1185" s="5" t="n"/>
      <c r="F1185" s="5" t="n"/>
      <c r="G1185" s="5" t="n"/>
      <c r="H1185" s="5" t="n"/>
      <c r="I1185" s="5" t="n"/>
      <c r="J1185" s="5" t="n"/>
      <c r="K1185" s="5" t="n"/>
      <c r="L1185" s="5" t="n"/>
      <c r="M1185" s="5" t="n"/>
      <c r="N1185" s="5" t="n"/>
      <c r="O1185" s="5" t="n"/>
      <c r="P1185" s="5" t="n"/>
      <c r="Q1185" s="5" t="n"/>
      <c r="R1185" s="5" t="n"/>
      <c r="S1185" s="5" t="n"/>
      <c r="T1185" s="5" t="n"/>
      <c r="U1185" s="5" t="n"/>
      <c r="V1185" s="5" t="n"/>
      <c r="W1185" s="5" t="n"/>
      <c r="X1185" s="5" t="n"/>
      <c r="Y1185" s="5">
        <f>IF(I1185="","",IF(AND(I1185="Fail",K1185=""),"Classify Issue Source",IF(AND(I1185="Fail",W1185=""),"Set Confidence",IF(AND(K1185="Unknown",W1185&lt;&gt;"Low"),"Unknown must be Low confidence",IF(AND(OR(K1185="Backend",K1185="SAP"),N1185=""),"Add HTTP status + endpoint",IF(AND(OR(K1185="Backend",K1185="SAP",K1185="Network"),P1185=""),"Add Correlation ID",IF(AND(I1185="Fail",T1185=""),"Write Root Cause / evidence gap",IF(AND(I1185="Fail",V1185=""),"Assign team","OK"))))))))</f>
        <v/>
      </c>
    </row>
    <row r="1186">
      <c r="A1186" s="5" t="n"/>
      <c r="B1186" s="5" t="n"/>
      <c r="C1186" s="5" t="n"/>
      <c r="D1186" s="5" t="n"/>
      <c r="E1186" s="5" t="n"/>
      <c r="F1186" s="5" t="n"/>
      <c r="G1186" s="5" t="n"/>
      <c r="H1186" s="5" t="n"/>
      <c r="I1186" s="5" t="n"/>
      <c r="J1186" s="5" t="n"/>
      <c r="K1186" s="5" t="n"/>
      <c r="L1186" s="5" t="n"/>
      <c r="M1186" s="5" t="n"/>
      <c r="N1186" s="5" t="n"/>
      <c r="O1186" s="5" t="n"/>
      <c r="P1186" s="5" t="n"/>
      <c r="Q1186" s="5" t="n"/>
      <c r="R1186" s="5" t="n"/>
      <c r="S1186" s="5" t="n"/>
      <c r="T1186" s="5" t="n"/>
      <c r="U1186" s="5" t="n"/>
      <c r="V1186" s="5" t="n"/>
      <c r="W1186" s="5" t="n"/>
      <c r="X1186" s="5" t="n"/>
      <c r="Y1186" s="5">
        <f>IF(I1186="","",IF(AND(I1186="Fail",K1186=""),"Classify Issue Source",IF(AND(I1186="Fail",W1186=""),"Set Confidence",IF(AND(K1186="Unknown",W1186&lt;&gt;"Low"),"Unknown must be Low confidence",IF(AND(OR(K1186="Backend",K1186="SAP"),N1186=""),"Add HTTP status + endpoint",IF(AND(OR(K1186="Backend",K1186="SAP",K1186="Network"),P1186=""),"Add Correlation ID",IF(AND(I1186="Fail",T1186=""),"Write Root Cause / evidence gap",IF(AND(I1186="Fail",V1186=""),"Assign team","OK"))))))))</f>
        <v/>
      </c>
    </row>
    <row r="1187">
      <c r="A1187" s="5" t="n"/>
      <c r="B1187" s="5" t="n"/>
      <c r="C1187" s="5" t="n"/>
      <c r="D1187" s="5" t="n"/>
      <c r="E1187" s="5" t="n"/>
      <c r="F1187" s="5" t="n"/>
      <c r="G1187" s="5" t="n"/>
      <c r="H1187" s="5" t="n"/>
      <c r="I1187" s="5" t="n"/>
      <c r="J1187" s="5" t="n"/>
      <c r="K1187" s="5" t="n"/>
      <c r="L1187" s="5" t="n"/>
      <c r="M1187" s="5" t="n"/>
      <c r="N1187" s="5" t="n"/>
      <c r="O1187" s="5" t="n"/>
      <c r="P1187" s="5" t="n"/>
      <c r="Q1187" s="5" t="n"/>
      <c r="R1187" s="5" t="n"/>
      <c r="S1187" s="5" t="n"/>
      <c r="T1187" s="5" t="n"/>
      <c r="U1187" s="5" t="n"/>
      <c r="V1187" s="5" t="n"/>
      <c r="W1187" s="5" t="n"/>
      <c r="X1187" s="5" t="n"/>
      <c r="Y1187" s="5">
        <f>IF(I1187="","",IF(AND(I1187="Fail",K1187=""),"Classify Issue Source",IF(AND(I1187="Fail",W1187=""),"Set Confidence",IF(AND(K1187="Unknown",W1187&lt;&gt;"Low"),"Unknown must be Low confidence",IF(AND(OR(K1187="Backend",K1187="SAP"),N1187=""),"Add HTTP status + endpoint",IF(AND(OR(K1187="Backend",K1187="SAP",K1187="Network"),P1187=""),"Add Correlation ID",IF(AND(I1187="Fail",T1187=""),"Write Root Cause / evidence gap",IF(AND(I1187="Fail",V1187=""),"Assign team","OK"))))))))</f>
        <v/>
      </c>
    </row>
    <row r="1188">
      <c r="A1188" s="5" t="n"/>
      <c r="B1188" s="5" t="n"/>
      <c r="C1188" s="5" t="n"/>
      <c r="D1188" s="5" t="n"/>
      <c r="E1188" s="5" t="n"/>
      <c r="F1188" s="5" t="n"/>
      <c r="G1188" s="5" t="n"/>
      <c r="H1188" s="5" t="n"/>
      <c r="I1188" s="5" t="n"/>
      <c r="J1188" s="5" t="n"/>
      <c r="K1188" s="5" t="n"/>
      <c r="L1188" s="5" t="n"/>
      <c r="M1188" s="5" t="n"/>
      <c r="N1188" s="5" t="n"/>
      <c r="O1188" s="5" t="n"/>
      <c r="P1188" s="5" t="n"/>
      <c r="Q1188" s="5" t="n"/>
      <c r="R1188" s="5" t="n"/>
      <c r="S1188" s="5" t="n"/>
      <c r="T1188" s="5" t="n"/>
      <c r="U1188" s="5" t="n"/>
      <c r="V1188" s="5" t="n"/>
      <c r="W1188" s="5" t="n"/>
      <c r="X1188" s="5" t="n"/>
      <c r="Y1188" s="5">
        <f>IF(I1188="","",IF(AND(I1188="Fail",K1188=""),"Classify Issue Source",IF(AND(I1188="Fail",W1188=""),"Set Confidence",IF(AND(K1188="Unknown",W1188&lt;&gt;"Low"),"Unknown must be Low confidence",IF(AND(OR(K1188="Backend",K1188="SAP"),N1188=""),"Add HTTP status + endpoint",IF(AND(OR(K1188="Backend",K1188="SAP",K1188="Network"),P1188=""),"Add Correlation ID",IF(AND(I1188="Fail",T1188=""),"Write Root Cause / evidence gap",IF(AND(I1188="Fail",V1188=""),"Assign team","OK"))))))))</f>
        <v/>
      </c>
    </row>
    <row r="1189">
      <c r="A1189" s="5" t="n"/>
      <c r="B1189" s="5" t="n"/>
      <c r="C1189" s="5" t="n"/>
      <c r="D1189" s="5" t="n"/>
      <c r="E1189" s="5" t="n"/>
      <c r="F1189" s="5" t="n"/>
      <c r="G1189" s="5" t="n"/>
      <c r="H1189" s="5" t="n"/>
      <c r="I1189" s="5" t="n"/>
      <c r="J1189" s="5" t="n"/>
      <c r="K1189" s="5" t="n"/>
      <c r="L1189" s="5" t="n"/>
      <c r="M1189" s="5" t="n"/>
      <c r="N1189" s="5" t="n"/>
      <c r="O1189" s="5" t="n"/>
      <c r="P1189" s="5" t="n"/>
      <c r="Q1189" s="5" t="n"/>
      <c r="R1189" s="5" t="n"/>
      <c r="S1189" s="5" t="n"/>
      <c r="T1189" s="5" t="n"/>
      <c r="U1189" s="5" t="n"/>
      <c r="V1189" s="5" t="n"/>
      <c r="W1189" s="5" t="n"/>
      <c r="X1189" s="5" t="n"/>
      <c r="Y1189" s="5">
        <f>IF(I1189="","",IF(AND(I1189="Fail",K1189=""),"Classify Issue Source",IF(AND(I1189="Fail",W1189=""),"Set Confidence",IF(AND(K1189="Unknown",W1189&lt;&gt;"Low"),"Unknown must be Low confidence",IF(AND(OR(K1189="Backend",K1189="SAP"),N1189=""),"Add HTTP status + endpoint",IF(AND(OR(K1189="Backend",K1189="SAP",K1189="Network"),P1189=""),"Add Correlation ID",IF(AND(I1189="Fail",T1189=""),"Write Root Cause / evidence gap",IF(AND(I1189="Fail",V1189=""),"Assign team","OK"))))))))</f>
        <v/>
      </c>
    </row>
    <row r="1190">
      <c r="A1190" s="5" t="n"/>
      <c r="B1190" s="5" t="n"/>
      <c r="C1190" s="5" t="n"/>
      <c r="D1190" s="5" t="n"/>
      <c r="E1190" s="5" t="n"/>
      <c r="F1190" s="5" t="n"/>
      <c r="G1190" s="5" t="n"/>
      <c r="H1190" s="5" t="n"/>
      <c r="I1190" s="5" t="n"/>
      <c r="J1190" s="5" t="n"/>
      <c r="K1190" s="5" t="n"/>
      <c r="L1190" s="5" t="n"/>
      <c r="M1190" s="5" t="n"/>
      <c r="N1190" s="5" t="n"/>
      <c r="O1190" s="5" t="n"/>
      <c r="P1190" s="5" t="n"/>
      <c r="Q1190" s="5" t="n"/>
      <c r="R1190" s="5" t="n"/>
      <c r="S1190" s="5" t="n"/>
      <c r="T1190" s="5" t="n"/>
      <c r="U1190" s="5" t="n"/>
      <c r="V1190" s="5" t="n"/>
      <c r="W1190" s="5" t="n"/>
      <c r="X1190" s="5" t="n"/>
      <c r="Y1190" s="5">
        <f>IF(I1190="","",IF(AND(I1190="Fail",K1190=""),"Classify Issue Source",IF(AND(I1190="Fail",W1190=""),"Set Confidence",IF(AND(K1190="Unknown",W1190&lt;&gt;"Low"),"Unknown must be Low confidence",IF(AND(OR(K1190="Backend",K1190="SAP"),N1190=""),"Add HTTP status + endpoint",IF(AND(OR(K1190="Backend",K1190="SAP",K1190="Network"),P1190=""),"Add Correlation ID",IF(AND(I1190="Fail",T1190=""),"Write Root Cause / evidence gap",IF(AND(I1190="Fail",V1190=""),"Assign team","OK"))))))))</f>
        <v/>
      </c>
    </row>
    <row r="1191">
      <c r="A1191" s="5" t="n"/>
      <c r="B1191" s="5" t="n"/>
      <c r="C1191" s="5" t="n"/>
      <c r="D1191" s="5" t="n"/>
      <c r="E1191" s="5" t="n"/>
      <c r="F1191" s="5" t="n"/>
      <c r="G1191" s="5" t="n"/>
      <c r="H1191" s="5" t="n"/>
      <c r="I1191" s="5" t="n"/>
      <c r="J1191" s="5" t="n"/>
      <c r="K1191" s="5" t="n"/>
      <c r="L1191" s="5" t="n"/>
      <c r="M1191" s="5" t="n"/>
      <c r="N1191" s="5" t="n"/>
      <c r="O1191" s="5" t="n"/>
      <c r="P1191" s="5" t="n"/>
      <c r="Q1191" s="5" t="n"/>
      <c r="R1191" s="5" t="n"/>
      <c r="S1191" s="5" t="n"/>
      <c r="T1191" s="5" t="n"/>
      <c r="U1191" s="5" t="n"/>
      <c r="V1191" s="5" t="n"/>
      <c r="W1191" s="5" t="n"/>
      <c r="X1191" s="5" t="n"/>
      <c r="Y1191" s="5">
        <f>IF(I1191="","",IF(AND(I1191="Fail",K1191=""),"Classify Issue Source",IF(AND(I1191="Fail",W1191=""),"Set Confidence",IF(AND(K1191="Unknown",W1191&lt;&gt;"Low"),"Unknown must be Low confidence",IF(AND(OR(K1191="Backend",K1191="SAP"),N1191=""),"Add HTTP status + endpoint",IF(AND(OR(K1191="Backend",K1191="SAP",K1191="Network"),P1191=""),"Add Correlation ID",IF(AND(I1191="Fail",T1191=""),"Write Root Cause / evidence gap",IF(AND(I1191="Fail",V1191=""),"Assign team","OK"))))))))</f>
        <v/>
      </c>
    </row>
    <row r="1192">
      <c r="A1192" s="5" t="n"/>
      <c r="B1192" s="5" t="n"/>
      <c r="C1192" s="5" t="n"/>
      <c r="D1192" s="5" t="n"/>
      <c r="E1192" s="5" t="n"/>
      <c r="F1192" s="5" t="n"/>
      <c r="G1192" s="5" t="n"/>
      <c r="H1192" s="5" t="n"/>
      <c r="I1192" s="5" t="n"/>
      <c r="J1192" s="5" t="n"/>
      <c r="K1192" s="5" t="n"/>
      <c r="L1192" s="5" t="n"/>
      <c r="M1192" s="5" t="n"/>
      <c r="N1192" s="5" t="n"/>
      <c r="O1192" s="5" t="n"/>
      <c r="P1192" s="5" t="n"/>
      <c r="Q1192" s="5" t="n"/>
      <c r="R1192" s="5" t="n"/>
      <c r="S1192" s="5" t="n"/>
      <c r="T1192" s="5" t="n"/>
      <c r="U1192" s="5" t="n"/>
      <c r="V1192" s="5" t="n"/>
      <c r="W1192" s="5" t="n"/>
      <c r="X1192" s="5" t="n"/>
      <c r="Y1192" s="5">
        <f>IF(I1192="","",IF(AND(I1192="Fail",K1192=""),"Classify Issue Source",IF(AND(I1192="Fail",W1192=""),"Set Confidence",IF(AND(K1192="Unknown",W1192&lt;&gt;"Low"),"Unknown must be Low confidence",IF(AND(OR(K1192="Backend",K1192="SAP"),N1192=""),"Add HTTP status + endpoint",IF(AND(OR(K1192="Backend",K1192="SAP",K1192="Network"),P1192=""),"Add Correlation ID",IF(AND(I1192="Fail",T1192=""),"Write Root Cause / evidence gap",IF(AND(I1192="Fail",V1192=""),"Assign team","OK"))))))))</f>
        <v/>
      </c>
    </row>
    <row r="1193">
      <c r="A1193" s="5" t="n"/>
      <c r="B1193" s="5" t="n"/>
      <c r="C1193" s="5" t="n"/>
      <c r="D1193" s="5" t="n"/>
      <c r="E1193" s="5" t="n"/>
      <c r="F1193" s="5" t="n"/>
      <c r="G1193" s="5" t="n"/>
      <c r="H1193" s="5" t="n"/>
      <c r="I1193" s="5" t="n"/>
      <c r="J1193" s="5" t="n"/>
      <c r="K1193" s="5" t="n"/>
      <c r="L1193" s="5" t="n"/>
      <c r="M1193" s="5" t="n"/>
      <c r="N1193" s="5" t="n"/>
      <c r="O1193" s="5" t="n"/>
      <c r="P1193" s="5" t="n"/>
      <c r="Q1193" s="5" t="n"/>
      <c r="R1193" s="5" t="n"/>
      <c r="S1193" s="5" t="n"/>
      <c r="T1193" s="5" t="n"/>
      <c r="U1193" s="5" t="n"/>
      <c r="V1193" s="5" t="n"/>
      <c r="W1193" s="5" t="n"/>
      <c r="X1193" s="5" t="n"/>
      <c r="Y1193" s="5">
        <f>IF(I1193="","",IF(AND(I1193="Fail",K1193=""),"Classify Issue Source",IF(AND(I1193="Fail",W1193=""),"Set Confidence",IF(AND(K1193="Unknown",W1193&lt;&gt;"Low"),"Unknown must be Low confidence",IF(AND(OR(K1193="Backend",K1193="SAP"),N1193=""),"Add HTTP status + endpoint",IF(AND(OR(K1193="Backend",K1193="SAP",K1193="Network"),P1193=""),"Add Correlation ID",IF(AND(I1193="Fail",T1193=""),"Write Root Cause / evidence gap",IF(AND(I1193="Fail",V1193=""),"Assign team","OK"))))))))</f>
        <v/>
      </c>
    </row>
    <row r="1194">
      <c r="A1194" s="5" t="n"/>
      <c r="B1194" s="5" t="n"/>
      <c r="C1194" s="5" t="n"/>
      <c r="D1194" s="5" t="n"/>
      <c r="E1194" s="5" t="n"/>
      <c r="F1194" s="5" t="n"/>
      <c r="G1194" s="5" t="n"/>
      <c r="H1194" s="5" t="n"/>
      <c r="I1194" s="5" t="n"/>
      <c r="J1194" s="5" t="n"/>
      <c r="K1194" s="5" t="n"/>
      <c r="L1194" s="5" t="n"/>
      <c r="M1194" s="5" t="n"/>
      <c r="N1194" s="5" t="n"/>
      <c r="O1194" s="5" t="n"/>
      <c r="P1194" s="5" t="n"/>
      <c r="Q1194" s="5" t="n"/>
      <c r="R1194" s="5" t="n"/>
      <c r="S1194" s="5" t="n"/>
      <c r="T1194" s="5" t="n"/>
      <c r="U1194" s="5" t="n"/>
      <c r="V1194" s="5" t="n"/>
      <c r="W1194" s="5" t="n"/>
      <c r="X1194" s="5" t="n"/>
      <c r="Y1194" s="5">
        <f>IF(I1194="","",IF(AND(I1194="Fail",K1194=""),"Classify Issue Source",IF(AND(I1194="Fail",W1194=""),"Set Confidence",IF(AND(K1194="Unknown",W1194&lt;&gt;"Low"),"Unknown must be Low confidence",IF(AND(OR(K1194="Backend",K1194="SAP"),N1194=""),"Add HTTP status + endpoint",IF(AND(OR(K1194="Backend",K1194="SAP",K1194="Network"),P1194=""),"Add Correlation ID",IF(AND(I1194="Fail",T1194=""),"Write Root Cause / evidence gap",IF(AND(I1194="Fail",V1194=""),"Assign team","OK"))))))))</f>
        <v/>
      </c>
    </row>
    <row r="1195">
      <c r="A1195" s="5" t="n"/>
      <c r="B1195" s="5" t="n"/>
      <c r="C1195" s="5" t="n"/>
      <c r="D1195" s="5" t="n"/>
      <c r="E1195" s="5" t="n"/>
      <c r="F1195" s="5" t="n"/>
      <c r="G1195" s="5" t="n"/>
      <c r="H1195" s="5" t="n"/>
      <c r="I1195" s="5" t="n"/>
      <c r="J1195" s="5" t="n"/>
      <c r="K1195" s="5" t="n"/>
      <c r="L1195" s="5" t="n"/>
      <c r="M1195" s="5" t="n"/>
      <c r="N1195" s="5" t="n"/>
      <c r="O1195" s="5" t="n"/>
      <c r="P1195" s="5" t="n"/>
      <c r="Q1195" s="5" t="n"/>
      <c r="R1195" s="5" t="n"/>
      <c r="S1195" s="5" t="n"/>
      <c r="T1195" s="5" t="n"/>
      <c r="U1195" s="5" t="n"/>
      <c r="V1195" s="5" t="n"/>
      <c r="W1195" s="5" t="n"/>
      <c r="X1195" s="5" t="n"/>
      <c r="Y1195" s="5">
        <f>IF(I1195="","",IF(AND(I1195="Fail",K1195=""),"Classify Issue Source",IF(AND(I1195="Fail",W1195=""),"Set Confidence",IF(AND(K1195="Unknown",W1195&lt;&gt;"Low"),"Unknown must be Low confidence",IF(AND(OR(K1195="Backend",K1195="SAP"),N1195=""),"Add HTTP status + endpoint",IF(AND(OR(K1195="Backend",K1195="SAP",K1195="Network"),P1195=""),"Add Correlation ID",IF(AND(I1195="Fail",T1195=""),"Write Root Cause / evidence gap",IF(AND(I1195="Fail",V1195=""),"Assign team","OK"))))))))</f>
        <v/>
      </c>
    </row>
    <row r="1196">
      <c r="A1196" s="5" t="n"/>
      <c r="B1196" s="5" t="n"/>
      <c r="C1196" s="5" t="n"/>
      <c r="D1196" s="5" t="n"/>
      <c r="E1196" s="5" t="n"/>
      <c r="F1196" s="5" t="n"/>
      <c r="G1196" s="5" t="n"/>
      <c r="H1196" s="5" t="n"/>
      <c r="I1196" s="5" t="n"/>
      <c r="J1196" s="5" t="n"/>
      <c r="K1196" s="5" t="n"/>
      <c r="L1196" s="5" t="n"/>
      <c r="M1196" s="5" t="n"/>
      <c r="N1196" s="5" t="n"/>
      <c r="O1196" s="5" t="n"/>
      <c r="P1196" s="5" t="n"/>
      <c r="Q1196" s="5" t="n"/>
      <c r="R1196" s="5" t="n"/>
      <c r="S1196" s="5" t="n"/>
      <c r="T1196" s="5" t="n"/>
      <c r="U1196" s="5" t="n"/>
      <c r="V1196" s="5" t="n"/>
      <c r="W1196" s="5" t="n"/>
      <c r="X1196" s="5" t="n"/>
      <c r="Y1196" s="5">
        <f>IF(I1196="","",IF(AND(I1196="Fail",K1196=""),"Classify Issue Source",IF(AND(I1196="Fail",W1196=""),"Set Confidence",IF(AND(K1196="Unknown",W1196&lt;&gt;"Low"),"Unknown must be Low confidence",IF(AND(OR(K1196="Backend",K1196="SAP"),N1196=""),"Add HTTP status + endpoint",IF(AND(OR(K1196="Backend",K1196="SAP",K1196="Network"),P1196=""),"Add Correlation ID",IF(AND(I1196="Fail",T1196=""),"Write Root Cause / evidence gap",IF(AND(I1196="Fail",V1196=""),"Assign team","OK"))))))))</f>
        <v/>
      </c>
    </row>
    <row r="1197">
      <c r="A1197" s="5" t="n"/>
      <c r="B1197" s="5" t="n"/>
      <c r="C1197" s="5" t="n"/>
      <c r="D1197" s="5" t="n"/>
      <c r="E1197" s="5" t="n"/>
      <c r="F1197" s="5" t="n"/>
      <c r="G1197" s="5" t="n"/>
      <c r="H1197" s="5" t="n"/>
      <c r="I1197" s="5" t="n"/>
      <c r="J1197" s="5" t="n"/>
      <c r="K1197" s="5" t="n"/>
      <c r="L1197" s="5" t="n"/>
      <c r="M1197" s="5" t="n"/>
      <c r="N1197" s="5" t="n"/>
      <c r="O1197" s="5" t="n"/>
      <c r="P1197" s="5" t="n"/>
      <c r="Q1197" s="5" t="n"/>
      <c r="R1197" s="5" t="n"/>
      <c r="S1197" s="5" t="n"/>
      <c r="T1197" s="5" t="n"/>
      <c r="U1197" s="5" t="n"/>
      <c r="V1197" s="5" t="n"/>
      <c r="W1197" s="5" t="n"/>
      <c r="X1197" s="5" t="n"/>
      <c r="Y1197" s="5">
        <f>IF(I1197="","",IF(AND(I1197="Fail",K1197=""),"Classify Issue Source",IF(AND(I1197="Fail",W1197=""),"Set Confidence",IF(AND(K1197="Unknown",W1197&lt;&gt;"Low"),"Unknown must be Low confidence",IF(AND(OR(K1197="Backend",K1197="SAP"),N1197=""),"Add HTTP status + endpoint",IF(AND(OR(K1197="Backend",K1197="SAP",K1197="Network"),P1197=""),"Add Correlation ID",IF(AND(I1197="Fail",T1197=""),"Write Root Cause / evidence gap",IF(AND(I1197="Fail",V1197=""),"Assign team","OK"))))))))</f>
        <v/>
      </c>
    </row>
    <row r="1198">
      <c r="A1198" s="5" t="n"/>
      <c r="B1198" s="5" t="n"/>
      <c r="C1198" s="5" t="n"/>
      <c r="D1198" s="5" t="n"/>
      <c r="E1198" s="5" t="n"/>
      <c r="F1198" s="5" t="n"/>
      <c r="G1198" s="5" t="n"/>
      <c r="H1198" s="5" t="n"/>
      <c r="I1198" s="5" t="n"/>
      <c r="J1198" s="5" t="n"/>
      <c r="K1198" s="5" t="n"/>
      <c r="L1198" s="5" t="n"/>
      <c r="M1198" s="5" t="n"/>
      <c r="N1198" s="5" t="n"/>
      <c r="O1198" s="5" t="n"/>
      <c r="P1198" s="5" t="n"/>
      <c r="Q1198" s="5" t="n"/>
      <c r="R1198" s="5" t="n"/>
      <c r="S1198" s="5" t="n"/>
      <c r="T1198" s="5" t="n"/>
      <c r="U1198" s="5" t="n"/>
      <c r="V1198" s="5" t="n"/>
      <c r="W1198" s="5" t="n"/>
      <c r="X1198" s="5" t="n"/>
      <c r="Y1198" s="5">
        <f>IF(I1198="","",IF(AND(I1198="Fail",K1198=""),"Classify Issue Source",IF(AND(I1198="Fail",W1198=""),"Set Confidence",IF(AND(K1198="Unknown",W1198&lt;&gt;"Low"),"Unknown must be Low confidence",IF(AND(OR(K1198="Backend",K1198="SAP"),N1198=""),"Add HTTP status + endpoint",IF(AND(OR(K1198="Backend",K1198="SAP",K1198="Network"),P1198=""),"Add Correlation ID",IF(AND(I1198="Fail",T1198=""),"Write Root Cause / evidence gap",IF(AND(I1198="Fail",V1198=""),"Assign team","OK"))))))))</f>
        <v/>
      </c>
    </row>
    <row r="1199">
      <c r="A1199" s="5" t="n"/>
      <c r="B1199" s="5" t="n"/>
      <c r="C1199" s="5" t="n"/>
      <c r="D1199" s="5" t="n"/>
      <c r="E1199" s="5" t="n"/>
      <c r="F1199" s="5" t="n"/>
      <c r="G1199" s="5" t="n"/>
      <c r="H1199" s="5" t="n"/>
      <c r="I1199" s="5" t="n"/>
      <c r="J1199" s="5" t="n"/>
      <c r="K1199" s="5" t="n"/>
      <c r="L1199" s="5" t="n"/>
      <c r="M1199" s="5" t="n"/>
      <c r="N1199" s="5" t="n"/>
      <c r="O1199" s="5" t="n"/>
      <c r="P1199" s="5" t="n"/>
      <c r="Q1199" s="5" t="n"/>
      <c r="R1199" s="5" t="n"/>
      <c r="S1199" s="5" t="n"/>
      <c r="T1199" s="5" t="n"/>
      <c r="U1199" s="5" t="n"/>
      <c r="V1199" s="5" t="n"/>
      <c r="W1199" s="5" t="n"/>
      <c r="X1199" s="5" t="n"/>
      <c r="Y1199" s="5">
        <f>IF(I1199="","",IF(AND(I1199="Fail",K1199=""),"Classify Issue Source",IF(AND(I1199="Fail",W1199=""),"Set Confidence",IF(AND(K1199="Unknown",W1199&lt;&gt;"Low"),"Unknown must be Low confidence",IF(AND(OR(K1199="Backend",K1199="SAP"),N1199=""),"Add HTTP status + endpoint",IF(AND(OR(K1199="Backend",K1199="SAP",K1199="Network"),P1199=""),"Add Correlation ID",IF(AND(I1199="Fail",T1199=""),"Write Root Cause / evidence gap",IF(AND(I1199="Fail",V1199=""),"Assign team","OK"))))))))</f>
        <v/>
      </c>
    </row>
    <row r="1200">
      <c r="A1200" s="5" t="n"/>
      <c r="B1200" s="5" t="n"/>
      <c r="C1200" s="5" t="n"/>
      <c r="D1200" s="5" t="n"/>
      <c r="E1200" s="5" t="n"/>
      <c r="F1200" s="5" t="n"/>
      <c r="G1200" s="5" t="n"/>
      <c r="H1200" s="5" t="n"/>
      <c r="I1200" s="5" t="n"/>
      <c r="J1200" s="5" t="n"/>
      <c r="K1200" s="5" t="n"/>
      <c r="L1200" s="5" t="n"/>
      <c r="M1200" s="5" t="n"/>
      <c r="N1200" s="5" t="n"/>
      <c r="O1200" s="5" t="n"/>
      <c r="P1200" s="5" t="n"/>
      <c r="Q1200" s="5" t="n"/>
      <c r="R1200" s="5" t="n"/>
      <c r="S1200" s="5" t="n"/>
      <c r="T1200" s="5" t="n"/>
      <c r="U1200" s="5" t="n"/>
      <c r="V1200" s="5" t="n"/>
      <c r="W1200" s="5" t="n"/>
      <c r="X1200" s="5" t="n"/>
      <c r="Y1200" s="5">
        <f>IF(I1200="","",IF(AND(I1200="Fail",K1200=""),"Classify Issue Source",IF(AND(I1200="Fail",W1200=""),"Set Confidence",IF(AND(K1200="Unknown",W1200&lt;&gt;"Low"),"Unknown must be Low confidence",IF(AND(OR(K1200="Backend",K1200="SAP"),N1200=""),"Add HTTP status + endpoint",IF(AND(OR(K1200="Backend",K1200="SAP",K1200="Network"),P1200=""),"Add Correlation ID",IF(AND(I1200="Fail",T1200=""),"Write Root Cause / evidence gap",IF(AND(I1200="Fail",V1200=""),"Assign team","OK"))))))))</f>
        <v/>
      </c>
    </row>
    <row r="1201">
      <c r="A1201" s="5" t="n"/>
      <c r="B1201" s="5" t="n"/>
      <c r="C1201" s="5" t="n"/>
      <c r="D1201" s="5" t="n"/>
      <c r="E1201" s="5" t="n"/>
      <c r="F1201" s="5" t="n"/>
      <c r="G1201" s="5" t="n"/>
      <c r="H1201" s="5" t="n"/>
      <c r="I1201" s="5" t="n"/>
      <c r="J1201" s="5" t="n"/>
      <c r="K1201" s="5" t="n"/>
      <c r="L1201" s="5" t="n"/>
      <c r="M1201" s="5" t="n"/>
      <c r="N1201" s="5" t="n"/>
      <c r="O1201" s="5" t="n"/>
      <c r="P1201" s="5" t="n"/>
      <c r="Q1201" s="5" t="n"/>
      <c r="R1201" s="5" t="n"/>
      <c r="S1201" s="5" t="n"/>
      <c r="T1201" s="5" t="n"/>
      <c r="U1201" s="5" t="n"/>
      <c r="V1201" s="5" t="n"/>
      <c r="W1201" s="5" t="n"/>
      <c r="X1201" s="5" t="n"/>
      <c r="Y1201" s="5">
        <f>IF(I1201="","",IF(AND(I1201="Fail",K1201=""),"Classify Issue Source",IF(AND(I1201="Fail",W1201=""),"Set Confidence",IF(AND(K1201="Unknown",W1201&lt;&gt;"Low"),"Unknown must be Low confidence",IF(AND(OR(K1201="Backend",K1201="SAP"),N1201=""),"Add HTTP status + endpoint",IF(AND(OR(K1201="Backend",K1201="SAP",K1201="Network"),P1201=""),"Add Correlation ID",IF(AND(I1201="Fail",T1201=""),"Write Root Cause / evidence gap",IF(AND(I1201="Fail",V1201=""),"Assign team","OK"))))))))</f>
        <v/>
      </c>
    </row>
    <row r="1202">
      <c r="A1202" s="5" t="n"/>
      <c r="B1202" s="5" t="n"/>
      <c r="C1202" s="5" t="n"/>
      <c r="D1202" s="5" t="n"/>
      <c r="E1202" s="5" t="n"/>
      <c r="F1202" s="5" t="n"/>
      <c r="G1202" s="5" t="n"/>
      <c r="H1202" s="5" t="n"/>
      <c r="I1202" s="5" t="n"/>
      <c r="J1202" s="5" t="n"/>
      <c r="K1202" s="5" t="n"/>
      <c r="L1202" s="5" t="n"/>
      <c r="M1202" s="5" t="n"/>
      <c r="N1202" s="5" t="n"/>
      <c r="O1202" s="5" t="n"/>
      <c r="P1202" s="5" t="n"/>
      <c r="Q1202" s="5" t="n"/>
      <c r="R1202" s="5" t="n"/>
      <c r="S1202" s="5" t="n"/>
      <c r="T1202" s="5" t="n"/>
      <c r="U1202" s="5" t="n"/>
      <c r="V1202" s="5" t="n"/>
      <c r="W1202" s="5" t="n"/>
      <c r="X1202" s="5" t="n"/>
      <c r="Y1202" s="5">
        <f>IF(I1202="","",IF(AND(I1202="Fail",K1202=""),"Classify Issue Source",IF(AND(I1202="Fail",W1202=""),"Set Confidence",IF(AND(K1202="Unknown",W1202&lt;&gt;"Low"),"Unknown must be Low confidence",IF(AND(OR(K1202="Backend",K1202="SAP"),N1202=""),"Add HTTP status + endpoint",IF(AND(OR(K1202="Backend",K1202="SAP",K1202="Network"),P1202=""),"Add Correlation ID",IF(AND(I1202="Fail",T1202=""),"Write Root Cause / evidence gap",IF(AND(I1202="Fail",V1202=""),"Assign team","OK"))))))))</f>
        <v/>
      </c>
    </row>
    <row r="1203">
      <c r="A1203" s="5" t="n"/>
      <c r="B1203" s="5" t="n"/>
      <c r="C1203" s="5" t="n"/>
      <c r="D1203" s="5" t="n"/>
      <c r="E1203" s="5" t="n"/>
      <c r="F1203" s="5" t="n"/>
      <c r="G1203" s="5" t="n"/>
      <c r="H1203" s="5" t="n"/>
      <c r="I1203" s="5" t="n"/>
      <c r="J1203" s="5" t="n"/>
      <c r="K1203" s="5" t="n"/>
      <c r="L1203" s="5" t="n"/>
      <c r="M1203" s="5" t="n"/>
      <c r="N1203" s="5" t="n"/>
      <c r="O1203" s="5" t="n"/>
      <c r="P1203" s="5" t="n"/>
      <c r="Q1203" s="5" t="n"/>
      <c r="R1203" s="5" t="n"/>
      <c r="S1203" s="5" t="n"/>
      <c r="T1203" s="5" t="n"/>
      <c r="U1203" s="5" t="n"/>
      <c r="V1203" s="5" t="n"/>
      <c r="W1203" s="5" t="n"/>
      <c r="X1203" s="5" t="n"/>
      <c r="Y1203" s="5">
        <f>IF(I1203="","",IF(AND(I1203="Fail",K1203=""),"Classify Issue Source",IF(AND(I1203="Fail",W1203=""),"Set Confidence",IF(AND(K1203="Unknown",W1203&lt;&gt;"Low"),"Unknown must be Low confidence",IF(AND(OR(K1203="Backend",K1203="SAP"),N1203=""),"Add HTTP status + endpoint",IF(AND(OR(K1203="Backend",K1203="SAP",K1203="Network"),P1203=""),"Add Correlation ID",IF(AND(I1203="Fail",T1203=""),"Write Root Cause / evidence gap",IF(AND(I1203="Fail",V1203=""),"Assign team","OK"))))))))</f>
        <v/>
      </c>
    </row>
    <row r="1204">
      <c r="A1204" s="5" t="n"/>
      <c r="B1204" s="5" t="n"/>
      <c r="C1204" s="5" t="n"/>
      <c r="D1204" s="5" t="n"/>
      <c r="E1204" s="5" t="n"/>
      <c r="F1204" s="5" t="n"/>
      <c r="G1204" s="5" t="n"/>
      <c r="H1204" s="5" t="n"/>
      <c r="I1204" s="5" t="n"/>
      <c r="J1204" s="5" t="n"/>
      <c r="K1204" s="5" t="n"/>
      <c r="L1204" s="5" t="n"/>
      <c r="M1204" s="5" t="n"/>
      <c r="N1204" s="5" t="n"/>
      <c r="O1204" s="5" t="n"/>
      <c r="P1204" s="5" t="n"/>
      <c r="Q1204" s="5" t="n"/>
      <c r="R1204" s="5" t="n"/>
      <c r="S1204" s="5" t="n"/>
      <c r="T1204" s="5" t="n"/>
      <c r="U1204" s="5" t="n"/>
      <c r="V1204" s="5" t="n"/>
      <c r="W1204" s="5" t="n"/>
      <c r="X1204" s="5" t="n"/>
      <c r="Y1204" s="5">
        <f>IF(I1204="","",IF(AND(I1204="Fail",K1204=""),"Classify Issue Source",IF(AND(I1204="Fail",W1204=""),"Set Confidence",IF(AND(K1204="Unknown",W1204&lt;&gt;"Low"),"Unknown must be Low confidence",IF(AND(OR(K1204="Backend",K1204="SAP"),N1204=""),"Add HTTP status + endpoint",IF(AND(OR(K1204="Backend",K1204="SAP",K1204="Network"),P1204=""),"Add Correlation ID",IF(AND(I1204="Fail",T1204=""),"Write Root Cause / evidence gap",IF(AND(I1204="Fail",V1204=""),"Assign team","OK"))))))))</f>
        <v/>
      </c>
    </row>
    <row r="1205">
      <c r="A1205" s="5" t="n"/>
      <c r="B1205" s="5" t="n"/>
      <c r="C1205" s="5" t="n"/>
      <c r="D1205" s="5" t="n"/>
      <c r="E1205" s="5" t="n"/>
      <c r="F1205" s="5" t="n"/>
      <c r="G1205" s="5" t="n"/>
      <c r="H1205" s="5" t="n"/>
      <c r="I1205" s="5" t="n"/>
      <c r="J1205" s="5" t="n"/>
      <c r="K1205" s="5" t="n"/>
      <c r="L1205" s="5" t="n"/>
      <c r="M1205" s="5" t="n"/>
      <c r="N1205" s="5" t="n"/>
      <c r="O1205" s="5" t="n"/>
      <c r="P1205" s="5" t="n"/>
      <c r="Q1205" s="5" t="n"/>
      <c r="R1205" s="5" t="n"/>
      <c r="S1205" s="5" t="n"/>
      <c r="T1205" s="5" t="n"/>
      <c r="U1205" s="5" t="n"/>
      <c r="V1205" s="5" t="n"/>
      <c r="W1205" s="5" t="n"/>
      <c r="X1205" s="5" t="n"/>
      <c r="Y1205" s="5">
        <f>IF(I1205="","",IF(AND(I1205="Fail",K1205=""),"Classify Issue Source",IF(AND(I1205="Fail",W1205=""),"Set Confidence",IF(AND(K1205="Unknown",W1205&lt;&gt;"Low"),"Unknown must be Low confidence",IF(AND(OR(K1205="Backend",K1205="SAP"),N1205=""),"Add HTTP status + endpoint",IF(AND(OR(K1205="Backend",K1205="SAP",K1205="Network"),P1205=""),"Add Correlation ID",IF(AND(I1205="Fail",T1205=""),"Write Root Cause / evidence gap",IF(AND(I1205="Fail",V1205=""),"Assign team","OK"))))))))</f>
        <v/>
      </c>
    </row>
    <row r="1206">
      <c r="A1206" s="5" t="n"/>
      <c r="B1206" s="5" t="n"/>
      <c r="C1206" s="5" t="n"/>
      <c r="D1206" s="5" t="n"/>
      <c r="E1206" s="5" t="n"/>
      <c r="F1206" s="5" t="n"/>
      <c r="G1206" s="5" t="n"/>
      <c r="H1206" s="5" t="n"/>
      <c r="I1206" s="5" t="n"/>
      <c r="J1206" s="5" t="n"/>
      <c r="K1206" s="5" t="n"/>
      <c r="L1206" s="5" t="n"/>
      <c r="M1206" s="5" t="n"/>
      <c r="N1206" s="5" t="n"/>
      <c r="O1206" s="5" t="n"/>
      <c r="P1206" s="5" t="n"/>
      <c r="Q1206" s="5" t="n"/>
      <c r="R1206" s="5" t="n"/>
      <c r="S1206" s="5" t="n"/>
      <c r="T1206" s="5" t="n"/>
      <c r="U1206" s="5" t="n"/>
      <c r="V1206" s="5" t="n"/>
      <c r="W1206" s="5" t="n"/>
      <c r="X1206" s="5" t="n"/>
      <c r="Y1206" s="5">
        <f>IF(I1206="","",IF(AND(I1206="Fail",K1206=""),"Classify Issue Source",IF(AND(I1206="Fail",W1206=""),"Set Confidence",IF(AND(K1206="Unknown",W1206&lt;&gt;"Low"),"Unknown must be Low confidence",IF(AND(OR(K1206="Backend",K1206="SAP"),N1206=""),"Add HTTP status + endpoint",IF(AND(OR(K1206="Backend",K1206="SAP",K1206="Network"),P1206=""),"Add Correlation ID",IF(AND(I1206="Fail",T1206=""),"Write Root Cause / evidence gap",IF(AND(I1206="Fail",V1206=""),"Assign team","OK"))))))))</f>
        <v/>
      </c>
    </row>
    <row r="1207">
      <c r="A1207" s="5" t="n"/>
      <c r="B1207" s="5" t="n"/>
      <c r="C1207" s="5" t="n"/>
      <c r="D1207" s="5" t="n"/>
      <c r="E1207" s="5" t="n"/>
      <c r="F1207" s="5" t="n"/>
      <c r="G1207" s="5" t="n"/>
      <c r="H1207" s="5" t="n"/>
      <c r="I1207" s="5" t="n"/>
      <c r="J1207" s="5" t="n"/>
      <c r="K1207" s="5" t="n"/>
      <c r="L1207" s="5" t="n"/>
      <c r="M1207" s="5" t="n"/>
      <c r="N1207" s="5" t="n"/>
      <c r="O1207" s="5" t="n"/>
      <c r="P1207" s="5" t="n"/>
      <c r="Q1207" s="5" t="n"/>
      <c r="R1207" s="5" t="n"/>
      <c r="S1207" s="5" t="n"/>
      <c r="T1207" s="5" t="n"/>
      <c r="U1207" s="5" t="n"/>
      <c r="V1207" s="5" t="n"/>
      <c r="W1207" s="5" t="n"/>
      <c r="X1207" s="5" t="n"/>
      <c r="Y1207" s="5">
        <f>IF(I1207="","",IF(AND(I1207="Fail",K1207=""),"Classify Issue Source",IF(AND(I1207="Fail",W1207=""),"Set Confidence",IF(AND(K1207="Unknown",W1207&lt;&gt;"Low"),"Unknown must be Low confidence",IF(AND(OR(K1207="Backend",K1207="SAP"),N1207=""),"Add HTTP status + endpoint",IF(AND(OR(K1207="Backend",K1207="SAP",K1207="Network"),P1207=""),"Add Correlation ID",IF(AND(I1207="Fail",T1207=""),"Write Root Cause / evidence gap",IF(AND(I1207="Fail",V1207=""),"Assign team","OK"))))))))</f>
        <v/>
      </c>
    </row>
    <row r="1208">
      <c r="A1208" s="5" t="n"/>
      <c r="B1208" s="5" t="n"/>
      <c r="C1208" s="5" t="n"/>
      <c r="D1208" s="5" t="n"/>
      <c r="E1208" s="5" t="n"/>
      <c r="F1208" s="5" t="n"/>
      <c r="G1208" s="5" t="n"/>
      <c r="H1208" s="5" t="n"/>
      <c r="I1208" s="5" t="n"/>
      <c r="J1208" s="5" t="n"/>
      <c r="K1208" s="5" t="n"/>
      <c r="L1208" s="5" t="n"/>
      <c r="M1208" s="5" t="n"/>
      <c r="N1208" s="5" t="n"/>
      <c r="O1208" s="5" t="n"/>
      <c r="P1208" s="5" t="n"/>
      <c r="Q1208" s="5" t="n"/>
      <c r="R1208" s="5" t="n"/>
      <c r="S1208" s="5" t="n"/>
      <c r="T1208" s="5" t="n"/>
      <c r="U1208" s="5" t="n"/>
      <c r="V1208" s="5" t="n"/>
      <c r="W1208" s="5" t="n"/>
      <c r="X1208" s="5" t="n"/>
      <c r="Y1208" s="5">
        <f>IF(I1208="","",IF(AND(I1208="Fail",K1208=""),"Classify Issue Source",IF(AND(I1208="Fail",W1208=""),"Set Confidence",IF(AND(K1208="Unknown",W1208&lt;&gt;"Low"),"Unknown must be Low confidence",IF(AND(OR(K1208="Backend",K1208="SAP"),N1208=""),"Add HTTP status + endpoint",IF(AND(OR(K1208="Backend",K1208="SAP",K1208="Network"),P1208=""),"Add Correlation ID",IF(AND(I1208="Fail",T1208=""),"Write Root Cause / evidence gap",IF(AND(I1208="Fail",V1208=""),"Assign team","OK"))))))))</f>
        <v/>
      </c>
    </row>
    <row r="1209">
      <c r="A1209" s="5" t="n"/>
      <c r="B1209" s="5" t="n"/>
      <c r="C1209" s="5" t="n"/>
      <c r="D1209" s="5" t="n"/>
      <c r="E1209" s="5" t="n"/>
      <c r="F1209" s="5" t="n"/>
      <c r="G1209" s="5" t="n"/>
      <c r="H1209" s="5" t="n"/>
      <c r="I1209" s="5" t="n"/>
      <c r="J1209" s="5" t="n"/>
      <c r="K1209" s="5" t="n"/>
      <c r="L1209" s="5" t="n"/>
      <c r="M1209" s="5" t="n"/>
      <c r="N1209" s="5" t="n"/>
      <c r="O1209" s="5" t="n"/>
      <c r="P1209" s="5" t="n"/>
      <c r="Q1209" s="5" t="n"/>
      <c r="R1209" s="5" t="n"/>
      <c r="S1209" s="5" t="n"/>
      <c r="T1209" s="5" t="n"/>
      <c r="U1209" s="5" t="n"/>
      <c r="V1209" s="5" t="n"/>
      <c r="W1209" s="5" t="n"/>
      <c r="X1209" s="5" t="n"/>
      <c r="Y1209" s="5">
        <f>IF(I1209="","",IF(AND(I1209="Fail",K1209=""),"Classify Issue Source",IF(AND(I1209="Fail",W1209=""),"Set Confidence",IF(AND(K1209="Unknown",W1209&lt;&gt;"Low"),"Unknown must be Low confidence",IF(AND(OR(K1209="Backend",K1209="SAP"),N1209=""),"Add HTTP status + endpoint",IF(AND(OR(K1209="Backend",K1209="SAP",K1209="Network"),P1209=""),"Add Correlation ID",IF(AND(I1209="Fail",T1209=""),"Write Root Cause / evidence gap",IF(AND(I1209="Fail",V1209=""),"Assign team","OK"))))))))</f>
        <v/>
      </c>
    </row>
    <row r="1210">
      <c r="A1210" s="5" t="n"/>
      <c r="B1210" s="5" t="n"/>
      <c r="C1210" s="5" t="n"/>
      <c r="D1210" s="5" t="n"/>
      <c r="E1210" s="5" t="n"/>
      <c r="F1210" s="5" t="n"/>
      <c r="G1210" s="5" t="n"/>
      <c r="H1210" s="5" t="n"/>
      <c r="I1210" s="5" t="n"/>
      <c r="J1210" s="5" t="n"/>
      <c r="K1210" s="5" t="n"/>
      <c r="L1210" s="5" t="n"/>
      <c r="M1210" s="5" t="n"/>
      <c r="N1210" s="5" t="n"/>
      <c r="O1210" s="5" t="n"/>
      <c r="P1210" s="5" t="n"/>
      <c r="Q1210" s="5" t="n"/>
      <c r="R1210" s="5" t="n"/>
      <c r="S1210" s="5" t="n"/>
      <c r="T1210" s="5" t="n"/>
      <c r="U1210" s="5" t="n"/>
      <c r="V1210" s="5" t="n"/>
      <c r="W1210" s="5" t="n"/>
      <c r="X1210" s="5" t="n"/>
      <c r="Y1210" s="5">
        <f>IF(I1210="","",IF(AND(I1210="Fail",K1210=""),"Classify Issue Source",IF(AND(I1210="Fail",W1210=""),"Set Confidence",IF(AND(K1210="Unknown",W1210&lt;&gt;"Low"),"Unknown must be Low confidence",IF(AND(OR(K1210="Backend",K1210="SAP"),N1210=""),"Add HTTP status + endpoint",IF(AND(OR(K1210="Backend",K1210="SAP",K1210="Network"),P1210=""),"Add Correlation ID",IF(AND(I1210="Fail",T1210=""),"Write Root Cause / evidence gap",IF(AND(I1210="Fail",V1210=""),"Assign team","OK"))))))))</f>
        <v/>
      </c>
    </row>
    <row r="1211">
      <c r="A1211" s="5" t="n"/>
      <c r="B1211" s="5" t="n"/>
      <c r="C1211" s="5" t="n"/>
      <c r="D1211" s="5" t="n"/>
      <c r="E1211" s="5" t="n"/>
      <c r="F1211" s="5" t="n"/>
      <c r="G1211" s="5" t="n"/>
      <c r="H1211" s="5" t="n"/>
      <c r="I1211" s="5" t="n"/>
      <c r="J1211" s="5" t="n"/>
      <c r="K1211" s="5" t="n"/>
      <c r="L1211" s="5" t="n"/>
      <c r="M1211" s="5" t="n"/>
      <c r="N1211" s="5" t="n"/>
      <c r="O1211" s="5" t="n"/>
      <c r="P1211" s="5" t="n"/>
      <c r="Q1211" s="5" t="n"/>
      <c r="R1211" s="5" t="n"/>
      <c r="S1211" s="5" t="n"/>
      <c r="T1211" s="5" t="n"/>
      <c r="U1211" s="5" t="n"/>
      <c r="V1211" s="5" t="n"/>
      <c r="W1211" s="5" t="n"/>
      <c r="X1211" s="5" t="n"/>
      <c r="Y1211" s="5">
        <f>IF(I1211="","",IF(AND(I1211="Fail",K1211=""),"Classify Issue Source",IF(AND(I1211="Fail",W1211=""),"Set Confidence",IF(AND(K1211="Unknown",W1211&lt;&gt;"Low"),"Unknown must be Low confidence",IF(AND(OR(K1211="Backend",K1211="SAP"),N1211=""),"Add HTTP status + endpoint",IF(AND(OR(K1211="Backend",K1211="SAP",K1211="Network"),P1211=""),"Add Correlation ID",IF(AND(I1211="Fail",T1211=""),"Write Root Cause / evidence gap",IF(AND(I1211="Fail",V1211=""),"Assign team","OK"))))))))</f>
        <v/>
      </c>
    </row>
    <row r="1212">
      <c r="A1212" s="5" t="n"/>
      <c r="B1212" s="5" t="n"/>
      <c r="C1212" s="5" t="n"/>
      <c r="D1212" s="5" t="n"/>
      <c r="E1212" s="5" t="n"/>
      <c r="F1212" s="5" t="n"/>
      <c r="G1212" s="5" t="n"/>
      <c r="H1212" s="5" t="n"/>
      <c r="I1212" s="5" t="n"/>
      <c r="J1212" s="5" t="n"/>
      <c r="K1212" s="5" t="n"/>
      <c r="L1212" s="5" t="n"/>
      <c r="M1212" s="5" t="n"/>
      <c r="N1212" s="5" t="n"/>
      <c r="O1212" s="5" t="n"/>
      <c r="P1212" s="5" t="n"/>
      <c r="Q1212" s="5" t="n"/>
      <c r="R1212" s="5" t="n"/>
      <c r="S1212" s="5" t="n"/>
      <c r="T1212" s="5" t="n"/>
      <c r="U1212" s="5" t="n"/>
      <c r="V1212" s="5" t="n"/>
      <c r="W1212" s="5" t="n"/>
      <c r="X1212" s="5" t="n"/>
      <c r="Y1212" s="5">
        <f>IF(I1212="","",IF(AND(I1212="Fail",K1212=""),"Classify Issue Source",IF(AND(I1212="Fail",W1212=""),"Set Confidence",IF(AND(K1212="Unknown",W1212&lt;&gt;"Low"),"Unknown must be Low confidence",IF(AND(OR(K1212="Backend",K1212="SAP"),N1212=""),"Add HTTP status + endpoint",IF(AND(OR(K1212="Backend",K1212="SAP",K1212="Network"),P1212=""),"Add Correlation ID",IF(AND(I1212="Fail",T1212=""),"Write Root Cause / evidence gap",IF(AND(I1212="Fail",V1212=""),"Assign team","OK"))))))))</f>
        <v/>
      </c>
    </row>
    <row r="1213">
      <c r="A1213" s="5" t="n"/>
      <c r="B1213" s="5" t="n"/>
      <c r="C1213" s="5" t="n"/>
      <c r="D1213" s="5" t="n"/>
      <c r="E1213" s="5" t="n"/>
      <c r="F1213" s="5" t="n"/>
      <c r="G1213" s="5" t="n"/>
      <c r="H1213" s="5" t="n"/>
      <c r="I1213" s="5" t="n"/>
      <c r="J1213" s="5" t="n"/>
      <c r="K1213" s="5" t="n"/>
      <c r="L1213" s="5" t="n"/>
      <c r="M1213" s="5" t="n"/>
      <c r="N1213" s="5" t="n"/>
      <c r="O1213" s="5" t="n"/>
      <c r="P1213" s="5" t="n"/>
      <c r="Q1213" s="5" t="n"/>
      <c r="R1213" s="5" t="n"/>
      <c r="S1213" s="5" t="n"/>
      <c r="T1213" s="5" t="n"/>
      <c r="U1213" s="5" t="n"/>
      <c r="V1213" s="5" t="n"/>
      <c r="W1213" s="5" t="n"/>
      <c r="X1213" s="5" t="n"/>
      <c r="Y1213" s="5">
        <f>IF(I1213="","",IF(AND(I1213="Fail",K1213=""),"Classify Issue Source",IF(AND(I1213="Fail",W1213=""),"Set Confidence",IF(AND(K1213="Unknown",W1213&lt;&gt;"Low"),"Unknown must be Low confidence",IF(AND(OR(K1213="Backend",K1213="SAP"),N1213=""),"Add HTTP status + endpoint",IF(AND(OR(K1213="Backend",K1213="SAP",K1213="Network"),P1213=""),"Add Correlation ID",IF(AND(I1213="Fail",T1213=""),"Write Root Cause / evidence gap",IF(AND(I1213="Fail",V1213=""),"Assign team","OK"))))))))</f>
        <v/>
      </c>
    </row>
    <row r="1214">
      <c r="A1214" s="5" t="n"/>
      <c r="B1214" s="5" t="n"/>
      <c r="C1214" s="5" t="n"/>
      <c r="D1214" s="5" t="n"/>
      <c r="E1214" s="5" t="n"/>
      <c r="F1214" s="5" t="n"/>
      <c r="G1214" s="5" t="n"/>
      <c r="H1214" s="5" t="n"/>
      <c r="I1214" s="5" t="n"/>
      <c r="J1214" s="5" t="n"/>
      <c r="K1214" s="5" t="n"/>
      <c r="L1214" s="5" t="n"/>
      <c r="M1214" s="5" t="n"/>
      <c r="N1214" s="5" t="n"/>
      <c r="O1214" s="5" t="n"/>
      <c r="P1214" s="5" t="n"/>
      <c r="Q1214" s="5" t="n"/>
      <c r="R1214" s="5" t="n"/>
      <c r="S1214" s="5" t="n"/>
      <c r="T1214" s="5" t="n"/>
      <c r="U1214" s="5" t="n"/>
      <c r="V1214" s="5" t="n"/>
      <c r="W1214" s="5" t="n"/>
      <c r="X1214" s="5" t="n"/>
      <c r="Y1214" s="5">
        <f>IF(I1214="","",IF(AND(I1214="Fail",K1214=""),"Classify Issue Source",IF(AND(I1214="Fail",W1214=""),"Set Confidence",IF(AND(K1214="Unknown",W1214&lt;&gt;"Low"),"Unknown must be Low confidence",IF(AND(OR(K1214="Backend",K1214="SAP"),N1214=""),"Add HTTP status + endpoint",IF(AND(OR(K1214="Backend",K1214="SAP",K1214="Network"),P1214=""),"Add Correlation ID",IF(AND(I1214="Fail",T1214=""),"Write Root Cause / evidence gap",IF(AND(I1214="Fail",V1214=""),"Assign team","OK"))))))))</f>
        <v/>
      </c>
    </row>
    <row r="1215">
      <c r="A1215" s="5" t="n"/>
      <c r="B1215" s="5" t="n"/>
      <c r="C1215" s="5" t="n"/>
      <c r="D1215" s="5" t="n"/>
      <c r="E1215" s="5" t="n"/>
      <c r="F1215" s="5" t="n"/>
      <c r="G1215" s="5" t="n"/>
      <c r="H1215" s="5" t="n"/>
      <c r="I1215" s="5" t="n"/>
      <c r="J1215" s="5" t="n"/>
      <c r="K1215" s="5" t="n"/>
      <c r="L1215" s="5" t="n"/>
      <c r="M1215" s="5" t="n"/>
      <c r="N1215" s="5" t="n"/>
      <c r="O1215" s="5" t="n"/>
      <c r="P1215" s="5" t="n"/>
      <c r="Q1215" s="5" t="n"/>
      <c r="R1215" s="5" t="n"/>
      <c r="S1215" s="5" t="n"/>
      <c r="T1215" s="5" t="n"/>
      <c r="U1215" s="5" t="n"/>
      <c r="V1215" s="5" t="n"/>
      <c r="W1215" s="5" t="n"/>
      <c r="X1215" s="5" t="n"/>
      <c r="Y1215" s="5">
        <f>IF(I1215="","",IF(AND(I1215="Fail",K1215=""),"Classify Issue Source",IF(AND(I1215="Fail",W1215=""),"Set Confidence",IF(AND(K1215="Unknown",W1215&lt;&gt;"Low"),"Unknown must be Low confidence",IF(AND(OR(K1215="Backend",K1215="SAP"),N1215=""),"Add HTTP status + endpoint",IF(AND(OR(K1215="Backend",K1215="SAP",K1215="Network"),P1215=""),"Add Correlation ID",IF(AND(I1215="Fail",T1215=""),"Write Root Cause / evidence gap",IF(AND(I1215="Fail",V1215=""),"Assign team","OK"))))))))</f>
        <v/>
      </c>
    </row>
    <row r="1216">
      <c r="A1216" s="5" t="n"/>
      <c r="B1216" s="5" t="n"/>
      <c r="C1216" s="5" t="n"/>
      <c r="D1216" s="5" t="n"/>
      <c r="E1216" s="5" t="n"/>
      <c r="F1216" s="5" t="n"/>
      <c r="G1216" s="5" t="n"/>
      <c r="H1216" s="5" t="n"/>
      <c r="I1216" s="5" t="n"/>
      <c r="J1216" s="5" t="n"/>
      <c r="K1216" s="5" t="n"/>
      <c r="L1216" s="5" t="n"/>
      <c r="M1216" s="5" t="n"/>
      <c r="N1216" s="5" t="n"/>
      <c r="O1216" s="5" t="n"/>
      <c r="P1216" s="5" t="n"/>
      <c r="Q1216" s="5" t="n"/>
      <c r="R1216" s="5" t="n"/>
      <c r="S1216" s="5" t="n"/>
      <c r="T1216" s="5" t="n"/>
      <c r="U1216" s="5" t="n"/>
      <c r="V1216" s="5" t="n"/>
      <c r="W1216" s="5" t="n"/>
      <c r="X1216" s="5" t="n"/>
      <c r="Y1216" s="5">
        <f>IF(I1216="","",IF(AND(I1216="Fail",K1216=""),"Classify Issue Source",IF(AND(I1216="Fail",W1216=""),"Set Confidence",IF(AND(K1216="Unknown",W1216&lt;&gt;"Low"),"Unknown must be Low confidence",IF(AND(OR(K1216="Backend",K1216="SAP"),N1216=""),"Add HTTP status + endpoint",IF(AND(OR(K1216="Backend",K1216="SAP",K1216="Network"),P1216=""),"Add Correlation ID",IF(AND(I1216="Fail",T1216=""),"Write Root Cause / evidence gap",IF(AND(I1216="Fail",V1216=""),"Assign team","OK"))))))))</f>
        <v/>
      </c>
    </row>
    <row r="1217">
      <c r="A1217" s="5" t="n"/>
      <c r="B1217" s="5" t="n"/>
      <c r="C1217" s="5" t="n"/>
      <c r="D1217" s="5" t="n"/>
      <c r="E1217" s="5" t="n"/>
      <c r="F1217" s="5" t="n"/>
      <c r="G1217" s="5" t="n"/>
      <c r="H1217" s="5" t="n"/>
      <c r="I1217" s="5" t="n"/>
      <c r="J1217" s="5" t="n"/>
      <c r="K1217" s="5" t="n"/>
      <c r="L1217" s="5" t="n"/>
      <c r="M1217" s="5" t="n"/>
      <c r="N1217" s="5" t="n"/>
      <c r="O1217" s="5" t="n"/>
      <c r="P1217" s="5" t="n"/>
      <c r="Q1217" s="5" t="n"/>
      <c r="R1217" s="5" t="n"/>
      <c r="S1217" s="5" t="n"/>
      <c r="T1217" s="5" t="n"/>
      <c r="U1217" s="5" t="n"/>
      <c r="V1217" s="5" t="n"/>
      <c r="W1217" s="5" t="n"/>
      <c r="X1217" s="5" t="n"/>
      <c r="Y1217" s="5">
        <f>IF(I1217="","",IF(AND(I1217="Fail",K1217=""),"Classify Issue Source",IF(AND(I1217="Fail",W1217=""),"Set Confidence",IF(AND(K1217="Unknown",W1217&lt;&gt;"Low"),"Unknown must be Low confidence",IF(AND(OR(K1217="Backend",K1217="SAP"),N1217=""),"Add HTTP status + endpoint",IF(AND(OR(K1217="Backend",K1217="SAP",K1217="Network"),P1217=""),"Add Correlation ID",IF(AND(I1217="Fail",T1217=""),"Write Root Cause / evidence gap",IF(AND(I1217="Fail",V1217=""),"Assign team","OK"))))))))</f>
        <v/>
      </c>
    </row>
    <row r="1218">
      <c r="A1218" s="5" t="n"/>
      <c r="B1218" s="5" t="n"/>
      <c r="C1218" s="5" t="n"/>
      <c r="D1218" s="5" t="n"/>
      <c r="E1218" s="5" t="n"/>
      <c r="F1218" s="5" t="n"/>
      <c r="G1218" s="5" t="n"/>
      <c r="H1218" s="5" t="n"/>
      <c r="I1218" s="5" t="n"/>
      <c r="J1218" s="5" t="n"/>
      <c r="K1218" s="5" t="n"/>
      <c r="L1218" s="5" t="n"/>
      <c r="M1218" s="5" t="n"/>
      <c r="N1218" s="5" t="n"/>
      <c r="O1218" s="5" t="n"/>
      <c r="P1218" s="5" t="n"/>
      <c r="Q1218" s="5" t="n"/>
      <c r="R1218" s="5" t="n"/>
      <c r="S1218" s="5" t="n"/>
      <c r="T1218" s="5" t="n"/>
      <c r="U1218" s="5" t="n"/>
      <c r="V1218" s="5" t="n"/>
      <c r="W1218" s="5" t="n"/>
      <c r="X1218" s="5" t="n"/>
      <c r="Y1218" s="5">
        <f>IF(I1218="","",IF(AND(I1218="Fail",K1218=""),"Classify Issue Source",IF(AND(I1218="Fail",W1218=""),"Set Confidence",IF(AND(K1218="Unknown",W1218&lt;&gt;"Low"),"Unknown must be Low confidence",IF(AND(OR(K1218="Backend",K1218="SAP"),N1218=""),"Add HTTP status + endpoint",IF(AND(OR(K1218="Backend",K1218="SAP",K1218="Network"),P1218=""),"Add Correlation ID",IF(AND(I1218="Fail",T1218=""),"Write Root Cause / evidence gap",IF(AND(I1218="Fail",V1218=""),"Assign team","OK"))))))))</f>
        <v/>
      </c>
    </row>
    <row r="1219">
      <c r="A1219" s="5" t="n"/>
      <c r="B1219" s="5" t="n"/>
      <c r="C1219" s="5" t="n"/>
      <c r="D1219" s="5" t="n"/>
      <c r="E1219" s="5" t="n"/>
      <c r="F1219" s="5" t="n"/>
      <c r="G1219" s="5" t="n"/>
      <c r="H1219" s="5" t="n"/>
      <c r="I1219" s="5" t="n"/>
      <c r="J1219" s="5" t="n"/>
      <c r="K1219" s="5" t="n"/>
      <c r="L1219" s="5" t="n"/>
      <c r="M1219" s="5" t="n"/>
      <c r="N1219" s="5" t="n"/>
      <c r="O1219" s="5" t="n"/>
      <c r="P1219" s="5" t="n"/>
      <c r="Q1219" s="5" t="n"/>
      <c r="R1219" s="5" t="n"/>
      <c r="S1219" s="5" t="n"/>
      <c r="T1219" s="5" t="n"/>
      <c r="U1219" s="5" t="n"/>
      <c r="V1219" s="5" t="n"/>
      <c r="W1219" s="5" t="n"/>
      <c r="X1219" s="5" t="n"/>
      <c r="Y1219" s="5">
        <f>IF(I1219="","",IF(AND(I1219="Fail",K1219=""),"Classify Issue Source",IF(AND(I1219="Fail",W1219=""),"Set Confidence",IF(AND(K1219="Unknown",W1219&lt;&gt;"Low"),"Unknown must be Low confidence",IF(AND(OR(K1219="Backend",K1219="SAP"),N1219=""),"Add HTTP status + endpoint",IF(AND(OR(K1219="Backend",K1219="SAP",K1219="Network"),P1219=""),"Add Correlation ID",IF(AND(I1219="Fail",T1219=""),"Write Root Cause / evidence gap",IF(AND(I1219="Fail",V1219=""),"Assign team","OK"))))))))</f>
        <v/>
      </c>
    </row>
    <row r="1220">
      <c r="A1220" s="5" t="n"/>
      <c r="B1220" s="5" t="n"/>
      <c r="C1220" s="5" t="n"/>
      <c r="D1220" s="5" t="n"/>
      <c r="E1220" s="5" t="n"/>
      <c r="F1220" s="5" t="n"/>
      <c r="G1220" s="5" t="n"/>
      <c r="H1220" s="5" t="n"/>
      <c r="I1220" s="5" t="n"/>
      <c r="J1220" s="5" t="n"/>
      <c r="K1220" s="5" t="n"/>
      <c r="L1220" s="5" t="n"/>
      <c r="M1220" s="5" t="n"/>
      <c r="N1220" s="5" t="n"/>
      <c r="O1220" s="5" t="n"/>
      <c r="P1220" s="5" t="n"/>
      <c r="Q1220" s="5" t="n"/>
      <c r="R1220" s="5" t="n"/>
      <c r="S1220" s="5" t="n"/>
      <c r="T1220" s="5" t="n"/>
      <c r="U1220" s="5" t="n"/>
      <c r="V1220" s="5" t="n"/>
      <c r="W1220" s="5" t="n"/>
      <c r="X1220" s="5" t="n"/>
      <c r="Y1220" s="5">
        <f>IF(I1220="","",IF(AND(I1220="Fail",K1220=""),"Classify Issue Source",IF(AND(I1220="Fail",W1220=""),"Set Confidence",IF(AND(K1220="Unknown",W1220&lt;&gt;"Low"),"Unknown must be Low confidence",IF(AND(OR(K1220="Backend",K1220="SAP"),N1220=""),"Add HTTP status + endpoint",IF(AND(OR(K1220="Backend",K1220="SAP",K1220="Network"),P1220=""),"Add Correlation ID",IF(AND(I1220="Fail",T1220=""),"Write Root Cause / evidence gap",IF(AND(I1220="Fail",V1220=""),"Assign team","OK"))))))))</f>
        <v/>
      </c>
    </row>
    <row r="1221">
      <c r="A1221" s="5" t="n"/>
      <c r="B1221" s="5" t="n"/>
      <c r="C1221" s="5" t="n"/>
      <c r="D1221" s="5" t="n"/>
      <c r="E1221" s="5" t="n"/>
      <c r="F1221" s="5" t="n"/>
      <c r="G1221" s="5" t="n"/>
      <c r="H1221" s="5" t="n"/>
      <c r="I1221" s="5" t="n"/>
      <c r="J1221" s="5" t="n"/>
      <c r="K1221" s="5" t="n"/>
      <c r="L1221" s="5" t="n"/>
      <c r="M1221" s="5" t="n"/>
      <c r="N1221" s="5" t="n"/>
      <c r="O1221" s="5" t="n"/>
      <c r="P1221" s="5" t="n"/>
      <c r="Q1221" s="5" t="n"/>
      <c r="R1221" s="5" t="n"/>
      <c r="S1221" s="5" t="n"/>
      <c r="T1221" s="5" t="n"/>
      <c r="U1221" s="5" t="n"/>
      <c r="V1221" s="5" t="n"/>
      <c r="W1221" s="5" t="n"/>
      <c r="X1221" s="5" t="n"/>
      <c r="Y1221" s="5">
        <f>IF(I1221="","",IF(AND(I1221="Fail",K1221=""),"Classify Issue Source",IF(AND(I1221="Fail",W1221=""),"Set Confidence",IF(AND(K1221="Unknown",W1221&lt;&gt;"Low"),"Unknown must be Low confidence",IF(AND(OR(K1221="Backend",K1221="SAP"),N1221=""),"Add HTTP status + endpoint",IF(AND(OR(K1221="Backend",K1221="SAP",K1221="Network"),P1221=""),"Add Correlation ID",IF(AND(I1221="Fail",T1221=""),"Write Root Cause / evidence gap",IF(AND(I1221="Fail",V1221=""),"Assign team","OK"))))))))</f>
        <v/>
      </c>
    </row>
    <row r="1222">
      <c r="A1222" s="5" t="n"/>
      <c r="B1222" s="5" t="n"/>
      <c r="C1222" s="5" t="n"/>
      <c r="D1222" s="5" t="n"/>
      <c r="E1222" s="5" t="n"/>
      <c r="F1222" s="5" t="n"/>
      <c r="G1222" s="5" t="n"/>
      <c r="H1222" s="5" t="n"/>
      <c r="I1222" s="5" t="n"/>
      <c r="J1222" s="5" t="n"/>
      <c r="K1222" s="5" t="n"/>
      <c r="L1222" s="5" t="n"/>
      <c r="M1222" s="5" t="n"/>
      <c r="N1222" s="5" t="n"/>
      <c r="O1222" s="5" t="n"/>
      <c r="P1222" s="5" t="n"/>
      <c r="Q1222" s="5" t="n"/>
      <c r="R1222" s="5" t="n"/>
      <c r="S1222" s="5" t="n"/>
      <c r="T1222" s="5" t="n"/>
      <c r="U1222" s="5" t="n"/>
      <c r="V1222" s="5" t="n"/>
      <c r="W1222" s="5" t="n"/>
      <c r="X1222" s="5" t="n"/>
      <c r="Y1222" s="5">
        <f>IF(I1222="","",IF(AND(I1222="Fail",K1222=""),"Classify Issue Source",IF(AND(I1222="Fail",W1222=""),"Set Confidence",IF(AND(K1222="Unknown",W1222&lt;&gt;"Low"),"Unknown must be Low confidence",IF(AND(OR(K1222="Backend",K1222="SAP"),N1222=""),"Add HTTP status + endpoint",IF(AND(OR(K1222="Backend",K1222="SAP",K1222="Network"),P1222=""),"Add Correlation ID",IF(AND(I1222="Fail",T1222=""),"Write Root Cause / evidence gap",IF(AND(I1222="Fail",V1222=""),"Assign team","OK"))))))))</f>
        <v/>
      </c>
    </row>
    <row r="1223">
      <c r="A1223" s="5" t="n"/>
      <c r="B1223" s="5" t="n"/>
      <c r="C1223" s="5" t="n"/>
      <c r="D1223" s="5" t="n"/>
      <c r="E1223" s="5" t="n"/>
      <c r="F1223" s="5" t="n"/>
      <c r="G1223" s="5" t="n"/>
      <c r="H1223" s="5" t="n"/>
      <c r="I1223" s="5" t="n"/>
      <c r="J1223" s="5" t="n"/>
      <c r="K1223" s="5" t="n"/>
      <c r="L1223" s="5" t="n"/>
      <c r="M1223" s="5" t="n"/>
      <c r="N1223" s="5" t="n"/>
      <c r="O1223" s="5" t="n"/>
      <c r="P1223" s="5" t="n"/>
      <c r="Q1223" s="5" t="n"/>
      <c r="R1223" s="5" t="n"/>
      <c r="S1223" s="5" t="n"/>
      <c r="T1223" s="5" t="n"/>
      <c r="U1223" s="5" t="n"/>
      <c r="V1223" s="5" t="n"/>
      <c r="W1223" s="5" t="n"/>
      <c r="X1223" s="5" t="n"/>
      <c r="Y1223" s="5">
        <f>IF(I1223="","",IF(AND(I1223="Fail",K1223=""),"Classify Issue Source",IF(AND(I1223="Fail",W1223=""),"Set Confidence",IF(AND(K1223="Unknown",W1223&lt;&gt;"Low"),"Unknown must be Low confidence",IF(AND(OR(K1223="Backend",K1223="SAP"),N1223=""),"Add HTTP status + endpoint",IF(AND(OR(K1223="Backend",K1223="SAP",K1223="Network"),P1223=""),"Add Correlation ID",IF(AND(I1223="Fail",T1223=""),"Write Root Cause / evidence gap",IF(AND(I1223="Fail",V1223=""),"Assign team","OK"))))))))</f>
        <v/>
      </c>
    </row>
    <row r="1224">
      <c r="A1224" s="5" t="n"/>
      <c r="B1224" s="5" t="n"/>
      <c r="C1224" s="5" t="n"/>
      <c r="D1224" s="5" t="n"/>
      <c r="E1224" s="5" t="n"/>
      <c r="F1224" s="5" t="n"/>
      <c r="G1224" s="5" t="n"/>
      <c r="H1224" s="5" t="n"/>
      <c r="I1224" s="5" t="n"/>
      <c r="J1224" s="5" t="n"/>
      <c r="K1224" s="5" t="n"/>
      <c r="L1224" s="5" t="n"/>
      <c r="M1224" s="5" t="n"/>
      <c r="N1224" s="5" t="n"/>
      <c r="O1224" s="5" t="n"/>
      <c r="P1224" s="5" t="n"/>
      <c r="Q1224" s="5" t="n"/>
      <c r="R1224" s="5" t="n"/>
      <c r="S1224" s="5" t="n"/>
      <c r="T1224" s="5" t="n"/>
      <c r="U1224" s="5" t="n"/>
      <c r="V1224" s="5" t="n"/>
      <c r="W1224" s="5" t="n"/>
      <c r="X1224" s="5" t="n"/>
      <c r="Y1224" s="5">
        <f>IF(I1224="","",IF(AND(I1224="Fail",K1224=""),"Classify Issue Source",IF(AND(I1224="Fail",W1224=""),"Set Confidence",IF(AND(K1224="Unknown",W1224&lt;&gt;"Low"),"Unknown must be Low confidence",IF(AND(OR(K1224="Backend",K1224="SAP"),N1224=""),"Add HTTP status + endpoint",IF(AND(OR(K1224="Backend",K1224="SAP",K1224="Network"),P1224=""),"Add Correlation ID",IF(AND(I1224="Fail",T1224=""),"Write Root Cause / evidence gap",IF(AND(I1224="Fail",V1224=""),"Assign team","OK"))))))))</f>
        <v/>
      </c>
    </row>
    <row r="1225">
      <c r="A1225" s="5" t="n"/>
      <c r="B1225" s="5" t="n"/>
      <c r="C1225" s="5" t="n"/>
      <c r="D1225" s="5" t="n"/>
      <c r="E1225" s="5" t="n"/>
      <c r="F1225" s="5" t="n"/>
      <c r="G1225" s="5" t="n"/>
      <c r="H1225" s="5" t="n"/>
      <c r="I1225" s="5" t="n"/>
      <c r="J1225" s="5" t="n"/>
      <c r="K1225" s="5" t="n"/>
      <c r="L1225" s="5" t="n"/>
      <c r="M1225" s="5" t="n"/>
      <c r="N1225" s="5" t="n"/>
      <c r="O1225" s="5" t="n"/>
      <c r="P1225" s="5" t="n"/>
      <c r="Q1225" s="5" t="n"/>
      <c r="R1225" s="5" t="n"/>
      <c r="S1225" s="5" t="n"/>
      <c r="T1225" s="5" t="n"/>
      <c r="U1225" s="5" t="n"/>
      <c r="V1225" s="5" t="n"/>
      <c r="W1225" s="5" t="n"/>
      <c r="X1225" s="5" t="n"/>
      <c r="Y1225" s="5">
        <f>IF(I1225="","",IF(AND(I1225="Fail",K1225=""),"Classify Issue Source",IF(AND(I1225="Fail",W1225=""),"Set Confidence",IF(AND(K1225="Unknown",W1225&lt;&gt;"Low"),"Unknown must be Low confidence",IF(AND(OR(K1225="Backend",K1225="SAP"),N1225=""),"Add HTTP status + endpoint",IF(AND(OR(K1225="Backend",K1225="SAP",K1225="Network"),P1225=""),"Add Correlation ID",IF(AND(I1225="Fail",T1225=""),"Write Root Cause / evidence gap",IF(AND(I1225="Fail",V1225=""),"Assign team","OK"))))))))</f>
        <v/>
      </c>
    </row>
    <row r="1226">
      <c r="A1226" s="5" t="n"/>
      <c r="B1226" s="5" t="n"/>
      <c r="C1226" s="5" t="n"/>
      <c r="D1226" s="5" t="n"/>
      <c r="E1226" s="5" t="n"/>
      <c r="F1226" s="5" t="n"/>
      <c r="G1226" s="5" t="n"/>
      <c r="H1226" s="5" t="n"/>
      <c r="I1226" s="5" t="n"/>
      <c r="J1226" s="5" t="n"/>
      <c r="K1226" s="5" t="n"/>
      <c r="L1226" s="5" t="n"/>
      <c r="M1226" s="5" t="n"/>
      <c r="N1226" s="5" t="n"/>
      <c r="O1226" s="5" t="n"/>
      <c r="P1226" s="5" t="n"/>
      <c r="Q1226" s="5" t="n"/>
      <c r="R1226" s="5" t="n"/>
      <c r="S1226" s="5" t="n"/>
      <c r="T1226" s="5" t="n"/>
      <c r="U1226" s="5" t="n"/>
      <c r="V1226" s="5" t="n"/>
      <c r="W1226" s="5" t="n"/>
      <c r="X1226" s="5" t="n"/>
      <c r="Y1226" s="5">
        <f>IF(I1226="","",IF(AND(I1226="Fail",K1226=""),"Classify Issue Source",IF(AND(I1226="Fail",W1226=""),"Set Confidence",IF(AND(K1226="Unknown",W1226&lt;&gt;"Low"),"Unknown must be Low confidence",IF(AND(OR(K1226="Backend",K1226="SAP"),N1226=""),"Add HTTP status + endpoint",IF(AND(OR(K1226="Backend",K1226="SAP",K1226="Network"),P1226=""),"Add Correlation ID",IF(AND(I1226="Fail",T1226=""),"Write Root Cause / evidence gap",IF(AND(I1226="Fail",V1226=""),"Assign team","OK"))))))))</f>
        <v/>
      </c>
    </row>
    <row r="1227">
      <c r="A1227" s="5" t="n"/>
      <c r="B1227" s="5" t="n"/>
      <c r="C1227" s="5" t="n"/>
      <c r="D1227" s="5" t="n"/>
      <c r="E1227" s="5" t="n"/>
      <c r="F1227" s="5" t="n"/>
      <c r="G1227" s="5" t="n"/>
      <c r="H1227" s="5" t="n"/>
      <c r="I1227" s="5" t="n"/>
      <c r="J1227" s="5" t="n"/>
      <c r="K1227" s="5" t="n"/>
      <c r="L1227" s="5" t="n"/>
      <c r="M1227" s="5" t="n"/>
      <c r="N1227" s="5" t="n"/>
      <c r="O1227" s="5" t="n"/>
      <c r="P1227" s="5" t="n"/>
      <c r="Q1227" s="5" t="n"/>
      <c r="R1227" s="5" t="n"/>
      <c r="S1227" s="5" t="n"/>
      <c r="T1227" s="5" t="n"/>
      <c r="U1227" s="5" t="n"/>
      <c r="V1227" s="5" t="n"/>
      <c r="W1227" s="5" t="n"/>
      <c r="X1227" s="5" t="n"/>
      <c r="Y1227" s="5">
        <f>IF(I1227="","",IF(AND(I1227="Fail",K1227=""),"Classify Issue Source",IF(AND(I1227="Fail",W1227=""),"Set Confidence",IF(AND(K1227="Unknown",W1227&lt;&gt;"Low"),"Unknown must be Low confidence",IF(AND(OR(K1227="Backend",K1227="SAP"),N1227=""),"Add HTTP status + endpoint",IF(AND(OR(K1227="Backend",K1227="SAP",K1227="Network"),P1227=""),"Add Correlation ID",IF(AND(I1227="Fail",T1227=""),"Write Root Cause / evidence gap",IF(AND(I1227="Fail",V1227=""),"Assign team","OK"))))))))</f>
        <v/>
      </c>
    </row>
    <row r="1228">
      <c r="A1228" s="5" t="n"/>
      <c r="B1228" s="5" t="n"/>
      <c r="C1228" s="5" t="n"/>
      <c r="D1228" s="5" t="n"/>
      <c r="E1228" s="5" t="n"/>
      <c r="F1228" s="5" t="n"/>
      <c r="G1228" s="5" t="n"/>
      <c r="H1228" s="5" t="n"/>
      <c r="I1228" s="5" t="n"/>
      <c r="J1228" s="5" t="n"/>
      <c r="K1228" s="5" t="n"/>
      <c r="L1228" s="5" t="n"/>
      <c r="M1228" s="5" t="n"/>
      <c r="N1228" s="5" t="n"/>
      <c r="O1228" s="5" t="n"/>
      <c r="P1228" s="5" t="n"/>
      <c r="Q1228" s="5" t="n"/>
      <c r="R1228" s="5" t="n"/>
      <c r="S1228" s="5" t="n"/>
      <c r="T1228" s="5" t="n"/>
      <c r="U1228" s="5" t="n"/>
      <c r="V1228" s="5" t="n"/>
      <c r="W1228" s="5" t="n"/>
      <c r="X1228" s="5" t="n"/>
      <c r="Y1228" s="5">
        <f>IF(I1228="","",IF(AND(I1228="Fail",K1228=""),"Classify Issue Source",IF(AND(I1228="Fail",W1228=""),"Set Confidence",IF(AND(K1228="Unknown",W1228&lt;&gt;"Low"),"Unknown must be Low confidence",IF(AND(OR(K1228="Backend",K1228="SAP"),N1228=""),"Add HTTP status + endpoint",IF(AND(OR(K1228="Backend",K1228="SAP",K1228="Network"),P1228=""),"Add Correlation ID",IF(AND(I1228="Fail",T1228=""),"Write Root Cause / evidence gap",IF(AND(I1228="Fail",V1228=""),"Assign team","OK"))))))))</f>
        <v/>
      </c>
    </row>
    <row r="1229">
      <c r="A1229" s="5" t="n"/>
      <c r="B1229" s="5" t="n"/>
      <c r="C1229" s="5" t="n"/>
      <c r="D1229" s="5" t="n"/>
      <c r="E1229" s="5" t="n"/>
      <c r="F1229" s="5" t="n"/>
      <c r="G1229" s="5" t="n"/>
      <c r="H1229" s="5" t="n"/>
      <c r="I1229" s="5" t="n"/>
      <c r="J1229" s="5" t="n"/>
      <c r="K1229" s="5" t="n"/>
      <c r="L1229" s="5" t="n"/>
      <c r="M1229" s="5" t="n"/>
      <c r="N1229" s="5" t="n"/>
      <c r="O1229" s="5" t="n"/>
      <c r="P1229" s="5" t="n"/>
      <c r="Q1229" s="5" t="n"/>
      <c r="R1229" s="5" t="n"/>
      <c r="S1229" s="5" t="n"/>
      <c r="T1229" s="5" t="n"/>
      <c r="U1229" s="5" t="n"/>
      <c r="V1229" s="5" t="n"/>
      <c r="W1229" s="5" t="n"/>
      <c r="X1229" s="5" t="n"/>
      <c r="Y1229" s="5">
        <f>IF(I1229="","",IF(AND(I1229="Fail",K1229=""),"Classify Issue Source",IF(AND(I1229="Fail",W1229=""),"Set Confidence",IF(AND(K1229="Unknown",W1229&lt;&gt;"Low"),"Unknown must be Low confidence",IF(AND(OR(K1229="Backend",K1229="SAP"),N1229=""),"Add HTTP status + endpoint",IF(AND(OR(K1229="Backend",K1229="SAP",K1229="Network"),P1229=""),"Add Correlation ID",IF(AND(I1229="Fail",T1229=""),"Write Root Cause / evidence gap",IF(AND(I1229="Fail",V1229=""),"Assign team","OK"))))))))</f>
        <v/>
      </c>
    </row>
    <row r="1230">
      <c r="A1230" s="5" t="n"/>
      <c r="B1230" s="5" t="n"/>
      <c r="C1230" s="5" t="n"/>
      <c r="D1230" s="5" t="n"/>
      <c r="E1230" s="5" t="n"/>
      <c r="F1230" s="5" t="n"/>
      <c r="G1230" s="5" t="n"/>
      <c r="H1230" s="5" t="n"/>
      <c r="I1230" s="5" t="n"/>
      <c r="J1230" s="5" t="n"/>
      <c r="K1230" s="5" t="n"/>
      <c r="L1230" s="5" t="n"/>
      <c r="M1230" s="5" t="n"/>
      <c r="N1230" s="5" t="n"/>
      <c r="O1230" s="5" t="n"/>
      <c r="P1230" s="5" t="n"/>
      <c r="Q1230" s="5" t="n"/>
      <c r="R1230" s="5" t="n"/>
      <c r="S1230" s="5" t="n"/>
      <c r="T1230" s="5" t="n"/>
      <c r="U1230" s="5" t="n"/>
      <c r="V1230" s="5" t="n"/>
      <c r="W1230" s="5" t="n"/>
      <c r="X1230" s="5" t="n"/>
      <c r="Y1230" s="5">
        <f>IF(I1230="","",IF(AND(I1230="Fail",K1230=""),"Classify Issue Source",IF(AND(I1230="Fail",W1230=""),"Set Confidence",IF(AND(K1230="Unknown",W1230&lt;&gt;"Low"),"Unknown must be Low confidence",IF(AND(OR(K1230="Backend",K1230="SAP"),N1230=""),"Add HTTP status + endpoint",IF(AND(OR(K1230="Backend",K1230="SAP",K1230="Network"),P1230=""),"Add Correlation ID",IF(AND(I1230="Fail",T1230=""),"Write Root Cause / evidence gap",IF(AND(I1230="Fail",V1230=""),"Assign team","OK"))))))))</f>
        <v/>
      </c>
    </row>
    <row r="1231">
      <c r="A1231" s="5" t="n"/>
      <c r="B1231" s="5" t="n"/>
      <c r="C1231" s="5" t="n"/>
      <c r="D1231" s="5" t="n"/>
      <c r="E1231" s="5" t="n"/>
      <c r="F1231" s="5" t="n"/>
      <c r="G1231" s="5" t="n"/>
      <c r="H1231" s="5" t="n"/>
      <c r="I1231" s="5" t="n"/>
      <c r="J1231" s="5" t="n"/>
      <c r="K1231" s="5" t="n"/>
      <c r="L1231" s="5" t="n"/>
      <c r="M1231" s="5" t="n"/>
      <c r="N1231" s="5" t="n"/>
      <c r="O1231" s="5" t="n"/>
      <c r="P1231" s="5" t="n"/>
      <c r="Q1231" s="5" t="n"/>
      <c r="R1231" s="5" t="n"/>
      <c r="S1231" s="5" t="n"/>
      <c r="T1231" s="5" t="n"/>
      <c r="U1231" s="5" t="n"/>
      <c r="V1231" s="5" t="n"/>
      <c r="W1231" s="5" t="n"/>
      <c r="X1231" s="5" t="n"/>
      <c r="Y1231" s="5">
        <f>IF(I1231="","",IF(AND(I1231="Fail",K1231=""),"Classify Issue Source",IF(AND(I1231="Fail",W1231=""),"Set Confidence",IF(AND(K1231="Unknown",W1231&lt;&gt;"Low"),"Unknown must be Low confidence",IF(AND(OR(K1231="Backend",K1231="SAP"),N1231=""),"Add HTTP status + endpoint",IF(AND(OR(K1231="Backend",K1231="SAP",K1231="Network"),P1231=""),"Add Correlation ID",IF(AND(I1231="Fail",T1231=""),"Write Root Cause / evidence gap",IF(AND(I1231="Fail",V1231=""),"Assign team","OK"))))))))</f>
        <v/>
      </c>
    </row>
    <row r="1232">
      <c r="A1232" s="5" t="n"/>
      <c r="B1232" s="5" t="n"/>
      <c r="C1232" s="5" t="n"/>
      <c r="D1232" s="5" t="n"/>
      <c r="E1232" s="5" t="n"/>
      <c r="F1232" s="5" t="n"/>
      <c r="G1232" s="5" t="n"/>
      <c r="H1232" s="5" t="n"/>
      <c r="I1232" s="5" t="n"/>
      <c r="J1232" s="5" t="n"/>
      <c r="K1232" s="5" t="n"/>
      <c r="L1232" s="5" t="n"/>
      <c r="M1232" s="5" t="n"/>
      <c r="N1232" s="5" t="n"/>
      <c r="O1232" s="5" t="n"/>
      <c r="P1232" s="5" t="n"/>
      <c r="Q1232" s="5" t="n"/>
      <c r="R1232" s="5" t="n"/>
      <c r="S1232" s="5" t="n"/>
      <c r="T1232" s="5" t="n"/>
      <c r="U1232" s="5" t="n"/>
      <c r="V1232" s="5" t="n"/>
      <c r="W1232" s="5" t="n"/>
      <c r="X1232" s="5" t="n"/>
      <c r="Y1232" s="5">
        <f>IF(I1232="","",IF(AND(I1232="Fail",K1232=""),"Classify Issue Source",IF(AND(I1232="Fail",W1232=""),"Set Confidence",IF(AND(K1232="Unknown",W1232&lt;&gt;"Low"),"Unknown must be Low confidence",IF(AND(OR(K1232="Backend",K1232="SAP"),N1232=""),"Add HTTP status + endpoint",IF(AND(OR(K1232="Backend",K1232="SAP",K1232="Network"),P1232=""),"Add Correlation ID",IF(AND(I1232="Fail",T1232=""),"Write Root Cause / evidence gap",IF(AND(I1232="Fail",V1232=""),"Assign team","OK"))))))))</f>
        <v/>
      </c>
    </row>
    <row r="1233">
      <c r="A1233" s="5" t="n"/>
      <c r="B1233" s="5" t="n"/>
      <c r="C1233" s="5" t="n"/>
      <c r="D1233" s="5" t="n"/>
      <c r="E1233" s="5" t="n"/>
      <c r="F1233" s="5" t="n"/>
      <c r="G1233" s="5" t="n"/>
      <c r="H1233" s="5" t="n"/>
      <c r="I1233" s="5" t="n"/>
      <c r="J1233" s="5" t="n"/>
      <c r="K1233" s="5" t="n"/>
      <c r="L1233" s="5" t="n"/>
      <c r="M1233" s="5" t="n"/>
      <c r="N1233" s="5" t="n"/>
      <c r="O1233" s="5" t="n"/>
      <c r="P1233" s="5" t="n"/>
      <c r="Q1233" s="5" t="n"/>
      <c r="R1233" s="5" t="n"/>
      <c r="S1233" s="5" t="n"/>
      <c r="T1233" s="5" t="n"/>
      <c r="U1233" s="5" t="n"/>
      <c r="V1233" s="5" t="n"/>
      <c r="W1233" s="5" t="n"/>
      <c r="X1233" s="5" t="n"/>
      <c r="Y1233" s="5">
        <f>IF(I1233="","",IF(AND(I1233="Fail",K1233=""),"Classify Issue Source",IF(AND(I1233="Fail",W1233=""),"Set Confidence",IF(AND(K1233="Unknown",W1233&lt;&gt;"Low"),"Unknown must be Low confidence",IF(AND(OR(K1233="Backend",K1233="SAP"),N1233=""),"Add HTTP status + endpoint",IF(AND(OR(K1233="Backend",K1233="SAP",K1233="Network"),P1233=""),"Add Correlation ID",IF(AND(I1233="Fail",T1233=""),"Write Root Cause / evidence gap",IF(AND(I1233="Fail",V1233=""),"Assign team","OK"))))))))</f>
        <v/>
      </c>
    </row>
    <row r="1234">
      <c r="A1234" s="5" t="n"/>
      <c r="B1234" s="5" t="n"/>
      <c r="C1234" s="5" t="n"/>
      <c r="D1234" s="5" t="n"/>
      <c r="E1234" s="5" t="n"/>
      <c r="F1234" s="5" t="n"/>
      <c r="G1234" s="5" t="n"/>
      <c r="H1234" s="5" t="n"/>
      <c r="I1234" s="5" t="n"/>
      <c r="J1234" s="5" t="n"/>
      <c r="K1234" s="5" t="n"/>
      <c r="L1234" s="5" t="n"/>
      <c r="M1234" s="5" t="n"/>
      <c r="N1234" s="5" t="n"/>
      <c r="O1234" s="5" t="n"/>
      <c r="P1234" s="5" t="n"/>
      <c r="Q1234" s="5" t="n"/>
      <c r="R1234" s="5" t="n"/>
      <c r="S1234" s="5" t="n"/>
      <c r="T1234" s="5" t="n"/>
      <c r="U1234" s="5" t="n"/>
      <c r="V1234" s="5" t="n"/>
      <c r="W1234" s="5" t="n"/>
      <c r="X1234" s="5" t="n"/>
      <c r="Y1234" s="5">
        <f>IF(I1234="","",IF(AND(I1234="Fail",K1234=""),"Classify Issue Source",IF(AND(I1234="Fail",W1234=""),"Set Confidence",IF(AND(K1234="Unknown",W1234&lt;&gt;"Low"),"Unknown must be Low confidence",IF(AND(OR(K1234="Backend",K1234="SAP"),N1234=""),"Add HTTP status + endpoint",IF(AND(OR(K1234="Backend",K1234="SAP",K1234="Network"),P1234=""),"Add Correlation ID",IF(AND(I1234="Fail",T1234=""),"Write Root Cause / evidence gap",IF(AND(I1234="Fail",V1234=""),"Assign team","OK"))))))))</f>
        <v/>
      </c>
    </row>
    <row r="1235">
      <c r="A1235" s="5" t="n"/>
      <c r="B1235" s="5" t="n"/>
      <c r="C1235" s="5" t="n"/>
      <c r="D1235" s="5" t="n"/>
      <c r="E1235" s="5" t="n"/>
      <c r="F1235" s="5" t="n"/>
      <c r="G1235" s="5" t="n"/>
      <c r="H1235" s="5" t="n"/>
      <c r="I1235" s="5" t="n"/>
      <c r="J1235" s="5" t="n"/>
      <c r="K1235" s="5" t="n"/>
      <c r="L1235" s="5" t="n"/>
      <c r="M1235" s="5" t="n"/>
      <c r="N1235" s="5" t="n"/>
      <c r="O1235" s="5" t="n"/>
      <c r="P1235" s="5" t="n"/>
      <c r="Q1235" s="5" t="n"/>
      <c r="R1235" s="5" t="n"/>
      <c r="S1235" s="5" t="n"/>
      <c r="T1235" s="5" t="n"/>
      <c r="U1235" s="5" t="n"/>
      <c r="V1235" s="5" t="n"/>
      <c r="W1235" s="5" t="n"/>
      <c r="X1235" s="5" t="n"/>
      <c r="Y1235" s="5">
        <f>IF(I1235="","",IF(AND(I1235="Fail",K1235=""),"Classify Issue Source",IF(AND(I1235="Fail",W1235=""),"Set Confidence",IF(AND(K1235="Unknown",W1235&lt;&gt;"Low"),"Unknown must be Low confidence",IF(AND(OR(K1235="Backend",K1235="SAP"),N1235=""),"Add HTTP status + endpoint",IF(AND(OR(K1235="Backend",K1235="SAP",K1235="Network"),P1235=""),"Add Correlation ID",IF(AND(I1235="Fail",T1235=""),"Write Root Cause / evidence gap",IF(AND(I1235="Fail",V1235=""),"Assign team","OK"))))))))</f>
        <v/>
      </c>
    </row>
    <row r="1236">
      <c r="A1236" s="5" t="n"/>
      <c r="B1236" s="5" t="n"/>
      <c r="C1236" s="5" t="n"/>
      <c r="D1236" s="5" t="n"/>
      <c r="E1236" s="5" t="n"/>
      <c r="F1236" s="5" t="n"/>
      <c r="G1236" s="5" t="n"/>
      <c r="H1236" s="5" t="n"/>
      <c r="I1236" s="5" t="n"/>
      <c r="J1236" s="5" t="n"/>
      <c r="K1236" s="5" t="n"/>
      <c r="L1236" s="5" t="n"/>
      <c r="M1236" s="5" t="n"/>
      <c r="N1236" s="5" t="n"/>
      <c r="O1236" s="5" t="n"/>
      <c r="P1236" s="5" t="n"/>
      <c r="Q1236" s="5" t="n"/>
      <c r="R1236" s="5" t="n"/>
      <c r="S1236" s="5" t="n"/>
      <c r="T1236" s="5" t="n"/>
      <c r="U1236" s="5" t="n"/>
      <c r="V1236" s="5" t="n"/>
      <c r="W1236" s="5" t="n"/>
      <c r="X1236" s="5" t="n"/>
      <c r="Y1236" s="5">
        <f>IF(I1236="","",IF(AND(I1236="Fail",K1236=""),"Classify Issue Source",IF(AND(I1236="Fail",W1236=""),"Set Confidence",IF(AND(K1236="Unknown",W1236&lt;&gt;"Low"),"Unknown must be Low confidence",IF(AND(OR(K1236="Backend",K1236="SAP"),N1236=""),"Add HTTP status + endpoint",IF(AND(OR(K1236="Backend",K1236="SAP",K1236="Network"),P1236=""),"Add Correlation ID",IF(AND(I1236="Fail",T1236=""),"Write Root Cause / evidence gap",IF(AND(I1236="Fail",V1236=""),"Assign team","OK"))))))))</f>
        <v/>
      </c>
    </row>
    <row r="1237">
      <c r="A1237" s="5" t="n"/>
      <c r="B1237" s="5" t="n"/>
      <c r="C1237" s="5" t="n"/>
      <c r="D1237" s="5" t="n"/>
      <c r="E1237" s="5" t="n"/>
      <c r="F1237" s="5" t="n"/>
      <c r="G1237" s="5" t="n"/>
      <c r="H1237" s="5" t="n"/>
      <c r="I1237" s="5" t="n"/>
      <c r="J1237" s="5" t="n"/>
      <c r="K1237" s="5" t="n"/>
      <c r="L1237" s="5" t="n"/>
      <c r="M1237" s="5" t="n"/>
      <c r="N1237" s="5" t="n"/>
      <c r="O1237" s="5" t="n"/>
      <c r="P1237" s="5" t="n"/>
      <c r="Q1237" s="5" t="n"/>
      <c r="R1237" s="5" t="n"/>
      <c r="S1237" s="5" t="n"/>
      <c r="T1237" s="5" t="n"/>
      <c r="U1237" s="5" t="n"/>
      <c r="V1237" s="5" t="n"/>
      <c r="W1237" s="5" t="n"/>
      <c r="X1237" s="5" t="n"/>
      <c r="Y1237" s="5">
        <f>IF(I1237="","",IF(AND(I1237="Fail",K1237=""),"Classify Issue Source",IF(AND(I1237="Fail",W1237=""),"Set Confidence",IF(AND(K1237="Unknown",W1237&lt;&gt;"Low"),"Unknown must be Low confidence",IF(AND(OR(K1237="Backend",K1237="SAP"),N1237=""),"Add HTTP status + endpoint",IF(AND(OR(K1237="Backend",K1237="SAP",K1237="Network"),P1237=""),"Add Correlation ID",IF(AND(I1237="Fail",T1237=""),"Write Root Cause / evidence gap",IF(AND(I1237="Fail",V1237=""),"Assign team","OK"))))))))</f>
        <v/>
      </c>
    </row>
    <row r="1238">
      <c r="A1238" s="5" t="n"/>
      <c r="B1238" s="5" t="n"/>
      <c r="C1238" s="5" t="n"/>
      <c r="D1238" s="5" t="n"/>
      <c r="E1238" s="5" t="n"/>
      <c r="F1238" s="5" t="n"/>
      <c r="G1238" s="5" t="n"/>
      <c r="H1238" s="5" t="n"/>
      <c r="I1238" s="5" t="n"/>
      <c r="J1238" s="5" t="n"/>
      <c r="K1238" s="5" t="n"/>
      <c r="L1238" s="5" t="n"/>
      <c r="M1238" s="5" t="n"/>
      <c r="N1238" s="5" t="n"/>
      <c r="O1238" s="5" t="n"/>
      <c r="P1238" s="5" t="n"/>
      <c r="Q1238" s="5" t="n"/>
      <c r="R1238" s="5" t="n"/>
      <c r="S1238" s="5" t="n"/>
      <c r="T1238" s="5" t="n"/>
      <c r="U1238" s="5" t="n"/>
      <c r="V1238" s="5" t="n"/>
      <c r="W1238" s="5" t="n"/>
      <c r="X1238" s="5" t="n"/>
      <c r="Y1238" s="5">
        <f>IF(I1238="","",IF(AND(I1238="Fail",K1238=""),"Classify Issue Source",IF(AND(I1238="Fail",W1238=""),"Set Confidence",IF(AND(K1238="Unknown",W1238&lt;&gt;"Low"),"Unknown must be Low confidence",IF(AND(OR(K1238="Backend",K1238="SAP"),N1238=""),"Add HTTP status + endpoint",IF(AND(OR(K1238="Backend",K1238="SAP",K1238="Network"),P1238=""),"Add Correlation ID",IF(AND(I1238="Fail",T1238=""),"Write Root Cause / evidence gap",IF(AND(I1238="Fail",V1238=""),"Assign team","OK"))))))))</f>
        <v/>
      </c>
    </row>
    <row r="1239">
      <c r="A1239" s="5" t="n"/>
      <c r="B1239" s="5" t="n"/>
      <c r="C1239" s="5" t="n"/>
      <c r="D1239" s="5" t="n"/>
      <c r="E1239" s="5" t="n"/>
      <c r="F1239" s="5" t="n"/>
      <c r="G1239" s="5" t="n"/>
      <c r="H1239" s="5" t="n"/>
      <c r="I1239" s="5" t="n"/>
      <c r="J1239" s="5" t="n"/>
      <c r="K1239" s="5" t="n"/>
      <c r="L1239" s="5" t="n"/>
      <c r="M1239" s="5" t="n"/>
      <c r="N1239" s="5" t="n"/>
      <c r="O1239" s="5" t="n"/>
      <c r="P1239" s="5" t="n"/>
      <c r="Q1239" s="5" t="n"/>
      <c r="R1239" s="5" t="n"/>
      <c r="S1239" s="5" t="n"/>
      <c r="T1239" s="5" t="n"/>
      <c r="U1239" s="5" t="n"/>
      <c r="V1239" s="5" t="n"/>
      <c r="W1239" s="5" t="n"/>
      <c r="X1239" s="5" t="n"/>
      <c r="Y1239" s="5">
        <f>IF(I1239="","",IF(AND(I1239="Fail",K1239=""),"Classify Issue Source",IF(AND(I1239="Fail",W1239=""),"Set Confidence",IF(AND(K1239="Unknown",W1239&lt;&gt;"Low"),"Unknown must be Low confidence",IF(AND(OR(K1239="Backend",K1239="SAP"),N1239=""),"Add HTTP status + endpoint",IF(AND(OR(K1239="Backend",K1239="SAP",K1239="Network"),P1239=""),"Add Correlation ID",IF(AND(I1239="Fail",T1239=""),"Write Root Cause / evidence gap",IF(AND(I1239="Fail",V1239=""),"Assign team","OK"))))))))</f>
        <v/>
      </c>
    </row>
    <row r="1240">
      <c r="A1240" s="5" t="n"/>
      <c r="B1240" s="5" t="n"/>
      <c r="C1240" s="5" t="n"/>
      <c r="D1240" s="5" t="n"/>
      <c r="E1240" s="5" t="n"/>
      <c r="F1240" s="5" t="n"/>
      <c r="G1240" s="5" t="n"/>
      <c r="H1240" s="5" t="n"/>
      <c r="I1240" s="5" t="n"/>
      <c r="J1240" s="5" t="n"/>
      <c r="K1240" s="5" t="n"/>
      <c r="L1240" s="5" t="n"/>
      <c r="M1240" s="5" t="n"/>
      <c r="N1240" s="5" t="n"/>
      <c r="O1240" s="5" t="n"/>
      <c r="P1240" s="5" t="n"/>
      <c r="Q1240" s="5" t="n"/>
      <c r="R1240" s="5" t="n"/>
      <c r="S1240" s="5" t="n"/>
      <c r="T1240" s="5" t="n"/>
      <c r="U1240" s="5" t="n"/>
      <c r="V1240" s="5" t="n"/>
      <c r="W1240" s="5" t="n"/>
      <c r="X1240" s="5" t="n"/>
      <c r="Y1240" s="5">
        <f>IF(I1240="","",IF(AND(I1240="Fail",K1240=""),"Classify Issue Source",IF(AND(I1240="Fail",W1240=""),"Set Confidence",IF(AND(K1240="Unknown",W1240&lt;&gt;"Low"),"Unknown must be Low confidence",IF(AND(OR(K1240="Backend",K1240="SAP"),N1240=""),"Add HTTP status + endpoint",IF(AND(OR(K1240="Backend",K1240="SAP",K1240="Network"),P1240=""),"Add Correlation ID",IF(AND(I1240="Fail",T1240=""),"Write Root Cause / evidence gap",IF(AND(I1240="Fail",V1240=""),"Assign team","OK"))))))))</f>
        <v/>
      </c>
    </row>
    <row r="1241">
      <c r="A1241" s="5" t="n"/>
      <c r="B1241" s="5" t="n"/>
      <c r="C1241" s="5" t="n"/>
      <c r="D1241" s="5" t="n"/>
      <c r="E1241" s="5" t="n"/>
      <c r="F1241" s="5" t="n"/>
      <c r="G1241" s="5" t="n"/>
      <c r="H1241" s="5" t="n"/>
      <c r="I1241" s="5" t="n"/>
      <c r="J1241" s="5" t="n"/>
      <c r="K1241" s="5" t="n"/>
      <c r="L1241" s="5" t="n"/>
      <c r="M1241" s="5" t="n"/>
      <c r="N1241" s="5" t="n"/>
      <c r="O1241" s="5" t="n"/>
      <c r="P1241" s="5" t="n"/>
      <c r="Q1241" s="5" t="n"/>
      <c r="R1241" s="5" t="n"/>
      <c r="S1241" s="5" t="n"/>
      <c r="T1241" s="5" t="n"/>
      <c r="U1241" s="5" t="n"/>
      <c r="V1241" s="5" t="n"/>
      <c r="W1241" s="5" t="n"/>
      <c r="X1241" s="5" t="n"/>
      <c r="Y1241" s="5">
        <f>IF(I1241="","",IF(AND(I1241="Fail",K1241=""),"Classify Issue Source",IF(AND(I1241="Fail",W1241=""),"Set Confidence",IF(AND(K1241="Unknown",W1241&lt;&gt;"Low"),"Unknown must be Low confidence",IF(AND(OR(K1241="Backend",K1241="SAP"),N1241=""),"Add HTTP status + endpoint",IF(AND(OR(K1241="Backend",K1241="SAP",K1241="Network"),P1241=""),"Add Correlation ID",IF(AND(I1241="Fail",T1241=""),"Write Root Cause / evidence gap",IF(AND(I1241="Fail",V1241=""),"Assign team","OK"))))))))</f>
        <v/>
      </c>
    </row>
    <row r="1242">
      <c r="A1242" s="5" t="n"/>
      <c r="B1242" s="5" t="n"/>
      <c r="C1242" s="5" t="n"/>
      <c r="D1242" s="5" t="n"/>
      <c r="E1242" s="5" t="n"/>
      <c r="F1242" s="5" t="n"/>
      <c r="G1242" s="5" t="n"/>
      <c r="H1242" s="5" t="n"/>
      <c r="I1242" s="5" t="n"/>
      <c r="J1242" s="5" t="n"/>
      <c r="K1242" s="5" t="n"/>
      <c r="L1242" s="5" t="n"/>
      <c r="M1242" s="5" t="n"/>
      <c r="N1242" s="5" t="n"/>
      <c r="O1242" s="5" t="n"/>
      <c r="P1242" s="5" t="n"/>
      <c r="Q1242" s="5" t="n"/>
      <c r="R1242" s="5" t="n"/>
      <c r="S1242" s="5" t="n"/>
      <c r="T1242" s="5" t="n"/>
      <c r="U1242" s="5" t="n"/>
      <c r="V1242" s="5" t="n"/>
      <c r="W1242" s="5" t="n"/>
      <c r="X1242" s="5" t="n"/>
      <c r="Y1242" s="5">
        <f>IF(I1242="","",IF(AND(I1242="Fail",K1242=""),"Classify Issue Source",IF(AND(I1242="Fail",W1242=""),"Set Confidence",IF(AND(K1242="Unknown",W1242&lt;&gt;"Low"),"Unknown must be Low confidence",IF(AND(OR(K1242="Backend",K1242="SAP"),N1242=""),"Add HTTP status + endpoint",IF(AND(OR(K1242="Backend",K1242="SAP",K1242="Network"),P1242=""),"Add Correlation ID",IF(AND(I1242="Fail",T1242=""),"Write Root Cause / evidence gap",IF(AND(I1242="Fail",V1242=""),"Assign team","OK"))))))))</f>
        <v/>
      </c>
    </row>
    <row r="1243">
      <c r="A1243" s="5" t="n"/>
      <c r="B1243" s="5" t="n"/>
      <c r="C1243" s="5" t="n"/>
      <c r="D1243" s="5" t="n"/>
      <c r="E1243" s="5" t="n"/>
      <c r="F1243" s="5" t="n"/>
      <c r="G1243" s="5" t="n"/>
      <c r="H1243" s="5" t="n"/>
      <c r="I1243" s="5" t="n"/>
      <c r="J1243" s="5" t="n"/>
      <c r="K1243" s="5" t="n"/>
      <c r="L1243" s="5" t="n"/>
      <c r="M1243" s="5" t="n"/>
      <c r="N1243" s="5" t="n"/>
      <c r="O1243" s="5" t="n"/>
      <c r="P1243" s="5" t="n"/>
      <c r="Q1243" s="5" t="n"/>
      <c r="R1243" s="5" t="n"/>
      <c r="S1243" s="5" t="n"/>
      <c r="T1243" s="5" t="n"/>
      <c r="U1243" s="5" t="n"/>
      <c r="V1243" s="5" t="n"/>
      <c r="W1243" s="5" t="n"/>
      <c r="X1243" s="5" t="n"/>
      <c r="Y1243" s="5">
        <f>IF(I1243="","",IF(AND(I1243="Fail",K1243=""),"Classify Issue Source",IF(AND(I1243="Fail",W1243=""),"Set Confidence",IF(AND(K1243="Unknown",W1243&lt;&gt;"Low"),"Unknown must be Low confidence",IF(AND(OR(K1243="Backend",K1243="SAP"),N1243=""),"Add HTTP status + endpoint",IF(AND(OR(K1243="Backend",K1243="SAP",K1243="Network"),P1243=""),"Add Correlation ID",IF(AND(I1243="Fail",T1243=""),"Write Root Cause / evidence gap",IF(AND(I1243="Fail",V1243=""),"Assign team","OK"))))))))</f>
        <v/>
      </c>
    </row>
    <row r="1244">
      <c r="A1244" s="5" t="n"/>
      <c r="B1244" s="5" t="n"/>
      <c r="C1244" s="5" t="n"/>
      <c r="D1244" s="5" t="n"/>
      <c r="E1244" s="5" t="n"/>
      <c r="F1244" s="5" t="n"/>
      <c r="G1244" s="5" t="n"/>
      <c r="H1244" s="5" t="n"/>
      <c r="I1244" s="5" t="n"/>
      <c r="J1244" s="5" t="n"/>
      <c r="K1244" s="5" t="n"/>
      <c r="L1244" s="5" t="n"/>
      <c r="M1244" s="5" t="n"/>
      <c r="N1244" s="5" t="n"/>
      <c r="O1244" s="5" t="n"/>
      <c r="P1244" s="5" t="n"/>
      <c r="Q1244" s="5" t="n"/>
      <c r="R1244" s="5" t="n"/>
      <c r="S1244" s="5" t="n"/>
      <c r="T1244" s="5" t="n"/>
      <c r="U1244" s="5" t="n"/>
      <c r="V1244" s="5" t="n"/>
      <c r="W1244" s="5" t="n"/>
      <c r="X1244" s="5" t="n"/>
      <c r="Y1244" s="5">
        <f>IF(I1244="","",IF(AND(I1244="Fail",K1244=""),"Classify Issue Source",IF(AND(I1244="Fail",W1244=""),"Set Confidence",IF(AND(K1244="Unknown",W1244&lt;&gt;"Low"),"Unknown must be Low confidence",IF(AND(OR(K1244="Backend",K1244="SAP"),N1244=""),"Add HTTP status + endpoint",IF(AND(OR(K1244="Backend",K1244="SAP",K1244="Network"),P1244=""),"Add Correlation ID",IF(AND(I1244="Fail",T1244=""),"Write Root Cause / evidence gap",IF(AND(I1244="Fail",V1244=""),"Assign team","OK"))))))))</f>
        <v/>
      </c>
    </row>
    <row r="1245">
      <c r="A1245" s="5" t="n"/>
      <c r="B1245" s="5" t="n"/>
      <c r="C1245" s="5" t="n"/>
      <c r="D1245" s="5" t="n"/>
      <c r="E1245" s="5" t="n"/>
      <c r="F1245" s="5" t="n"/>
      <c r="G1245" s="5" t="n"/>
      <c r="H1245" s="5" t="n"/>
      <c r="I1245" s="5" t="n"/>
      <c r="J1245" s="5" t="n"/>
      <c r="K1245" s="5" t="n"/>
      <c r="L1245" s="5" t="n"/>
      <c r="M1245" s="5" t="n"/>
      <c r="N1245" s="5" t="n"/>
      <c r="O1245" s="5" t="n"/>
      <c r="P1245" s="5" t="n"/>
      <c r="Q1245" s="5" t="n"/>
      <c r="R1245" s="5" t="n"/>
      <c r="S1245" s="5" t="n"/>
      <c r="T1245" s="5" t="n"/>
      <c r="U1245" s="5" t="n"/>
      <c r="V1245" s="5" t="n"/>
      <c r="W1245" s="5" t="n"/>
      <c r="X1245" s="5" t="n"/>
      <c r="Y1245" s="5">
        <f>IF(I1245="","",IF(AND(I1245="Fail",K1245=""),"Classify Issue Source",IF(AND(I1245="Fail",W1245=""),"Set Confidence",IF(AND(K1245="Unknown",W1245&lt;&gt;"Low"),"Unknown must be Low confidence",IF(AND(OR(K1245="Backend",K1245="SAP"),N1245=""),"Add HTTP status + endpoint",IF(AND(OR(K1245="Backend",K1245="SAP",K1245="Network"),P1245=""),"Add Correlation ID",IF(AND(I1245="Fail",T1245=""),"Write Root Cause / evidence gap",IF(AND(I1245="Fail",V1245=""),"Assign team","OK"))))))))</f>
        <v/>
      </c>
    </row>
    <row r="1246">
      <c r="A1246" s="5" t="n"/>
      <c r="B1246" s="5" t="n"/>
      <c r="C1246" s="5" t="n"/>
      <c r="D1246" s="5" t="n"/>
      <c r="E1246" s="5" t="n"/>
      <c r="F1246" s="5" t="n"/>
      <c r="G1246" s="5" t="n"/>
      <c r="H1246" s="5" t="n"/>
      <c r="I1246" s="5" t="n"/>
      <c r="J1246" s="5" t="n"/>
      <c r="K1246" s="5" t="n"/>
      <c r="L1246" s="5" t="n"/>
      <c r="M1246" s="5" t="n"/>
      <c r="N1246" s="5" t="n"/>
      <c r="O1246" s="5" t="n"/>
      <c r="P1246" s="5" t="n"/>
      <c r="Q1246" s="5" t="n"/>
      <c r="R1246" s="5" t="n"/>
      <c r="S1246" s="5" t="n"/>
      <c r="T1246" s="5" t="n"/>
      <c r="U1246" s="5" t="n"/>
      <c r="V1246" s="5" t="n"/>
      <c r="W1246" s="5" t="n"/>
      <c r="X1246" s="5" t="n"/>
      <c r="Y1246" s="5">
        <f>IF(I1246="","",IF(AND(I1246="Fail",K1246=""),"Classify Issue Source",IF(AND(I1246="Fail",W1246=""),"Set Confidence",IF(AND(K1246="Unknown",W1246&lt;&gt;"Low"),"Unknown must be Low confidence",IF(AND(OR(K1246="Backend",K1246="SAP"),N1246=""),"Add HTTP status + endpoint",IF(AND(OR(K1246="Backend",K1246="SAP",K1246="Network"),P1246=""),"Add Correlation ID",IF(AND(I1246="Fail",T1246=""),"Write Root Cause / evidence gap",IF(AND(I1246="Fail",V1246=""),"Assign team","OK"))))))))</f>
        <v/>
      </c>
    </row>
    <row r="1247">
      <c r="A1247" s="5" t="n"/>
      <c r="B1247" s="5" t="n"/>
      <c r="C1247" s="5" t="n"/>
      <c r="D1247" s="5" t="n"/>
      <c r="E1247" s="5" t="n"/>
      <c r="F1247" s="5" t="n"/>
      <c r="G1247" s="5" t="n"/>
      <c r="H1247" s="5" t="n"/>
      <c r="I1247" s="5" t="n"/>
      <c r="J1247" s="5" t="n"/>
      <c r="K1247" s="5" t="n"/>
      <c r="L1247" s="5" t="n"/>
      <c r="M1247" s="5" t="n"/>
      <c r="N1247" s="5" t="n"/>
      <c r="O1247" s="5" t="n"/>
      <c r="P1247" s="5" t="n"/>
      <c r="Q1247" s="5" t="n"/>
      <c r="R1247" s="5" t="n"/>
      <c r="S1247" s="5" t="n"/>
      <c r="T1247" s="5" t="n"/>
      <c r="U1247" s="5" t="n"/>
      <c r="V1247" s="5" t="n"/>
      <c r="W1247" s="5" t="n"/>
      <c r="X1247" s="5" t="n"/>
      <c r="Y1247" s="5">
        <f>IF(I1247="","",IF(AND(I1247="Fail",K1247=""),"Classify Issue Source",IF(AND(I1247="Fail",W1247=""),"Set Confidence",IF(AND(K1247="Unknown",W1247&lt;&gt;"Low"),"Unknown must be Low confidence",IF(AND(OR(K1247="Backend",K1247="SAP"),N1247=""),"Add HTTP status + endpoint",IF(AND(OR(K1247="Backend",K1247="SAP",K1247="Network"),P1247=""),"Add Correlation ID",IF(AND(I1247="Fail",T1247=""),"Write Root Cause / evidence gap",IF(AND(I1247="Fail",V1247=""),"Assign team","OK"))))))))</f>
        <v/>
      </c>
    </row>
    <row r="1248">
      <c r="A1248" s="5" t="n"/>
      <c r="B1248" s="5" t="n"/>
      <c r="C1248" s="5" t="n"/>
      <c r="D1248" s="5" t="n"/>
      <c r="E1248" s="5" t="n"/>
      <c r="F1248" s="5" t="n"/>
      <c r="G1248" s="5" t="n"/>
      <c r="H1248" s="5" t="n"/>
      <c r="I1248" s="5" t="n"/>
      <c r="J1248" s="5" t="n"/>
      <c r="K1248" s="5" t="n"/>
      <c r="L1248" s="5" t="n"/>
      <c r="M1248" s="5" t="n"/>
      <c r="N1248" s="5" t="n"/>
      <c r="O1248" s="5" t="n"/>
      <c r="P1248" s="5" t="n"/>
      <c r="Q1248" s="5" t="n"/>
      <c r="R1248" s="5" t="n"/>
      <c r="S1248" s="5" t="n"/>
      <c r="T1248" s="5" t="n"/>
      <c r="U1248" s="5" t="n"/>
      <c r="V1248" s="5" t="n"/>
      <c r="W1248" s="5" t="n"/>
      <c r="X1248" s="5" t="n"/>
      <c r="Y1248" s="5">
        <f>IF(I1248="","",IF(AND(I1248="Fail",K1248=""),"Classify Issue Source",IF(AND(I1248="Fail",W1248=""),"Set Confidence",IF(AND(K1248="Unknown",W1248&lt;&gt;"Low"),"Unknown must be Low confidence",IF(AND(OR(K1248="Backend",K1248="SAP"),N1248=""),"Add HTTP status + endpoint",IF(AND(OR(K1248="Backend",K1248="SAP",K1248="Network"),P1248=""),"Add Correlation ID",IF(AND(I1248="Fail",T1248=""),"Write Root Cause / evidence gap",IF(AND(I1248="Fail",V1248=""),"Assign team","OK"))))))))</f>
        <v/>
      </c>
    </row>
    <row r="1249">
      <c r="A1249" s="5" t="n"/>
      <c r="B1249" s="5" t="n"/>
      <c r="C1249" s="5" t="n"/>
      <c r="D1249" s="5" t="n"/>
      <c r="E1249" s="5" t="n"/>
      <c r="F1249" s="5" t="n"/>
      <c r="G1249" s="5" t="n"/>
      <c r="H1249" s="5" t="n"/>
      <c r="I1249" s="5" t="n"/>
      <c r="J1249" s="5" t="n"/>
      <c r="K1249" s="5" t="n"/>
      <c r="L1249" s="5" t="n"/>
      <c r="M1249" s="5" t="n"/>
      <c r="N1249" s="5" t="n"/>
      <c r="O1249" s="5" t="n"/>
      <c r="P1249" s="5" t="n"/>
      <c r="Q1249" s="5" t="n"/>
      <c r="R1249" s="5" t="n"/>
      <c r="S1249" s="5" t="n"/>
      <c r="T1249" s="5" t="n"/>
      <c r="U1249" s="5" t="n"/>
      <c r="V1249" s="5" t="n"/>
      <c r="W1249" s="5" t="n"/>
      <c r="X1249" s="5" t="n"/>
      <c r="Y1249" s="5">
        <f>IF(I1249="","",IF(AND(I1249="Fail",K1249=""),"Classify Issue Source",IF(AND(I1249="Fail",W1249=""),"Set Confidence",IF(AND(K1249="Unknown",W1249&lt;&gt;"Low"),"Unknown must be Low confidence",IF(AND(OR(K1249="Backend",K1249="SAP"),N1249=""),"Add HTTP status + endpoint",IF(AND(OR(K1249="Backend",K1249="SAP",K1249="Network"),P1249=""),"Add Correlation ID",IF(AND(I1249="Fail",T1249=""),"Write Root Cause / evidence gap",IF(AND(I1249="Fail",V1249=""),"Assign team","OK"))))))))</f>
        <v/>
      </c>
    </row>
    <row r="1250">
      <c r="A1250" s="5" t="n"/>
      <c r="B1250" s="5" t="n"/>
      <c r="C1250" s="5" t="n"/>
      <c r="D1250" s="5" t="n"/>
      <c r="E1250" s="5" t="n"/>
      <c r="F1250" s="5" t="n"/>
      <c r="G1250" s="5" t="n"/>
      <c r="H1250" s="5" t="n"/>
      <c r="I1250" s="5" t="n"/>
      <c r="J1250" s="5" t="n"/>
      <c r="K1250" s="5" t="n"/>
      <c r="L1250" s="5" t="n"/>
      <c r="M1250" s="5" t="n"/>
      <c r="N1250" s="5" t="n"/>
      <c r="O1250" s="5" t="n"/>
      <c r="P1250" s="5" t="n"/>
      <c r="Q1250" s="5" t="n"/>
      <c r="R1250" s="5" t="n"/>
      <c r="S1250" s="5" t="n"/>
      <c r="T1250" s="5" t="n"/>
      <c r="U1250" s="5" t="n"/>
      <c r="V1250" s="5" t="n"/>
      <c r="W1250" s="5" t="n"/>
      <c r="X1250" s="5" t="n"/>
      <c r="Y1250" s="5">
        <f>IF(I1250="","",IF(AND(I1250="Fail",K1250=""),"Classify Issue Source",IF(AND(I1250="Fail",W1250=""),"Set Confidence",IF(AND(K1250="Unknown",W1250&lt;&gt;"Low"),"Unknown must be Low confidence",IF(AND(OR(K1250="Backend",K1250="SAP"),N1250=""),"Add HTTP status + endpoint",IF(AND(OR(K1250="Backend",K1250="SAP",K1250="Network"),P1250=""),"Add Correlation ID",IF(AND(I1250="Fail",T1250=""),"Write Root Cause / evidence gap",IF(AND(I1250="Fail",V1250=""),"Assign team","OK"))))))))</f>
        <v/>
      </c>
    </row>
    <row r="1251">
      <c r="A1251" s="5" t="n"/>
      <c r="B1251" s="5" t="n"/>
      <c r="C1251" s="5" t="n"/>
      <c r="D1251" s="5" t="n"/>
      <c r="E1251" s="5" t="n"/>
      <c r="F1251" s="5" t="n"/>
      <c r="G1251" s="5" t="n"/>
      <c r="H1251" s="5" t="n"/>
      <c r="I1251" s="5" t="n"/>
      <c r="J1251" s="5" t="n"/>
      <c r="K1251" s="5" t="n"/>
      <c r="L1251" s="5" t="n"/>
      <c r="M1251" s="5" t="n"/>
      <c r="N1251" s="5" t="n"/>
      <c r="O1251" s="5" t="n"/>
      <c r="P1251" s="5" t="n"/>
      <c r="Q1251" s="5" t="n"/>
      <c r="R1251" s="5" t="n"/>
      <c r="S1251" s="5" t="n"/>
      <c r="T1251" s="5" t="n"/>
      <c r="U1251" s="5" t="n"/>
      <c r="V1251" s="5" t="n"/>
      <c r="W1251" s="5" t="n"/>
      <c r="X1251" s="5" t="n"/>
      <c r="Y1251" s="5">
        <f>IF(I1251="","",IF(AND(I1251="Fail",K1251=""),"Classify Issue Source",IF(AND(I1251="Fail",W1251=""),"Set Confidence",IF(AND(K1251="Unknown",W1251&lt;&gt;"Low"),"Unknown must be Low confidence",IF(AND(OR(K1251="Backend",K1251="SAP"),N1251=""),"Add HTTP status + endpoint",IF(AND(OR(K1251="Backend",K1251="SAP",K1251="Network"),P1251=""),"Add Correlation ID",IF(AND(I1251="Fail",T1251=""),"Write Root Cause / evidence gap",IF(AND(I1251="Fail",V1251=""),"Assign team","OK"))))))))</f>
        <v/>
      </c>
    </row>
    <row r="1252">
      <c r="A1252" s="5" t="n"/>
      <c r="B1252" s="5" t="n"/>
      <c r="C1252" s="5" t="n"/>
      <c r="D1252" s="5" t="n"/>
      <c r="E1252" s="5" t="n"/>
      <c r="F1252" s="5" t="n"/>
      <c r="G1252" s="5" t="n"/>
      <c r="H1252" s="5" t="n"/>
      <c r="I1252" s="5" t="n"/>
      <c r="J1252" s="5" t="n"/>
      <c r="K1252" s="5" t="n"/>
      <c r="L1252" s="5" t="n"/>
      <c r="M1252" s="5" t="n"/>
      <c r="N1252" s="5" t="n"/>
      <c r="O1252" s="5" t="n"/>
      <c r="P1252" s="5" t="n"/>
      <c r="Q1252" s="5" t="n"/>
      <c r="R1252" s="5" t="n"/>
      <c r="S1252" s="5" t="n"/>
      <c r="T1252" s="5" t="n"/>
      <c r="U1252" s="5" t="n"/>
      <c r="V1252" s="5" t="n"/>
      <c r="W1252" s="5" t="n"/>
      <c r="X1252" s="5" t="n"/>
      <c r="Y1252" s="5">
        <f>IF(I1252="","",IF(AND(I1252="Fail",K1252=""),"Classify Issue Source",IF(AND(I1252="Fail",W1252=""),"Set Confidence",IF(AND(K1252="Unknown",W1252&lt;&gt;"Low"),"Unknown must be Low confidence",IF(AND(OR(K1252="Backend",K1252="SAP"),N1252=""),"Add HTTP status + endpoint",IF(AND(OR(K1252="Backend",K1252="SAP",K1252="Network"),P1252=""),"Add Correlation ID",IF(AND(I1252="Fail",T1252=""),"Write Root Cause / evidence gap",IF(AND(I1252="Fail",V1252=""),"Assign team","OK"))))))))</f>
        <v/>
      </c>
    </row>
    <row r="1253">
      <c r="A1253" s="5" t="n"/>
      <c r="B1253" s="5" t="n"/>
      <c r="C1253" s="5" t="n"/>
      <c r="D1253" s="5" t="n"/>
      <c r="E1253" s="5" t="n"/>
      <c r="F1253" s="5" t="n"/>
      <c r="G1253" s="5" t="n"/>
      <c r="H1253" s="5" t="n"/>
      <c r="I1253" s="5" t="n"/>
      <c r="J1253" s="5" t="n"/>
      <c r="K1253" s="5" t="n"/>
      <c r="L1253" s="5" t="n"/>
      <c r="M1253" s="5" t="n"/>
      <c r="N1253" s="5" t="n"/>
      <c r="O1253" s="5" t="n"/>
      <c r="P1253" s="5" t="n"/>
      <c r="Q1253" s="5" t="n"/>
      <c r="R1253" s="5" t="n"/>
      <c r="S1253" s="5" t="n"/>
      <c r="T1253" s="5" t="n"/>
      <c r="U1253" s="5" t="n"/>
      <c r="V1253" s="5" t="n"/>
      <c r="W1253" s="5" t="n"/>
      <c r="X1253" s="5" t="n"/>
      <c r="Y1253" s="5">
        <f>IF(I1253="","",IF(AND(I1253="Fail",K1253=""),"Classify Issue Source",IF(AND(I1253="Fail",W1253=""),"Set Confidence",IF(AND(K1253="Unknown",W1253&lt;&gt;"Low"),"Unknown must be Low confidence",IF(AND(OR(K1253="Backend",K1253="SAP"),N1253=""),"Add HTTP status + endpoint",IF(AND(OR(K1253="Backend",K1253="SAP",K1253="Network"),P1253=""),"Add Correlation ID",IF(AND(I1253="Fail",T1253=""),"Write Root Cause / evidence gap",IF(AND(I1253="Fail",V1253=""),"Assign team","OK"))))))))</f>
        <v/>
      </c>
    </row>
    <row r="1254">
      <c r="A1254" s="5" t="n"/>
      <c r="B1254" s="5" t="n"/>
      <c r="C1254" s="5" t="n"/>
      <c r="D1254" s="5" t="n"/>
      <c r="E1254" s="5" t="n"/>
      <c r="F1254" s="5" t="n"/>
      <c r="G1254" s="5" t="n"/>
      <c r="H1254" s="5" t="n"/>
      <c r="I1254" s="5" t="n"/>
      <c r="J1254" s="5" t="n"/>
      <c r="K1254" s="5" t="n"/>
      <c r="L1254" s="5" t="n"/>
      <c r="M1254" s="5" t="n"/>
      <c r="N1254" s="5" t="n"/>
      <c r="O1254" s="5" t="n"/>
      <c r="P1254" s="5" t="n"/>
      <c r="Q1254" s="5" t="n"/>
      <c r="R1254" s="5" t="n"/>
      <c r="S1254" s="5" t="n"/>
      <c r="T1254" s="5" t="n"/>
      <c r="U1254" s="5" t="n"/>
      <c r="V1254" s="5" t="n"/>
      <c r="W1254" s="5" t="n"/>
      <c r="X1254" s="5" t="n"/>
      <c r="Y1254" s="5">
        <f>IF(I1254="","",IF(AND(I1254="Fail",K1254=""),"Classify Issue Source",IF(AND(I1254="Fail",W1254=""),"Set Confidence",IF(AND(K1254="Unknown",W1254&lt;&gt;"Low"),"Unknown must be Low confidence",IF(AND(OR(K1254="Backend",K1254="SAP"),N1254=""),"Add HTTP status + endpoint",IF(AND(OR(K1254="Backend",K1254="SAP",K1254="Network"),P1254=""),"Add Correlation ID",IF(AND(I1254="Fail",T1254=""),"Write Root Cause / evidence gap",IF(AND(I1254="Fail",V1254=""),"Assign team","OK"))))))))</f>
        <v/>
      </c>
    </row>
    <row r="1255">
      <c r="A1255" s="5" t="n"/>
      <c r="B1255" s="5" t="n"/>
      <c r="C1255" s="5" t="n"/>
      <c r="D1255" s="5" t="n"/>
      <c r="E1255" s="5" t="n"/>
      <c r="F1255" s="5" t="n"/>
      <c r="G1255" s="5" t="n"/>
      <c r="H1255" s="5" t="n"/>
      <c r="I1255" s="5" t="n"/>
      <c r="J1255" s="5" t="n"/>
      <c r="K1255" s="5" t="n"/>
      <c r="L1255" s="5" t="n"/>
      <c r="M1255" s="5" t="n"/>
      <c r="N1255" s="5" t="n"/>
      <c r="O1255" s="5" t="n"/>
      <c r="P1255" s="5" t="n"/>
      <c r="Q1255" s="5" t="n"/>
      <c r="R1255" s="5" t="n"/>
      <c r="S1255" s="5" t="n"/>
      <c r="T1255" s="5" t="n"/>
      <c r="U1255" s="5" t="n"/>
      <c r="V1255" s="5" t="n"/>
      <c r="W1255" s="5" t="n"/>
      <c r="X1255" s="5" t="n"/>
      <c r="Y1255" s="5">
        <f>IF(I1255="","",IF(AND(I1255="Fail",K1255=""),"Classify Issue Source",IF(AND(I1255="Fail",W1255=""),"Set Confidence",IF(AND(K1255="Unknown",W1255&lt;&gt;"Low"),"Unknown must be Low confidence",IF(AND(OR(K1255="Backend",K1255="SAP"),N1255=""),"Add HTTP status + endpoint",IF(AND(OR(K1255="Backend",K1255="SAP",K1255="Network"),P1255=""),"Add Correlation ID",IF(AND(I1255="Fail",T1255=""),"Write Root Cause / evidence gap",IF(AND(I1255="Fail",V1255=""),"Assign team","OK"))))))))</f>
        <v/>
      </c>
    </row>
    <row r="1256">
      <c r="A1256" s="5" t="n"/>
      <c r="B1256" s="5" t="n"/>
      <c r="C1256" s="5" t="n"/>
      <c r="D1256" s="5" t="n"/>
      <c r="E1256" s="5" t="n"/>
      <c r="F1256" s="5" t="n"/>
      <c r="G1256" s="5" t="n"/>
      <c r="H1256" s="5" t="n"/>
      <c r="I1256" s="5" t="n"/>
      <c r="J1256" s="5" t="n"/>
      <c r="K1256" s="5" t="n"/>
      <c r="L1256" s="5" t="n"/>
      <c r="M1256" s="5" t="n"/>
      <c r="N1256" s="5" t="n"/>
      <c r="O1256" s="5" t="n"/>
      <c r="P1256" s="5" t="n"/>
      <c r="Q1256" s="5" t="n"/>
      <c r="R1256" s="5" t="n"/>
      <c r="S1256" s="5" t="n"/>
      <c r="T1256" s="5" t="n"/>
      <c r="U1256" s="5" t="n"/>
      <c r="V1256" s="5" t="n"/>
      <c r="W1256" s="5" t="n"/>
      <c r="X1256" s="5" t="n"/>
      <c r="Y1256" s="5">
        <f>IF(I1256="","",IF(AND(I1256="Fail",K1256=""),"Classify Issue Source",IF(AND(I1256="Fail",W1256=""),"Set Confidence",IF(AND(K1256="Unknown",W1256&lt;&gt;"Low"),"Unknown must be Low confidence",IF(AND(OR(K1256="Backend",K1256="SAP"),N1256=""),"Add HTTP status + endpoint",IF(AND(OR(K1256="Backend",K1256="SAP",K1256="Network"),P1256=""),"Add Correlation ID",IF(AND(I1256="Fail",T1256=""),"Write Root Cause / evidence gap",IF(AND(I1256="Fail",V1256=""),"Assign team","OK"))))))))</f>
        <v/>
      </c>
    </row>
    <row r="1257">
      <c r="A1257" s="5" t="n"/>
      <c r="B1257" s="5" t="n"/>
      <c r="C1257" s="5" t="n"/>
      <c r="D1257" s="5" t="n"/>
      <c r="E1257" s="5" t="n"/>
      <c r="F1257" s="5" t="n"/>
      <c r="G1257" s="5" t="n"/>
      <c r="H1257" s="5" t="n"/>
      <c r="I1257" s="5" t="n"/>
      <c r="J1257" s="5" t="n"/>
      <c r="K1257" s="5" t="n"/>
      <c r="L1257" s="5" t="n"/>
      <c r="M1257" s="5" t="n"/>
      <c r="N1257" s="5" t="n"/>
      <c r="O1257" s="5" t="n"/>
      <c r="P1257" s="5" t="n"/>
      <c r="Q1257" s="5" t="n"/>
      <c r="R1257" s="5" t="n"/>
      <c r="S1257" s="5" t="n"/>
      <c r="T1257" s="5" t="n"/>
      <c r="U1257" s="5" t="n"/>
      <c r="V1257" s="5" t="n"/>
      <c r="W1257" s="5" t="n"/>
      <c r="X1257" s="5" t="n"/>
      <c r="Y1257" s="5">
        <f>IF(I1257="","",IF(AND(I1257="Fail",K1257=""),"Classify Issue Source",IF(AND(I1257="Fail",W1257=""),"Set Confidence",IF(AND(K1257="Unknown",W1257&lt;&gt;"Low"),"Unknown must be Low confidence",IF(AND(OR(K1257="Backend",K1257="SAP"),N1257=""),"Add HTTP status + endpoint",IF(AND(OR(K1257="Backend",K1257="SAP",K1257="Network"),P1257=""),"Add Correlation ID",IF(AND(I1257="Fail",T1257=""),"Write Root Cause / evidence gap",IF(AND(I1257="Fail",V1257=""),"Assign team","OK"))))))))</f>
        <v/>
      </c>
    </row>
    <row r="1258">
      <c r="A1258" s="5" t="n"/>
      <c r="B1258" s="5" t="n"/>
      <c r="C1258" s="5" t="n"/>
      <c r="D1258" s="5" t="n"/>
      <c r="E1258" s="5" t="n"/>
      <c r="F1258" s="5" t="n"/>
      <c r="G1258" s="5" t="n"/>
      <c r="H1258" s="5" t="n"/>
      <c r="I1258" s="5" t="n"/>
      <c r="J1258" s="5" t="n"/>
      <c r="K1258" s="5" t="n"/>
      <c r="L1258" s="5" t="n"/>
      <c r="M1258" s="5" t="n"/>
      <c r="N1258" s="5" t="n"/>
      <c r="O1258" s="5" t="n"/>
      <c r="P1258" s="5" t="n"/>
      <c r="Q1258" s="5" t="n"/>
      <c r="R1258" s="5" t="n"/>
      <c r="S1258" s="5" t="n"/>
      <c r="T1258" s="5" t="n"/>
      <c r="U1258" s="5" t="n"/>
      <c r="V1258" s="5" t="n"/>
      <c r="W1258" s="5" t="n"/>
      <c r="X1258" s="5" t="n"/>
      <c r="Y1258" s="5">
        <f>IF(I1258="","",IF(AND(I1258="Fail",K1258=""),"Classify Issue Source",IF(AND(I1258="Fail",W1258=""),"Set Confidence",IF(AND(K1258="Unknown",W1258&lt;&gt;"Low"),"Unknown must be Low confidence",IF(AND(OR(K1258="Backend",K1258="SAP"),N1258=""),"Add HTTP status + endpoint",IF(AND(OR(K1258="Backend",K1258="SAP",K1258="Network"),P1258=""),"Add Correlation ID",IF(AND(I1258="Fail",T1258=""),"Write Root Cause / evidence gap",IF(AND(I1258="Fail",V1258=""),"Assign team","OK"))))))))</f>
        <v/>
      </c>
    </row>
    <row r="1259">
      <c r="A1259" s="5" t="n"/>
      <c r="B1259" s="5" t="n"/>
      <c r="C1259" s="5" t="n"/>
      <c r="D1259" s="5" t="n"/>
      <c r="E1259" s="5" t="n"/>
      <c r="F1259" s="5" t="n"/>
      <c r="G1259" s="5" t="n"/>
      <c r="H1259" s="5" t="n"/>
      <c r="I1259" s="5" t="n"/>
      <c r="J1259" s="5" t="n"/>
      <c r="K1259" s="5" t="n"/>
      <c r="L1259" s="5" t="n"/>
      <c r="M1259" s="5" t="n"/>
      <c r="N1259" s="5" t="n"/>
      <c r="O1259" s="5" t="n"/>
      <c r="P1259" s="5" t="n"/>
      <c r="Q1259" s="5" t="n"/>
      <c r="R1259" s="5" t="n"/>
      <c r="S1259" s="5" t="n"/>
      <c r="T1259" s="5" t="n"/>
      <c r="U1259" s="5" t="n"/>
      <c r="V1259" s="5" t="n"/>
      <c r="W1259" s="5" t="n"/>
      <c r="X1259" s="5" t="n"/>
      <c r="Y1259" s="5">
        <f>IF(I1259="","",IF(AND(I1259="Fail",K1259=""),"Classify Issue Source",IF(AND(I1259="Fail",W1259=""),"Set Confidence",IF(AND(K1259="Unknown",W1259&lt;&gt;"Low"),"Unknown must be Low confidence",IF(AND(OR(K1259="Backend",K1259="SAP"),N1259=""),"Add HTTP status + endpoint",IF(AND(OR(K1259="Backend",K1259="SAP",K1259="Network"),P1259=""),"Add Correlation ID",IF(AND(I1259="Fail",T1259=""),"Write Root Cause / evidence gap",IF(AND(I1259="Fail",V1259=""),"Assign team","OK"))))))))</f>
        <v/>
      </c>
    </row>
    <row r="1260">
      <c r="A1260" s="5" t="n"/>
      <c r="B1260" s="5" t="n"/>
      <c r="C1260" s="5" t="n"/>
      <c r="D1260" s="5" t="n"/>
      <c r="E1260" s="5" t="n"/>
      <c r="F1260" s="5" t="n"/>
      <c r="G1260" s="5" t="n"/>
      <c r="H1260" s="5" t="n"/>
      <c r="I1260" s="5" t="n"/>
      <c r="J1260" s="5" t="n"/>
      <c r="K1260" s="5" t="n"/>
      <c r="L1260" s="5" t="n"/>
      <c r="M1260" s="5" t="n"/>
      <c r="N1260" s="5" t="n"/>
      <c r="O1260" s="5" t="n"/>
      <c r="P1260" s="5" t="n"/>
      <c r="Q1260" s="5" t="n"/>
      <c r="R1260" s="5" t="n"/>
      <c r="S1260" s="5" t="n"/>
      <c r="T1260" s="5" t="n"/>
      <c r="U1260" s="5" t="n"/>
      <c r="V1260" s="5" t="n"/>
      <c r="W1260" s="5" t="n"/>
      <c r="X1260" s="5" t="n"/>
      <c r="Y1260" s="5">
        <f>IF(I1260="","",IF(AND(I1260="Fail",K1260=""),"Classify Issue Source",IF(AND(I1260="Fail",W1260=""),"Set Confidence",IF(AND(K1260="Unknown",W1260&lt;&gt;"Low"),"Unknown must be Low confidence",IF(AND(OR(K1260="Backend",K1260="SAP"),N1260=""),"Add HTTP status + endpoint",IF(AND(OR(K1260="Backend",K1260="SAP",K1260="Network"),P1260=""),"Add Correlation ID",IF(AND(I1260="Fail",T1260=""),"Write Root Cause / evidence gap",IF(AND(I1260="Fail",V1260=""),"Assign team","OK"))))))))</f>
        <v/>
      </c>
    </row>
    <row r="1261">
      <c r="A1261" s="5" t="n"/>
      <c r="B1261" s="5" t="n"/>
      <c r="C1261" s="5" t="n"/>
      <c r="D1261" s="5" t="n"/>
      <c r="E1261" s="5" t="n"/>
      <c r="F1261" s="5" t="n"/>
      <c r="G1261" s="5" t="n"/>
      <c r="H1261" s="5" t="n"/>
      <c r="I1261" s="5" t="n"/>
      <c r="J1261" s="5" t="n"/>
      <c r="K1261" s="5" t="n"/>
      <c r="L1261" s="5" t="n"/>
      <c r="M1261" s="5" t="n"/>
      <c r="N1261" s="5" t="n"/>
      <c r="O1261" s="5" t="n"/>
      <c r="P1261" s="5" t="n"/>
      <c r="Q1261" s="5" t="n"/>
      <c r="R1261" s="5" t="n"/>
      <c r="S1261" s="5" t="n"/>
      <c r="T1261" s="5" t="n"/>
      <c r="U1261" s="5" t="n"/>
      <c r="V1261" s="5" t="n"/>
      <c r="W1261" s="5" t="n"/>
      <c r="X1261" s="5" t="n"/>
      <c r="Y1261" s="5">
        <f>IF(I1261="","",IF(AND(I1261="Fail",K1261=""),"Classify Issue Source",IF(AND(I1261="Fail",W1261=""),"Set Confidence",IF(AND(K1261="Unknown",W1261&lt;&gt;"Low"),"Unknown must be Low confidence",IF(AND(OR(K1261="Backend",K1261="SAP"),N1261=""),"Add HTTP status + endpoint",IF(AND(OR(K1261="Backend",K1261="SAP",K1261="Network"),P1261=""),"Add Correlation ID",IF(AND(I1261="Fail",T1261=""),"Write Root Cause / evidence gap",IF(AND(I1261="Fail",V1261=""),"Assign team","OK"))))))))</f>
        <v/>
      </c>
    </row>
    <row r="1262">
      <c r="A1262" s="5" t="n"/>
      <c r="B1262" s="5" t="n"/>
      <c r="C1262" s="5" t="n"/>
      <c r="D1262" s="5" t="n"/>
      <c r="E1262" s="5" t="n"/>
      <c r="F1262" s="5" t="n"/>
      <c r="G1262" s="5" t="n"/>
      <c r="H1262" s="5" t="n"/>
      <c r="I1262" s="5" t="n"/>
      <c r="J1262" s="5" t="n"/>
      <c r="K1262" s="5" t="n"/>
      <c r="L1262" s="5" t="n"/>
      <c r="M1262" s="5" t="n"/>
      <c r="N1262" s="5" t="n"/>
      <c r="O1262" s="5" t="n"/>
      <c r="P1262" s="5" t="n"/>
      <c r="Q1262" s="5" t="n"/>
      <c r="R1262" s="5" t="n"/>
      <c r="S1262" s="5" t="n"/>
      <c r="T1262" s="5" t="n"/>
      <c r="U1262" s="5" t="n"/>
      <c r="V1262" s="5" t="n"/>
      <c r="W1262" s="5" t="n"/>
      <c r="X1262" s="5" t="n"/>
      <c r="Y1262" s="5">
        <f>IF(I1262="","",IF(AND(I1262="Fail",K1262=""),"Classify Issue Source",IF(AND(I1262="Fail",W1262=""),"Set Confidence",IF(AND(K1262="Unknown",W1262&lt;&gt;"Low"),"Unknown must be Low confidence",IF(AND(OR(K1262="Backend",K1262="SAP"),N1262=""),"Add HTTP status + endpoint",IF(AND(OR(K1262="Backend",K1262="SAP",K1262="Network"),P1262=""),"Add Correlation ID",IF(AND(I1262="Fail",T1262=""),"Write Root Cause / evidence gap",IF(AND(I1262="Fail",V1262=""),"Assign team","OK"))))))))</f>
        <v/>
      </c>
    </row>
    <row r="1263">
      <c r="A1263" s="5" t="n"/>
      <c r="B1263" s="5" t="n"/>
      <c r="C1263" s="5" t="n"/>
      <c r="D1263" s="5" t="n"/>
      <c r="E1263" s="5" t="n"/>
      <c r="F1263" s="5" t="n"/>
      <c r="G1263" s="5" t="n"/>
      <c r="H1263" s="5" t="n"/>
      <c r="I1263" s="5" t="n"/>
      <c r="J1263" s="5" t="n"/>
      <c r="K1263" s="5" t="n"/>
      <c r="L1263" s="5" t="n"/>
      <c r="M1263" s="5" t="n"/>
      <c r="N1263" s="5" t="n"/>
      <c r="O1263" s="5" t="n"/>
      <c r="P1263" s="5" t="n"/>
      <c r="Q1263" s="5" t="n"/>
      <c r="R1263" s="5" t="n"/>
      <c r="S1263" s="5" t="n"/>
      <c r="T1263" s="5" t="n"/>
      <c r="U1263" s="5" t="n"/>
      <c r="V1263" s="5" t="n"/>
      <c r="W1263" s="5" t="n"/>
      <c r="X1263" s="5" t="n"/>
      <c r="Y1263" s="5">
        <f>IF(I1263="","",IF(AND(I1263="Fail",K1263=""),"Classify Issue Source",IF(AND(I1263="Fail",W1263=""),"Set Confidence",IF(AND(K1263="Unknown",W1263&lt;&gt;"Low"),"Unknown must be Low confidence",IF(AND(OR(K1263="Backend",K1263="SAP"),N1263=""),"Add HTTP status + endpoint",IF(AND(OR(K1263="Backend",K1263="SAP",K1263="Network"),P1263=""),"Add Correlation ID",IF(AND(I1263="Fail",T1263=""),"Write Root Cause / evidence gap",IF(AND(I1263="Fail",V1263=""),"Assign team","OK"))))))))</f>
        <v/>
      </c>
    </row>
    <row r="1264">
      <c r="A1264" s="5" t="n"/>
      <c r="B1264" s="5" t="n"/>
      <c r="C1264" s="5" t="n"/>
      <c r="D1264" s="5" t="n"/>
      <c r="E1264" s="5" t="n"/>
      <c r="F1264" s="5" t="n"/>
      <c r="G1264" s="5" t="n"/>
      <c r="H1264" s="5" t="n"/>
      <c r="I1264" s="5" t="n"/>
      <c r="J1264" s="5" t="n"/>
      <c r="K1264" s="5" t="n"/>
      <c r="L1264" s="5" t="n"/>
      <c r="M1264" s="5" t="n"/>
      <c r="N1264" s="5" t="n"/>
      <c r="O1264" s="5" t="n"/>
      <c r="P1264" s="5" t="n"/>
      <c r="Q1264" s="5" t="n"/>
      <c r="R1264" s="5" t="n"/>
      <c r="S1264" s="5" t="n"/>
      <c r="T1264" s="5" t="n"/>
      <c r="U1264" s="5" t="n"/>
      <c r="V1264" s="5" t="n"/>
      <c r="W1264" s="5" t="n"/>
      <c r="X1264" s="5" t="n"/>
      <c r="Y1264" s="5">
        <f>IF(I1264="","",IF(AND(I1264="Fail",K1264=""),"Classify Issue Source",IF(AND(I1264="Fail",W1264=""),"Set Confidence",IF(AND(K1264="Unknown",W1264&lt;&gt;"Low"),"Unknown must be Low confidence",IF(AND(OR(K1264="Backend",K1264="SAP"),N1264=""),"Add HTTP status + endpoint",IF(AND(OR(K1264="Backend",K1264="SAP",K1264="Network"),P1264=""),"Add Correlation ID",IF(AND(I1264="Fail",T1264=""),"Write Root Cause / evidence gap",IF(AND(I1264="Fail",V1264=""),"Assign team","OK"))))))))</f>
        <v/>
      </c>
    </row>
    <row r="1265">
      <c r="A1265" s="5" t="n"/>
      <c r="B1265" s="5" t="n"/>
      <c r="C1265" s="5" t="n"/>
      <c r="D1265" s="5" t="n"/>
      <c r="E1265" s="5" t="n"/>
      <c r="F1265" s="5" t="n"/>
      <c r="G1265" s="5" t="n"/>
      <c r="H1265" s="5" t="n"/>
      <c r="I1265" s="5" t="n"/>
      <c r="J1265" s="5" t="n"/>
      <c r="K1265" s="5" t="n"/>
      <c r="L1265" s="5" t="n"/>
      <c r="M1265" s="5" t="n"/>
      <c r="N1265" s="5" t="n"/>
      <c r="O1265" s="5" t="n"/>
      <c r="P1265" s="5" t="n"/>
      <c r="Q1265" s="5" t="n"/>
      <c r="R1265" s="5" t="n"/>
      <c r="S1265" s="5" t="n"/>
      <c r="T1265" s="5" t="n"/>
      <c r="U1265" s="5" t="n"/>
      <c r="V1265" s="5" t="n"/>
      <c r="W1265" s="5" t="n"/>
      <c r="X1265" s="5" t="n"/>
      <c r="Y1265" s="5">
        <f>IF(I1265="","",IF(AND(I1265="Fail",K1265=""),"Classify Issue Source",IF(AND(I1265="Fail",W1265=""),"Set Confidence",IF(AND(K1265="Unknown",W1265&lt;&gt;"Low"),"Unknown must be Low confidence",IF(AND(OR(K1265="Backend",K1265="SAP"),N1265=""),"Add HTTP status + endpoint",IF(AND(OR(K1265="Backend",K1265="SAP",K1265="Network"),P1265=""),"Add Correlation ID",IF(AND(I1265="Fail",T1265=""),"Write Root Cause / evidence gap",IF(AND(I1265="Fail",V1265=""),"Assign team","OK"))))))))</f>
        <v/>
      </c>
    </row>
    <row r="1266">
      <c r="A1266" s="5" t="n"/>
      <c r="B1266" s="5" t="n"/>
      <c r="C1266" s="5" t="n"/>
      <c r="D1266" s="5" t="n"/>
      <c r="E1266" s="5" t="n"/>
      <c r="F1266" s="5" t="n"/>
      <c r="G1266" s="5" t="n"/>
      <c r="H1266" s="5" t="n"/>
      <c r="I1266" s="5" t="n"/>
      <c r="J1266" s="5" t="n"/>
      <c r="K1266" s="5" t="n"/>
      <c r="L1266" s="5" t="n"/>
      <c r="M1266" s="5" t="n"/>
      <c r="N1266" s="5" t="n"/>
      <c r="O1266" s="5" t="n"/>
      <c r="P1266" s="5" t="n"/>
      <c r="Q1266" s="5" t="n"/>
      <c r="R1266" s="5" t="n"/>
      <c r="S1266" s="5" t="n"/>
      <c r="T1266" s="5" t="n"/>
      <c r="U1266" s="5" t="n"/>
      <c r="V1266" s="5" t="n"/>
      <c r="W1266" s="5" t="n"/>
      <c r="X1266" s="5" t="n"/>
      <c r="Y1266" s="5">
        <f>IF(I1266="","",IF(AND(I1266="Fail",K1266=""),"Classify Issue Source",IF(AND(I1266="Fail",W1266=""),"Set Confidence",IF(AND(K1266="Unknown",W1266&lt;&gt;"Low"),"Unknown must be Low confidence",IF(AND(OR(K1266="Backend",K1266="SAP"),N1266=""),"Add HTTP status + endpoint",IF(AND(OR(K1266="Backend",K1266="SAP",K1266="Network"),P1266=""),"Add Correlation ID",IF(AND(I1266="Fail",T1266=""),"Write Root Cause / evidence gap",IF(AND(I1266="Fail",V1266=""),"Assign team","OK"))))))))</f>
        <v/>
      </c>
    </row>
    <row r="1267">
      <c r="A1267" s="5" t="n"/>
      <c r="B1267" s="5" t="n"/>
      <c r="C1267" s="5" t="n"/>
      <c r="D1267" s="5" t="n"/>
      <c r="E1267" s="5" t="n"/>
      <c r="F1267" s="5" t="n"/>
      <c r="G1267" s="5" t="n"/>
      <c r="H1267" s="5" t="n"/>
      <c r="I1267" s="5" t="n"/>
      <c r="J1267" s="5" t="n"/>
      <c r="K1267" s="5" t="n"/>
      <c r="L1267" s="5" t="n"/>
      <c r="M1267" s="5" t="n"/>
      <c r="N1267" s="5" t="n"/>
      <c r="O1267" s="5" t="n"/>
      <c r="P1267" s="5" t="n"/>
      <c r="Q1267" s="5" t="n"/>
      <c r="R1267" s="5" t="n"/>
      <c r="S1267" s="5" t="n"/>
      <c r="T1267" s="5" t="n"/>
      <c r="U1267" s="5" t="n"/>
      <c r="V1267" s="5" t="n"/>
      <c r="W1267" s="5" t="n"/>
      <c r="X1267" s="5" t="n"/>
      <c r="Y1267" s="5">
        <f>IF(I1267="","",IF(AND(I1267="Fail",K1267=""),"Classify Issue Source",IF(AND(I1267="Fail",W1267=""),"Set Confidence",IF(AND(K1267="Unknown",W1267&lt;&gt;"Low"),"Unknown must be Low confidence",IF(AND(OR(K1267="Backend",K1267="SAP"),N1267=""),"Add HTTP status + endpoint",IF(AND(OR(K1267="Backend",K1267="SAP",K1267="Network"),P1267=""),"Add Correlation ID",IF(AND(I1267="Fail",T1267=""),"Write Root Cause / evidence gap",IF(AND(I1267="Fail",V1267=""),"Assign team","OK"))))))))</f>
        <v/>
      </c>
    </row>
    <row r="1268">
      <c r="A1268" s="5" t="n"/>
      <c r="B1268" s="5" t="n"/>
      <c r="C1268" s="5" t="n"/>
      <c r="D1268" s="5" t="n"/>
      <c r="E1268" s="5" t="n"/>
      <c r="F1268" s="5" t="n"/>
      <c r="G1268" s="5" t="n"/>
      <c r="H1268" s="5" t="n"/>
      <c r="I1268" s="5" t="n"/>
      <c r="J1268" s="5" t="n"/>
      <c r="K1268" s="5" t="n"/>
      <c r="L1268" s="5" t="n"/>
      <c r="M1268" s="5" t="n"/>
      <c r="N1268" s="5" t="n"/>
      <c r="O1268" s="5" t="n"/>
      <c r="P1268" s="5" t="n"/>
      <c r="Q1268" s="5" t="n"/>
      <c r="R1268" s="5" t="n"/>
      <c r="S1268" s="5" t="n"/>
      <c r="T1268" s="5" t="n"/>
      <c r="U1268" s="5" t="n"/>
      <c r="V1268" s="5" t="n"/>
      <c r="W1268" s="5" t="n"/>
      <c r="X1268" s="5" t="n"/>
      <c r="Y1268" s="5">
        <f>IF(I1268="","",IF(AND(I1268="Fail",K1268=""),"Classify Issue Source",IF(AND(I1268="Fail",W1268=""),"Set Confidence",IF(AND(K1268="Unknown",W1268&lt;&gt;"Low"),"Unknown must be Low confidence",IF(AND(OR(K1268="Backend",K1268="SAP"),N1268=""),"Add HTTP status + endpoint",IF(AND(OR(K1268="Backend",K1268="SAP",K1268="Network"),P1268=""),"Add Correlation ID",IF(AND(I1268="Fail",T1268=""),"Write Root Cause / evidence gap",IF(AND(I1268="Fail",V1268=""),"Assign team","OK"))))))))</f>
        <v/>
      </c>
    </row>
    <row r="1269">
      <c r="A1269" s="5" t="n"/>
      <c r="B1269" s="5" t="n"/>
      <c r="C1269" s="5" t="n"/>
      <c r="D1269" s="5" t="n"/>
      <c r="E1269" s="5" t="n"/>
      <c r="F1269" s="5" t="n"/>
      <c r="G1269" s="5" t="n"/>
      <c r="H1269" s="5" t="n"/>
      <c r="I1269" s="5" t="n"/>
      <c r="J1269" s="5" t="n"/>
      <c r="K1269" s="5" t="n"/>
      <c r="L1269" s="5" t="n"/>
      <c r="M1269" s="5" t="n"/>
      <c r="N1269" s="5" t="n"/>
      <c r="O1269" s="5" t="n"/>
      <c r="P1269" s="5" t="n"/>
      <c r="Q1269" s="5" t="n"/>
      <c r="R1269" s="5" t="n"/>
      <c r="S1269" s="5" t="n"/>
      <c r="T1269" s="5" t="n"/>
      <c r="U1269" s="5" t="n"/>
      <c r="V1269" s="5" t="n"/>
      <c r="W1269" s="5" t="n"/>
      <c r="X1269" s="5" t="n"/>
      <c r="Y1269" s="5">
        <f>IF(I1269="","",IF(AND(I1269="Fail",K1269=""),"Classify Issue Source",IF(AND(I1269="Fail",W1269=""),"Set Confidence",IF(AND(K1269="Unknown",W1269&lt;&gt;"Low"),"Unknown must be Low confidence",IF(AND(OR(K1269="Backend",K1269="SAP"),N1269=""),"Add HTTP status + endpoint",IF(AND(OR(K1269="Backend",K1269="SAP",K1269="Network"),P1269=""),"Add Correlation ID",IF(AND(I1269="Fail",T1269=""),"Write Root Cause / evidence gap",IF(AND(I1269="Fail",V1269=""),"Assign team","OK"))))))))</f>
        <v/>
      </c>
    </row>
    <row r="1270">
      <c r="A1270" s="5" t="n"/>
      <c r="B1270" s="5" t="n"/>
      <c r="C1270" s="5" t="n"/>
      <c r="D1270" s="5" t="n"/>
      <c r="E1270" s="5" t="n"/>
      <c r="F1270" s="5" t="n"/>
      <c r="G1270" s="5" t="n"/>
      <c r="H1270" s="5" t="n"/>
      <c r="I1270" s="5" t="n"/>
      <c r="J1270" s="5" t="n"/>
      <c r="K1270" s="5" t="n"/>
      <c r="L1270" s="5" t="n"/>
      <c r="M1270" s="5" t="n"/>
      <c r="N1270" s="5" t="n"/>
      <c r="O1270" s="5" t="n"/>
      <c r="P1270" s="5" t="n"/>
      <c r="Q1270" s="5" t="n"/>
      <c r="R1270" s="5" t="n"/>
      <c r="S1270" s="5" t="n"/>
      <c r="T1270" s="5" t="n"/>
      <c r="U1270" s="5" t="n"/>
      <c r="V1270" s="5" t="n"/>
      <c r="W1270" s="5" t="n"/>
      <c r="X1270" s="5" t="n"/>
      <c r="Y1270" s="5">
        <f>IF(I1270="","",IF(AND(I1270="Fail",K1270=""),"Classify Issue Source",IF(AND(I1270="Fail",W1270=""),"Set Confidence",IF(AND(K1270="Unknown",W1270&lt;&gt;"Low"),"Unknown must be Low confidence",IF(AND(OR(K1270="Backend",K1270="SAP"),N1270=""),"Add HTTP status + endpoint",IF(AND(OR(K1270="Backend",K1270="SAP",K1270="Network"),P1270=""),"Add Correlation ID",IF(AND(I1270="Fail",T1270=""),"Write Root Cause / evidence gap",IF(AND(I1270="Fail",V1270=""),"Assign team","OK"))))))))</f>
        <v/>
      </c>
    </row>
    <row r="1271">
      <c r="A1271" s="5" t="n"/>
      <c r="B1271" s="5" t="n"/>
      <c r="C1271" s="5" t="n"/>
      <c r="D1271" s="5" t="n"/>
      <c r="E1271" s="5" t="n"/>
      <c r="F1271" s="5" t="n"/>
      <c r="G1271" s="5" t="n"/>
      <c r="H1271" s="5" t="n"/>
      <c r="I1271" s="5" t="n"/>
      <c r="J1271" s="5" t="n"/>
      <c r="K1271" s="5" t="n"/>
      <c r="L1271" s="5" t="n"/>
      <c r="M1271" s="5" t="n"/>
      <c r="N1271" s="5" t="n"/>
      <c r="O1271" s="5" t="n"/>
      <c r="P1271" s="5" t="n"/>
      <c r="Q1271" s="5" t="n"/>
      <c r="R1271" s="5" t="n"/>
      <c r="S1271" s="5" t="n"/>
      <c r="T1271" s="5" t="n"/>
      <c r="U1271" s="5" t="n"/>
      <c r="V1271" s="5" t="n"/>
      <c r="W1271" s="5" t="n"/>
      <c r="X1271" s="5" t="n"/>
      <c r="Y1271" s="5">
        <f>IF(I1271="","",IF(AND(I1271="Fail",K1271=""),"Classify Issue Source",IF(AND(I1271="Fail",W1271=""),"Set Confidence",IF(AND(K1271="Unknown",W1271&lt;&gt;"Low"),"Unknown must be Low confidence",IF(AND(OR(K1271="Backend",K1271="SAP"),N1271=""),"Add HTTP status + endpoint",IF(AND(OR(K1271="Backend",K1271="SAP",K1271="Network"),P1271=""),"Add Correlation ID",IF(AND(I1271="Fail",T1271=""),"Write Root Cause / evidence gap",IF(AND(I1271="Fail",V1271=""),"Assign team","OK"))))))))</f>
        <v/>
      </c>
    </row>
    <row r="1272">
      <c r="A1272" s="5" t="n"/>
      <c r="B1272" s="5" t="n"/>
      <c r="C1272" s="5" t="n"/>
      <c r="D1272" s="5" t="n"/>
      <c r="E1272" s="5" t="n"/>
      <c r="F1272" s="5" t="n"/>
      <c r="G1272" s="5" t="n"/>
      <c r="H1272" s="5" t="n"/>
      <c r="I1272" s="5" t="n"/>
      <c r="J1272" s="5" t="n"/>
      <c r="K1272" s="5" t="n"/>
      <c r="L1272" s="5" t="n"/>
      <c r="M1272" s="5" t="n"/>
      <c r="N1272" s="5" t="n"/>
      <c r="O1272" s="5" t="n"/>
      <c r="P1272" s="5" t="n"/>
      <c r="Q1272" s="5" t="n"/>
      <c r="R1272" s="5" t="n"/>
      <c r="S1272" s="5" t="n"/>
      <c r="T1272" s="5" t="n"/>
      <c r="U1272" s="5" t="n"/>
      <c r="V1272" s="5" t="n"/>
      <c r="W1272" s="5" t="n"/>
      <c r="X1272" s="5" t="n"/>
      <c r="Y1272" s="5">
        <f>IF(I1272="","",IF(AND(I1272="Fail",K1272=""),"Classify Issue Source",IF(AND(I1272="Fail",W1272=""),"Set Confidence",IF(AND(K1272="Unknown",W1272&lt;&gt;"Low"),"Unknown must be Low confidence",IF(AND(OR(K1272="Backend",K1272="SAP"),N1272=""),"Add HTTP status + endpoint",IF(AND(OR(K1272="Backend",K1272="SAP",K1272="Network"),P1272=""),"Add Correlation ID",IF(AND(I1272="Fail",T1272=""),"Write Root Cause / evidence gap",IF(AND(I1272="Fail",V1272=""),"Assign team","OK"))))))))</f>
        <v/>
      </c>
    </row>
    <row r="1273">
      <c r="A1273" s="5" t="n"/>
      <c r="B1273" s="5" t="n"/>
      <c r="C1273" s="5" t="n"/>
      <c r="D1273" s="5" t="n"/>
      <c r="E1273" s="5" t="n"/>
      <c r="F1273" s="5" t="n"/>
      <c r="G1273" s="5" t="n"/>
      <c r="H1273" s="5" t="n"/>
      <c r="I1273" s="5" t="n"/>
      <c r="J1273" s="5" t="n"/>
      <c r="K1273" s="5" t="n"/>
      <c r="L1273" s="5" t="n"/>
      <c r="M1273" s="5" t="n"/>
      <c r="N1273" s="5" t="n"/>
      <c r="O1273" s="5" t="n"/>
      <c r="P1273" s="5" t="n"/>
      <c r="Q1273" s="5" t="n"/>
      <c r="R1273" s="5" t="n"/>
      <c r="S1273" s="5" t="n"/>
      <c r="T1273" s="5" t="n"/>
      <c r="U1273" s="5" t="n"/>
      <c r="V1273" s="5" t="n"/>
      <c r="W1273" s="5" t="n"/>
      <c r="X1273" s="5" t="n"/>
      <c r="Y1273" s="5">
        <f>IF(I1273="","",IF(AND(I1273="Fail",K1273=""),"Classify Issue Source",IF(AND(I1273="Fail",W1273=""),"Set Confidence",IF(AND(K1273="Unknown",W1273&lt;&gt;"Low"),"Unknown must be Low confidence",IF(AND(OR(K1273="Backend",K1273="SAP"),N1273=""),"Add HTTP status + endpoint",IF(AND(OR(K1273="Backend",K1273="SAP",K1273="Network"),P1273=""),"Add Correlation ID",IF(AND(I1273="Fail",T1273=""),"Write Root Cause / evidence gap",IF(AND(I1273="Fail",V1273=""),"Assign team","OK"))))))))</f>
        <v/>
      </c>
    </row>
    <row r="1274">
      <c r="A1274" s="5" t="n"/>
      <c r="B1274" s="5" t="n"/>
      <c r="C1274" s="5" t="n"/>
      <c r="D1274" s="5" t="n"/>
      <c r="E1274" s="5" t="n"/>
      <c r="F1274" s="5" t="n"/>
      <c r="G1274" s="5" t="n"/>
      <c r="H1274" s="5" t="n"/>
      <c r="I1274" s="5" t="n"/>
      <c r="J1274" s="5" t="n"/>
      <c r="K1274" s="5" t="n"/>
      <c r="L1274" s="5" t="n"/>
      <c r="M1274" s="5" t="n"/>
      <c r="N1274" s="5" t="n"/>
      <c r="O1274" s="5" t="n"/>
      <c r="P1274" s="5" t="n"/>
      <c r="Q1274" s="5" t="n"/>
      <c r="R1274" s="5" t="n"/>
      <c r="S1274" s="5" t="n"/>
      <c r="T1274" s="5" t="n"/>
      <c r="U1274" s="5" t="n"/>
      <c r="V1274" s="5" t="n"/>
      <c r="W1274" s="5" t="n"/>
      <c r="X1274" s="5" t="n"/>
      <c r="Y1274" s="5">
        <f>IF(I1274="","",IF(AND(I1274="Fail",K1274=""),"Classify Issue Source",IF(AND(I1274="Fail",W1274=""),"Set Confidence",IF(AND(K1274="Unknown",W1274&lt;&gt;"Low"),"Unknown must be Low confidence",IF(AND(OR(K1274="Backend",K1274="SAP"),N1274=""),"Add HTTP status + endpoint",IF(AND(OR(K1274="Backend",K1274="SAP",K1274="Network"),P1274=""),"Add Correlation ID",IF(AND(I1274="Fail",T1274=""),"Write Root Cause / evidence gap",IF(AND(I1274="Fail",V1274=""),"Assign team","OK"))))))))</f>
        <v/>
      </c>
    </row>
    <row r="1275">
      <c r="A1275" s="5" t="n"/>
      <c r="B1275" s="5" t="n"/>
      <c r="C1275" s="5" t="n"/>
      <c r="D1275" s="5" t="n"/>
      <c r="E1275" s="5" t="n"/>
      <c r="F1275" s="5" t="n"/>
      <c r="G1275" s="5" t="n"/>
      <c r="H1275" s="5" t="n"/>
      <c r="I1275" s="5" t="n"/>
      <c r="J1275" s="5" t="n"/>
      <c r="K1275" s="5" t="n"/>
      <c r="L1275" s="5" t="n"/>
      <c r="M1275" s="5" t="n"/>
      <c r="N1275" s="5" t="n"/>
      <c r="O1275" s="5" t="n"/>
      <c r="P1275" s="5" t="n"/>
      <c r="Q1275" s="5" t="n"/>
      <c r="R1275" s="5" t="n"/>
      <c r="S1275" s="5" t="n"/>
      <c r="T1275" s="5" t="n"/>
      <c r="U1275" s="5" t="n"/>
      <c r="V1275" s="5" t="n"/>
      <c r="W1275" s="5" t="n"/>
      <c r="X1275" s="5" t="n"/>
      <c r="Y1275" s="5">
        <f>IF(I1275="","",IF(AND(I1275="Fail",K1275=""),"Classify Issue Source",IF(AND(I1275="Fail",W1275=""),"Set Confidence",IF(AND(K1275="Unknown",W1275&lt;&gt;"Low"),"Unknown must be Low confidence",IF(AND(OR(K1275="Backend",K1275="SAP"),N1275=""),"Add HTTP status + endpoint",IF(AND(OR(K1275="Backend",K1275="SAP",K1275="Network"),P1275=""),"Add Correlation ID",IF(AND(I1275="Fail",T1275=""),"Write Root Cause / evidence gap",IF(AND(I1275="Fail",V1275=""),"Assign team","OK"))))))))</f>
        <v/>
      </c>
    </row>
    <row r="1276">
      <c r="A1276" s="5" t="n"/>
      <c r="B1276" s="5" t="n"/>
      <c r="C1276" s="5" t="n"/>
      <c r="D1276" s="5" t="n"/>
      <c r="E1276" s="5" t="n"/>
      <c r="F1276" s="5" t="n"/>
      <c r="G1276" s="5" t="n"/>
      <c r="H1276" s="5" t="n"/>
      <c r="I1276" s="5" t="n"/>
      <c r="J1276" s="5" t="n"/>
      <c r="K1276" s="5" t="n"/>
      <c r="L1276" s="5" t="n"/>
      <c r="M1276" s="5" t="n"/>
      <c r="N1276" s="5" t="n"/>
      <c r="O1276" s="5" t="n"/>
      <c r="P1276" s="5" t="n"/>
      <c r="Q1276" s="5" t="n"/>
      <c r="R1276" s="5" t="n"/>
      <c r="S1276" s="5" t="n"/>
      <c r="T1276" s="5" t="n"/>
      <c r="U1276" s="5" t="n"/>
      <c r="V1276" s="5" t="n"/>
      <c r="W1276" s="5" t="n"/>
      <c r="X1276" s="5" t="n"/>
      <c r="Y1276" s="5">
        <f>IF(I1276="","",IF(AND(I1276="Fail",K1276=""),"Classify Issue Source",IF(AND(I1276="Fail",W1276=""),"Set Confidence",IF(AND(K1276="Unknown",W1276&lt;&gt;"Low"),"Unknown must be Low confidence",IF(AND(OR(K1276="Backend",K1276="SAP"),N1276=""),"Add HTTP status + endpoint",IF(AND(OR(K1276="Backend",K1276="SAP",K1276="Network"),P1276=""),"Add Correlation ID",IF(AND(I1276="Fail",T1276=""),"Write Root Cause / evidence gap",IF(AND(I1276="Fail",V1276=""),"Assign team","OK"))))))))</f>
        <v/>
      </c>
    </row>
    <row r="1277">
      <c r="A1277" s="5" t="n"/>
      <c r="B1277" s="5" t="n"/>
      <c r="C1277" s="5" t="n"/>
      <c r="D1277" s="5" t="n"/>
      <c r="E1277" s="5" t="n"/>
      <c r="F1277" s="5" t="n"/>
      <c r="G1277" s="5" t="n"/>
      <c r="H1277" s="5" t="n"/>
      <c r="I1277" s="5" t="n"/>
      <c r="J1277" s="5" t="n"/>
      <c r="K1277" s="5" t="n"/>
      <c r="L1277" s="5" t="n"/>
      <c r="M1277" s="5" t="n"/>
      <c r="N1277" s="5" t="n"/>
      <c r="O1277" s="5" t="n"/>
      <c r="P1277" s="5" t="n"/>
      <c r="Q1277" s="5" t="n"/>
      <c r="R1277" s="5" t="n"/>
      <c r="S1277" s="5" t="n"/>
      <c r="T1277" s="5" t="n"/>
      <c r="U1277" s="5" t="n"/>
      <c r="V1277" s="5" t="n"/>
      <c r="W1277" s="5" t="n"/>
      <c r="X1277" s="5" t="n"/>
      <c r="Y1277" s="5">
        <f>IF(I1277="","",IF(AND(I1277="Fail",K1277=""),"Classify Issue Source",IF(AND(I1277="Fail",W1277=""),"Set Confidence",IF(AND(K1277="Unknown",W1277&lt;&gt;"Low"),"Unknown must be Low confidence",IF(AND(OR(K1277="Backend",K1277="SAP"),N1277=""),"Add HTTP status + endpoint",IF(AND(OR(K1277="Backend",K1277="SAP",K1277="Network"),P1277=""),"Add Correlation ID",IF(AND(I1277="Fail",T1277=""),"Write Root Cause / evidence gap",IF(AND(I1277="Fail",V1277=""),"Assign team","OK"))))))))</f>
        <v/>
      </c>
    </row>
    <row r="1278">
      <c r="A1278" s="5" t="n"/>
      <c r="B1278" s="5" t="n"/>
      <c r="C1278" s="5" t="n"/>
      <c r="D1278" s="5" t="n"/>
      <c r="E1278" s="5" t="n"/>
      <c r="F1278" s="5" t="n"/>
      <c r="G1278" s="5" t="n"/>
      <c r="H1278" s="5" t="n"/>
      <c r="I1278" s="5" t="n"/>
      <c r="J1278" s="5" t="n"/>
      <c r="K1278" s="5" t="n"/>
      <c r="L1278" s="5" t="n"/>
      <c r="M1278" s="5" t="n"/>
      <c r="N1278" s="5" t="n"/>
      <c r="O1278" s="5" t="n"/>
      <c r="P1278" s="5" t="n"/>
      <c r="Q1278" s="5" t="n"/>
      <c r="R1278" s="5" t="n"/>
      <c r="S1278" s="5" t="n"/>
      <c r="T1278" s="5" t="n"/>
      <c r="U1278" s="5" t="n"/>
      <c r="V1278" s="5" t="n"/>
      <c r="W1278" s="5" t="n"/>
      <c r="X1278" s="5" t="n"/>
      <c r="Y1278" s="5">
        <f>IF(I1278="","",IF(AND(I1278="Fail",K1278=""),"Classify Issue Source",IF(AND(I1278="Fail",W1278=""),"Set Confidence",IF(AND(K1278="Unknown",W1278&lt;&gt;"Low"),"Unknown must be Low confidence",IF(AND(OR(K1278="Backend",K1278="SAP"),N1278=""),"Add HTTP status + endpoint",IF(AND(OR(K1278="Backend",K1278="SAP",K1278="Network"),P1278=""),"Add Correlation ID",IF(AND(I1278="Fail",T1278=""),"Write Root Cause / evidence gap",IF(AND(I1278="Fail",V1278=""),"Assign team","OK"))))))))</f>
        <v/>
      </c>
    </row>
    <row r="1279">
      <c r="A1279" s="5" t="n"/>
      <c r="B1279" s="5" t="n"/>
      <c r="C1279" s="5" t="n"/>
      <c r="D1279" s="5" t="n"/>
      <c r="E1279" s="5" t="n"/>
      <c r="F1279" s="5" t="n"/>
      <c r="G1279" s="5" t="n"/>
      <c r="H1279" s="5" t="n"/>
      <c r="I1279" s="5" t="n"/>
      <c r="J1279" s="5" t="n"/>
      <c r="K1279" s="5" t="n"/>
      <c r="L1279" s="5" t="n"/>
      <c r="M1279" s="5" t="n"/>
      <c r="N1279" s="5" t="n"/>
      <c r="O1279" s="5" t="n"/>
      <c r="P1279" s="5" t="n"/>
      <c r="Q1279" s="5" t="n"/>
      <c r="R1279" s="5" t="n"/>
      <c r="S1279" s="5" t="n"/>
      <c r="T1279" s="5" t="n"/>
      <c r="U1279" s="5" t="n"/>
      <c r="V1279" s="5" t="n"/>
      <c r="W1279" s="5" t="n"/>
      <c r="X1279" s="5" t="n"/>
      <c r="Y1279" s="5">
        <f>IF(I1279="","",IF(AND(I1279="Fail",K1279=""),"Classify Issue Source",IF(AND(I1279="Fail",W1279=""),"Set Confidence",IF(AND(K1279="Unknown",W1279&lt;&gt;"Low"),"Unknown must be Low confidence",IF(AND(OR(K1279="Backend",K1279="SAP"),N1279=""),"Add HTTP status + endpoint",IF(AND(OR(K1279="Backend",K1279="SAP",K1279="Network"),P1279=""),"Add Correlation ID",IF(AND(I1279="Fail",T1279=""),"Write Root Cause / evidence gap",IF(AND(I1279="Fail",V1279=""),"Assign team","OK"))))))))</f>
        <v/>
      </c>
    </row>
    <row r="1280">
      <c r="A1280" s="5" t="n"/>
      <c r="B1280" s="5" t="n"/>
      <c r="C1280" s="5" t="n"/>
      <c r="D1280" s="5" t="n"/>
      <c r="E1280" s="5" t="n"/>
      <c r="F1280" s="5" t="n"/>
      <c r="G1280" s="5" t="n"/>
      <c r="H1280" s="5" t="n"/>
      <c r="I1280" s="5" t="n"/>
      <c r="J1280" s="5" t="n"/>
      <c r="K1280" s="5" t="n"/>
      <c r="L1280" s="5" t="n"/>
      <c r="M1280" s="5" t="n"/>
      <c r="N1280" s="5" t="n"/>
      <c r="O1280" s="5" t="n"/>
      <c r="P1280" s="5" t="n"/>
      <c r="Q1280" s="5" t="n"/>
      <c r="R1280" s="5" t="n"/>
      <c r="S1280" s="5" t="n"/>
      <c r="T1280" s="5" t="n"/>
      <c r="U1280" s="5" t="n"/>
      <c r="V1280" s="5" t="n"/>
      <c r="W1280" s="5" t="n"/>
      <c r="X1280" s="5" t="n"/>
      <c r="Y1280" s="5">
        <f>IF(I1280="","",IF(AND(I1280="Fail",K1280=""),"Classify Issue Source",IF(AND(I1280="Fail",W1280=""),"Set Confidence",IF(AND(K1280="Unknown",W1280&lt;&gt;"Low"),"Unknown must be Low confidence",IF(AND(OR(K1280="Backend",K1280="SAP"),N1280=""),"Add HTTP status + endpoint",IF(AND(OR(K1280="Backend",K1280="SAP",K1280="Network"),P1280=""),"Add Correlation ID",IF(AND(I1280="Fail",T1280=""),"Write Root Cause / evidence gap",IF(AND(I1280="Fail",V1280=""),"Assign team","OK"))))))))</f>
        <v/>
      </c>
    </row>
    <row r="1281">
      <c r="A1281" s="5" t="n"/>
      <c r="B1281" s="5" t="n"/>
      <c r="C1281" s="5" t="n"/>
      <c r="D1281" s="5" t="n"/>
      <c r="E1281" s="5" t="n"/>
      <c r="F1281" s="5" t="n"/>
      <c r="G1281" s="5" t="n"/>
      <c r="H1281" s="5" t="n"/>
      <c r="I1281" s="5" t="n"/>
      <c r="J1281" s="5" t="n"/>
      <c r="K1281" s="5" t="n"/>
      <c r="L1281" s="5" t="n"/>
      <c r="M1281" s="5" t="n"/>
      <c r="N1281" s="5" t="n"/>
      <c r="O1281" s="5" t="n"/>
      <c r="P1281" s="5" t="n"/>
      <c r="Q1281" s="5" t="n"/>
      <c r="R1281" s="5" t="n"/>
      <c r="S1281" s="5" t="n"/>
      <c r="T1281" s="5" t="n"/>
      <c r="U1281" s="5" t="n"/>
      <c r="V1281" s="5" t="n"/>
      <c r="W1281" s="5" t="n"/>
      <c r="X1281" s="5" t="n"/>
      <c r="Y1281" s="5">
        <f>IF(I1281="","",IF(AND(I1281="Fail",K1281=""),"Classify Issue Source",IF(AND(I1281="Fail",W1281=""),"Set Confidence",IF(AND(K1281="Unknown",W1281&lt;&gt;"Low"),"Unknown must be Low confidence",IF(AND(OR(K1281="Backend",K1281="SAP"),N1281=""),"Add HTTP status + endpoint",IF(AND(OR(K1281="Backend",K1281="SAP",K1281="Network"),P1281=""),"Add Correlation ID",IF(AND(I1281="Fail",T1281=""),"Write Root Cause / evidence gap",IF(AND(I1281="Fail",V1281=""),"Assign team","OK"))))))))</f>
        <v/>
      </c>
    </row>
    <row r="1282">
      <c r="A1282" s="5" t="n"/>
      <c r="B1282" s="5" t="n"/>
      <c r="C1282" s="5" t="n"/>
      <c r="D1282" s="5" t="n"/>
      <c r="E1282" s="5" t="n"/>
      <c r="F1282" s="5" t="n"/>
      <c r="G1282" s="5" t="n"/>
      <c r="H1282" s="5" t="n"/>
      <c r="I1282" s="5" t="n"/>
      <c r="J1282" s="5" t="n"/>
      <c r="K1282" s="5" t="n"/>
      <c r="L1282" s="5" t="n"/>
      <c r="M1282" s="5" t="n"/>
      <c r="N1282" s="5" t="n"/>
      <c r="O1282" s="5" t="n"/>
      <c r="P1282" s="5" t="n"/>
      <c r="Q1282" s="5" t="n"/>
      <c r="R1282" s="5" t="n"/>
      <c r="S1282" s="5" t="n"/>
      <c r="T1282" s="5" t="n"/>
      <c r="U1282" s="5" t="n"/>
      <c r="V1282" s="5" t="n"/>
      <c r="W1282" s="5" t="n"/>
      <c r="X1282" s="5" t="n"/>
      <c r="Y1282" s="5">
        <f>IF(I1282="","",IF(AND(I1282="Fail",K1282=""),"Classify Issue Source",IF(AND(I1282="Fail",W1282=""),"Set Confidence",IF(AND(K1282="Unknown",W1282&lt;&gt;"Low"),"Unknown must be Low confidence",IF(AND(OR(K1282="Backend",K1282="SAP"),N1282=""),"Add HTTP status + endpoint",IF(AND(OR(K1282="Backend",K1282="SAP",K1282="Network"),P1282=""),"Add Correlation ID",IF(AND(I1282="Fail",T1282=""),"Write Root Cause / evidence gap",IF(AND(I1282="Fail",V1282=""),"Assign team","OK"))))))))</f>
        <v/>
      </c>
    </row>
    <row r="1283">
      <c r="A1283" s="5" t="n"/>
      <c r="B1283" s="5" t="n"/>
      <c r="C1283" s="5" t="n"/>
      <c r="D1283" s="5" t="n"/>
      <c r="E1283" s="5" t="n"/>
      <c r="F1283" s="5" t="n"/>
      <c r="G1283" s="5" t="n"/>
      <c r="H1283" s="5" t="n"/>
      <c r="I1283" s="5" t="n"/>
      <c r="J1283" s="5" t="n"/>
      <c r="K1283" s="5" t="n"/>
      <c r="L1283" s="5" t="n"/>
      <c r="M1283" s="5" t="n"/>
      <c r="N1283" s="5" t="n"/>
      <c r="O1283" s="5" t="n"/>
      <c r="P1283" s="5" t="n"/>
      <c r="Q1283" s="5" t="n"/>
      <c r="R1283" s="5" t="n"/>
      <c r="S1283" s="5" t="n"/>
      <c r="T1283" s="5" t="n"/>
      <c r="U1283" s="5" t="n"/>
      <c r="V1283" s="5" t="n"/>
      <c r="W1283" s="5" t="n"/>
      <c r="X1283" s="5" t="n"/>
      <c r="Y1283" s="5">
        <f>IF(I1283="","",IF(AND(I1283="Fail",K1283=""),"Classify Issue Source",IF(AND(I1283="Fail",W1283=""),"Set Confidence",IF(AND(K1283="Unknown",W1283&lt;&gt;"Low"),"Unknown must be Low confidence",IF(AND(OR(K1283="Backend",K1283="SAP"),N1283=""),"Add HTTP status + endpoint",IF(AND(OR(K1283="Backend",K1283="SAP",K1283="Network"),P1283=""),"Add Correlation ID",IF(AND(I1283="Fail",T1283=""),"Write Root Cause / evidence gap",IF(AND(I1283="Fail",V1283=""),"Assign team","OK"))))))))</f>
        <v/>
      </c>
    </row>
    <row r="1284">
      <c r="A1284" s="5" t="n"/>
      <c r="B1284" s="5" t="n"/>
      <c r="C1284" s="5" t="n"/>
      <c r="D1284" s="5" t="n"/>
      <c r="E1284" s="5" t="n"/>
      <c r="F1284" s="5" t="n"/>
      <c r="G1284" s="5" t="n"/>
      <c r="H1284" s="5" t="n"/>
      <c r="I1284" s="5" t="n"/>
      <c r="J1284" s="5" t="n"/>
      <c r="K1284" s="5" t="n"/>
      <c r="L1284" s="5" t="n"/>
      <c r="M1284" s="5" t="n"/>
      <c r="N1284" s="5" t="n"/>
      <c r="O1284" s="5" t="n"/>
      <c r="P1284" s="5" t="n"/>
      <c r="Q1284" s="5" t="n"/>
      <c r="R1284" s="5" t="n"/>
      <c r="S1284" s="5" t="n"/>
      <c r="T1284" s="5" t="n"/>
      <c r="U1284" s="5" t="n"/>
      <c r="V1284" s="5" t="n"/>
      <c r="W1284" s="5" t="n"/>
      <c r="X1284" s="5" t="n"/>
      <c r="Y1284" s="5">
        <f>IF(I1284="","",IF(AND(I1284="Fail",K1284=""),"Classify Issue Source",IF(AND(I1284="Fail",W1284=""),"Set Confidence",IF(AND(K1284="Unknown",W1284&lt;&gt;"Low"),"Unknown must be Low confidence",IF(AND(OR(K1284="Backend",K1284="SAP"),N1284=""),"Add HTTP status + endpoint",IF(AND(OR(K1284="Backend",K1284="SAP",K1284="Network"),P1284=""),"Add Correlation ID",IF(AND(I1284="Fail",T1284=""),"Write Root Cause / evidence gap",IF(AND(I1284="Fail",V1284=""),"Assign team","OK"))))))))</f>
        <v/>
      </c>
    </row>
    <row r="1285">
      <c r="A1285" s="5" t="n"/>
      <c r="B1285" s="5" t="n"/>
      <c r="C1285" s="5" t="n"/>
      <c r="D1285" s="5" t="n"/>
      <c r="E1285" s="5" t="n"/>
      <c r="F1285" s="5" t="n"/>
      <c r="G1285" s="5" t="n"/>
      <c r="H1285" s="5" t="n"/>
      <c r="I1285" s="5" t="n"/>
      <c r="J1285" s="5" t="n"/>
      <c r="K1285" s="5" t="n"/>
      <c r="L1285" s="5" t="n"/>
      <c r="M1285" s="5" t="n"/>
      <c r="N1285" s="5" t="n"/>
      <c r="O1285" s="5" t="n"/>
      <c r="P1285" s="5" t="n"/>
      <c r="Q1285" s="5" t="n"/>
      <c r="R1285" s="5" t="n"/>
      <c r="S1285" s="5" t="n"/>
      <c r="T1285" s="5" t="n"/>
      <c r="U1285" s="5" t="n"/>
      <c r="V1285" s="5" t="n"/>
      <c r="W1285" s="5" t="n"/>
      <c r="X1285" s="5" t="n"/>
      <c r="Y1285" s="5">
        <f>IF(I1285="","",IF(AND(I1285="Fail",K1285=""),"Classify Issue Source",IF(AND(I1285="Fail",W1285=""),"Set Confidence",IF(AND(K1285="Unknown",W1285&lt;&gt;"Low"),"Unknown must be Low confidence",IF(AND(OR(K1285="Backend",K1285="SAP"),N1285=""),"Add HTTP status + endpoint",IF(AND(OR(K1285="Backend",K1285="SAP",K1285="Network"),P1285=""),"Add Correlation ID",IF(AND(I1285="Fail",T1285=""),"Write Root Cause / evidence gap",IF(AND(I1285="Fail",V1285=""),"Assign team","OK"))))))))</f>
        <v/>
      </c>
    </row>
    <row r="1286">
      <c r="A1286" s="5" t="n"/>
      <c r="B1286" s="5" t="n"/>
      <c r="C1286" s="5" t="n"/>
      <c r="D1286" s="5" t="n"/>
      <c r="E1286" s="5" t="n"/>
      <c r="F1286" s="5" t="n"/>
      <c r="G1286" s="5" t="n"/>
      <c r="H1286" s="5" t="n"/>
      <c r="I1286" s="5" t="n"/>
      <c r="J1286" s="5" t="n"/>
      <c r="K1286" s="5" t="n"/>
      <c r="L1286" s="5" t="n"/>
      <c r="M1286" s="5" t="n"/>
      <c r="N1286" s="5" t="n"/>
      <c r="O1286" s="5" t="n"/>
      <c r="P1286" s="5" t="n"/>
      <c r="Q1286" s="5" t="n"/>
      <c r="R1286" s="5" t="n"/>
      <c r="S1286" s="5" t="n"/>
      <c r="T1286" s="5" t="n"/>
      <c r="U1286" s="5" t="n"/>
      <c r="V1286" s="5" t="n"/>
      <c r="W1286" s="5" t="n"/>
      <c r="X1286" s="5" t="n"/>
      <c r="Y1286" s="5">
        <f>IF(I1286="","",IF(AND(I1286="Fail",K1286=""),"Classify Issue Source",IF(AND(I1286="Fail",W1286=""),"Set Confidence",IF(AND(K1286="Unknown",W1286&lt;&gt;"Low"),"Unknown must be Low confidence",IF(AND(OR(K1286="Backend",K1286="SAP"),N1286=""),"Add HTTP status + endpoint",IF(AND(OR(K1286="Backend",K1286="SAP",K1286="Network"),P1286=""),"Add Correlation ID",IF(AND(I1286="Fail",T1286=""),"Write Root Cause / evidence gap",IF(AND(I1286="Fail",V1286=""),"Assign team","OK"))))))))</f>
        <v/>
      </c>
    </row>
    <row r="1287">
      <c r="A1287" s="5" t="n"/>
      <c r="B1287" s="5" t="n"/>
      <c r="C1287" s="5" t="n"/>
      <c r="D1287" s="5" t="n"/>
      <c r="E1287" s="5" t="n"/>
      <c r="F1287" s="5" t="n"/>
      <c r="G1287" s="5" t="n"/>
      <c r="H1287" s="5" t="n"/>
      <c r="I1287" s="5" t="n"/>
      <c r="J1287" s="5" t="n"/>
      <c r="K1287" s="5" t="n"/>
      <c r="L1287" s="5" t="n"/>
      <c r="M1287" s="5" t="n"/>
      <c r="N1287" s="5" t="n"/>
      <c r="O1287" s="5" t="n"/>
      <c r="P1287" s="5" t="n"/>
      <c r="Q1287" s="5" t="n"/>
      <c r="R1287" s="5" t="n"/>
      <c r="S1287" s="5" t="n"/>
      <c r="T1287" s="5" t="n"/>
      <c r="U1287" s="5" t="n"/>
      <c r="V1287" s="5" t="n"/>
      <c r="W1287" s="5" t="n"/>
      <c r="X1287" s="5" t="n"/>
      <c r="Y1287" s="5">
        <f>IF(I1287="","",IF(AND(I1287="Fail",K1287=""),"Classify Issue Source",IF(AND(I1287="Fail",W1287=""),"Set Confidence",IF(AND(K1287="Unknown",W1287&lt;&gt;"Low"),"Unknown must be Low confidence",IF(AND(OR(K1287="Backend",K1287="SAP"),N1287=""),"Add HTTP status + endpoint",IF(AND(OR(K1287="Backend",K1287="SAP",K1287="Network"),P1287=""),"Add Correlation ID",IF(AND(I1287="Fail",T1287=""),"Write Root Cause / evidence gap",IF(AND(I1287="Fail",V1287=""),"Assign team","OK"))))))))</f>
        <v/>
      </c>
    </row>
    <row r="1288">
      <c r="A1288" s="5" t="n"/>
      <c r="B1288" s="5" t="n"/>
      <c r="C1288" s="5" t="n"/>
      <c r="D1288" s="5" t="n"/>
      <c r="E1288" s="5" t="n"/>
      <c r="F1288" s="5" t="n"/>
      <c r="G1288" s="5" t="n"/>
      <c r="H1288" s="5" t="n"/>
      <c r="I1288" s="5" t="n"/>
      <c r="J1288" s="5" t="n"/>
      <c r="K1288" s="5" t="n"/>
      <c r="L1288" s="5" t="n"/>
      <c r="M1288" s="5" t="n"/>
      <c r="N1288" s="5" t="n"/>
      <c r="O1288" s="5" t="n"/>
      <c r="P1288" s="5" t="n"/>
      <c r="Q1288" s="5" t="n"/>
      <c r="R1288" s="5" t="n"/>
      <c r="S1288" s="5" t="n"/>
      <c r="T1288" s="5" t="n"/>
      <c r="U1288" s="5" t="n"/>
      <c r="V1288" s="5" t="n"/>
      <c r="W1288" s="5" t="n"/>
      <c r="X1288" s="5" t="n"/>
      <c r="Y1288" s="5">
        <f>IF(I1288="","",IF(AND(I1288="Fail",K1288=""),"Classify Issue Source",IF(AND(I1288="Fail",W1288=""),"Set Confidence",IF(AND(K1288="Unknown",W1288&lt;&gt;"Low"),"Unknown must be Low confidence",IF(AND(OR(K1288="Backend",K1288="SAP"),N1288=""),"Add HTTP status + endpoint",IF(AND(OR(K1288="Backend",K1288="SAP",K1288="Network"),P1288=""),"Add Correlation ID",IF(AND(I1288="Fail",T1288=""),"Write Root Cause / evidence gap",IF(AND(I1288="Fail",V1288=""),"Assign team","OK"))))))))</f>
        <v/>
      </c>
    </row>
    <row r="1289">
      <c r="A1289" s="5" t="n"/>
      <c r="B1289" s="5" t="n"/>
      <c r="C1289" s="5" t="n"/>
      <c r="D1289" s="5" t="n"/>
      <c r="E1289" s="5" t="n"/>
      <c r="F1289" s="5" t="n"/>
      <c r="G1289" s="5" t="n"/>
      <c r="H1289" s="5" t="n"/>
      <c r="I1289" s="5" t="n"/>
      <c r="J1289" s="5" t="n"/>
      <c r="K1289" s="5" t="n"/>
      <c r="L1289" s="5" t="n"/>
      <c r="M1289" s="5" t="n"/>
      <c r="N1289" s="5" t="n"/>
      <c r="O1289" s="5" t="n"/>
      <c r="P1289" s="5" t="n"/>
      <c r="Q1289" s="5" t="n"/>
      <c r="R1289" s="5" t="n"/>
      <c r="S1289" s="5" t="n"/>
      <c r="T1289" s="5" t="n"/>
      <c r="U1289" s="5" t="n"/>
      <c r="V1289" s="5" t="n"/>
      <c r="W1289" s="5" t="n"/>
      <c r="X1289" s="5" t="n"/>
      <c r="Y1289" s="5">
        <f>IF(I1289="","",IF(AND(I1289="Fail",K1289=""),"Classify Issue Source",IF(AND(I1289="Fail",W1289=""),"Set Confidence",IF(AND(K1289="Unknown",W1289&lt;&gt;"Low"),"Unknown must be Low confidence",IF(AND(OR(K1289="Backend",K1289="SAP"),N1289=""),"Add HTTP status + endpoint",IF(AND(OR(K1289="Backend",K1289="SAP",K1289="Network"),P1289=""),"Add Correlation ID",IF(AND(I1289="Fail",T1289=""),"Write Root Cause / evidence gap",IF(AND(I1289="Fail",V1289=""),"Assign team","OK"))))))))</f>
        <v/>
      </c>
    </row>
    <row r="1290">
      <c r="A1290" s="5" t="n"/>
      <c r="B1290" s="5" t="n"/>
      <c r="C1290" s="5" t="n"/>
      <c r="D1290" s="5" t="n"/>
      <c r="E1290" s="5" t="n"/>
      <c r="F1290" s="5" t="n"/>
      <c r="G1290" s="5" t="n"/>
      <c r="H1290" s="5" t="n"/>
      <c r="I1290" s="5" t="n"/>
      <c r="J1290" s="5" t="n"/>
      <c r="K1290" s="5" t="n"/>
      <c r="L1290" s="5" t="n"/>
      <c r="M1290" s="5" t="n"/>
      <c r="N1290" s="5" t="n"/>
      <c r="O1290" s="5" t="n"/>
      <c r="P1290" s="5" t="n"/>
      <c r="Q1290" s="5" t="n"/>
      <c r="R1290" s="5" t="n"/>
      <c r="S1290" s="5" t="n"/>
      <c r="T1290" s="5" t="n"/>
      <c r="U1290" s="5" t="n"/>
      <c r="V1290" s="5" t="n"/>
      <c r="W1290" s="5" t="n"/>
      <c r="X1290" s="5" t="n"/>
      <c r="Y1290" s="5">
        <f>IF(I1290="","",IF(AND(I1290="Fail",K1290=""),"Classify Issue Source",IF(AND(I1290="Fail",W1290=""),"Set Confidence",IF(AND(K1290="Unknown",W1290&lt;&gt;"Low"),"Unknown must be Low confidence",IF(AND(OR(K1290="Backend",K1290="SAP"),N1290=""),"Add HTTP status + endpoint",IF(AND(OR(K1290="Backend",K1290="SAP",K1290="Network"),P1290=""),"Add Correlation ID",IF(AND(I1290="Fail",T1290=""),"Write Root Cause / evidence gap",IF(AND(I1290="Fail",V1290=""),"Assign team","OK"))))))))</f>
        <v/>
      </c>
    </row>
    <row r="1291">
      <c r="A1291" s="5" t="n"/>
      <c r="B1291" s="5" t="n"/>
      <c r="C1291" s="5" t="n"/>
      <c r="D1291" s="5" t="n"/>
      <c r="E1291" s="5" t="n"/>
      <c r="F1291" s="5" t="n"/>
      <c r="G1291" s="5" t="n"/>
      <c r="H1291" s="5" t="n"/>
      <c r="I1291" s="5" t="n"/>
      <c r="J1291" s="5" t="n"/>
      <c r="K1291" s="5" t="n"/>
      <c r="L1291" s="5" t="n"/>
      <c r="M1291" s="5" t="n"/>
      <c r="N1291" s="5" t="n"/>
      <c r="O1291" s="5" t="n"/>
      <c r="P1291" s="5" t="n"/>
      <c r="Q1291" s="5" t="n"/>
      <c r="R1291" s="5" t="n"/>
      <c r="S1291" s="5" t="n"/>
      <c r="T1291" s="5" t="n"/>
      <c r="U1291" s="5" t="n"/>
      <c r="V1291" s="5" t="n"/>
      <c r="W1291" s="5" t="n"/>
      <c r="X1291" s="5" t="n"/>
      <c r="Y1291" s="5">
        <f>IF(I1291="","",IF(AND(I1291="Fail",K1291=""),"Classify Issue Source",IF(AND(I1291="Fail",W1291=""),"Set Confidence",IF(AND(K1291="Unknown",W1291&lt;&gt;"Low"),"Unknown must be Low confidence",IF(AND(OR(K1291="Backend",K1291="SAP"),N1291=""),"Add HTTP status + endpoint",IF(AND(OR(K1291="Backend",K1291="SAP",K1291="Network"),P1291=""),"Add Correlation ID",IF(AND(I1291="Fail",T1291=""),"Write Root Cause / evidence gap",IF(AND(I1291="Fail",V1291=""),"Assign team","OK"))))))))</f>
        <v/>
      </c>
    </row>
    <row r="1292">
      <c r="A1292" s="5" t="n"/>
      <c r="B1292" s="5" t="n"/>
      <c r="C1292" s="5" t="n"/>
      <c r="D1292" s="5" t="n"/>
      <c r="E1292" s="5" t="n"/>
      <c r="F1292" s="5" t="n"/>
      <c r="G1292" s="5" t="n"/>
      <c r="H1292" s="5" t="n"/>
      <c r="I1292" s="5" t="n"/>
      <c r="J1292" s="5" t="n"/>
      <c r="K1292" s="5" t="n"/>
      <c r="L1292" s="5" t="n"/>
      <c r="M1292" s="5" t="n"/>
      <c r="N1292" s="5" t="n"/>
      <c r="O1292" s="5" t="n"/>
      <c r="P1292" s="5" t="n"/>
      <c r="Q1292" s="5" t="n"/>
      <c r="R1292" s="5" t="n"/>
      <c r="S1292" s="5" t="n"/>
      <c r="T1292" s="5" t="n"/>
      <c r="U1292" s="5" t="n"/>
      <c r="V1292" s="5" t="n"/>
      <c r="W1292" s="5" t="n"/>
      <c r="X1292" s="5" t="n"/>
      <c r="Y1292" s="5">
        <f>IF(I1292="","",IF(AND(I1292="Fail",K1292=""),"Classify Issue Source",IF(AND(I1292="Fail",W1292=""),"Set Confidence",IF(AND(K1292="Unknown",W1292&lt;&gt;"Low"),"Unknown must be Low confidence",IF(AND(OR(K1292="Backend",K1292="SAP"),N1292=""),"Add HTTP status + endpoint",IF(AND(OR(K1292="Backend",K1292="SAP",K1292="Network"),P1292=""),"Add Correlation ID",IF(AND(I1292="Fail",T1292=""),"Write Root Cause / evidence gap",IF(AND(I1292="Fail",V1292=""),"Assign team","OK"))))))))</f>
        <v/>
      </c>
    </row>
    <row r="1293">
      <c r="A1293" s="5" t="n"/>
      <c r="B1293" s="5" t="n"/>
      <c r="C1293" s="5" t="n"/>
      <c r="D1293" s="5" t="n"/>
      <c r="E1293" s="5" t="n"/>
      <c r="F1293" s="5" t="n"/>
      <c r="G1293" s="5" t="n"/>
      <c r="H1293" s="5" t="n"/>
      <c r="I1293" s="5" t="n"/>
      <c r="J1293" s="5" t="n"/>
      <c r="K1293" s="5" t="n"/>
      <c r="L1293" s="5" t="n"/>
      <c r="M1293" s="5" t="n"/>
      <c r="N1293" s="5" t="n"/>
      <c r="O1293" s="5" t="n"/>
      <c r="P1293" s="5" t="n"/>
      <c r="Q1293" s="5" t="n"/>
      <c r="R1293" s="5" t="n"/>
      <c r="S1293" s="5" t="n"/>
      <c r="T1293" s="5" t="n"/>
      <c r="U1293" s="5" t="n"/>
      <c r="V1293" s="5" t="n"/>
      <c r="W1293" s="5" t="n"/>
      <c r="X1293" s="5" t="n"/>
      <c r="Y1293" s="5">
        <f>IF(I1293="","",IF(AND(I1293="Fail",K1293=""),"Classify Issue Source",IF(AND(I1293="Fail",W1293=""),"Set Confidence",IF(AND(K1293="Unknown",W1293&lt;&gt;"Low"),"Unknown must be Low confidence",IF(AND(OR(K1293="Backend",K1293="SAP"),N1293=""),"Add HTTP status + endpoint",IF(AND(OR(K1293="Backend",K1293="SAP",K1293="Network"),P1293=""),"Add Correlation ID",IF(AND(I1293="Fail",T1293=""),"Write Root Cause / evidence gap",IF(AND(I1293="Fail",V1293=""),"Assign team","OK"))))))))</f>
        <v/>
      </c>
    </row>
    <row r="1294">
      <c r="A1294" s="5" t="n"/>
      <c r="B1294" s="5" t="n"/>
      <c r="C1294" s="5" t="n"/>
      <c r="D1294" s="5" t="n"/>
      <c r="E1294" s="5" t="n"/>
      <c r="F1294" s="5" t="n"/>
      <c r="G1294" s="5" t="n"/>
      <c r="H1294" s="5" t="n"/>
      <c r="I1294" s="5" t="n"/>
      <c r="J1294" s="5" t="n"/>
      <c r="K1294" s="5" t="n"/>
      <c r="L1294" s="5" t="n"/>
      <c r="M1294" s="5" t="n"/>
      <c r="N1294" s="5" t="n"/>
      <c r="O1294" s="5" t="n"/>
      <c r="P1294" s="5" t="n"/>
      <c r="Q1294" s="5" t="n"/>
      <c r="R1294" s="5" t="n"/>
      <c r="S1294" s="5" t="n"/>
      <c r="T1294" s="5" t="n"/>
      <c r="U1294" s="5" t="n"/>
      <c r="V1294" s="5" t="n"/>
      <c r="W1294" s="5" t="n"/>
      <c r="X1294" s="5" t="n"/>
      <c r="Y1294" s="5">
        <f>IF(I1294="","",IF(AND(I1294="Fail",K1294=""),"Classify Issue Source",IF(AND(I1294="Fail",W1294=""),"Set Confidence",IF(AND(K1294="Unknown",W1294&lt;&gt;"Low"),"Unknown must be Low confidence",IF(AND(OR(K1294="Backend",K1294="SAP"),N1294=""),"Add HTTP status + endpoint",IF(AND(OR(K1294="Backend",K1294="SAP",K1294="Network"),P1294=""),"Add Correlation ID",IF(AND(I1294="Fail",T1294=""),"Write Root Cause / evidence gap",IF(AND(I1294="Fail",V1294=""),"Assign team","OK"))))))))</f>
        <v/>
      </c>
    </row>
    <row r="1295">
      <c r="A1295" s="5" t="n"/>
      <c r="B1295" s="5" t="n"/>
      <c r="C1295" s="5" t="n"/>
      <c r="D1295" s="5" t="n"/>
      <c r="E1295" s="5" t="n"/>
      <c r="F1295" s="5" t="n"/>
      <c r="G1295" s="5" t="n"/>
      <c r="H1295" s="5" t="n"/>
      <c r="I1295" s="5" t="n"/>
      <c r="J1295" s="5" t="n"/>
      <c r="K1295" s="5" t="n"/>
      <c r="L1295" s="5" t="n"/>
      <c r="M1295" s="5" t="n"/>
      <c r="N1295" s="5" t="n"/>
      <c r="O1295" s="5" t="n"/>
      <c r="P1295" s="5" t="n"/>
      <c r="Q1295" s="5" t="n"/>
      <c r="R1295" s="5" t="n"/>
      <c r="S1295" s="5" t="n"/>
      <c r="T1295" s="5" t="n"/>
      <c r="U1295" s="5" t="n"/>
      <c r="V1295" s="5" t="n"/>
      <c r="W1295" s="5" t="n"/>
      <c r="X1295" s="5" t="n"/>
      <c r="Y1295" s="5">
        <f>IF(I1295="","",IF(AND(I1295="Fail",K1295=""),"Classify Issue Source",IF(AND(I1295="Fail",W1295=""),"Set Confidence",IF(AND(K1295="Unknown",W1295&lt;&gt;"Low"),"Unknown must be Low confidence",IF(AND(OR(K1295="Backend",K1295="SAP"),N1295=""),"Add HTTP status + endpoint",IF(AND(OR(K1295="Backend",K1295="SAP",K1295="Network"),P1295=""),"Add Correlation ID",IF(AND(I1295="Fail",T1295=""),"Write Root Cause / evidence gap",IF(AND(I1295="Fail",V1295=""),"Assign team","OK"))))))))</f>
        <v/>
      </c>
    </row>
    <row r="1296">
      <c r="A1296" s="5" t="n"/>
      <c r="B1296" s="5" t="n"/>
      <c r="C1296" s="5" t="n"/>
      <c r="D1296" s="5" t="n"/>
      <c r="E1296" s="5" t="n"/>
      <c r="F1296" s="5" t="n"/>
      <c r="G1296" s="5" t="n"/>
      <c r="H1296" s="5" t="n"/>
      <c r="I1296" s="5" t="n"/>
      <c r="J1296" s="5" t="n"/>
      <c r="K1296" s="5" t="n"/>
      <c r="L1296" s="5" t="n"/>
      <c r="M1296" s="5" t="n"/>
      <c r="N1296" s="5" t="n"/>
      <c r="O1296" s="5" t="n"/>
      <c r="P1296" s="5" t="n"/>
      <c r="Q1296" s="5" t="n"/>
      <c r="R1296" s="5" t="n"/>
      <c r="S1296" s="5" t="n"/>
      <c r="T1296" s="5" t="n"/>
      <c r="U1296" s="5" t="n"/>
      <c r="V1296" s="5" t="n"/>
      <c r="W1296" s="5" t="n"/>
      <c r="X1296" s="5" t="n"/>
      <c r="Y1296" s="5">
        <f>IF(I1296="","",IF(AND(I1296="Fail",K1296=""),"Classify Issue Source",IF(AND(I1296="Fail",W1296=""),"Set Confidence",IF(AND(K1296="Unknown",W1296&lt;&gt;"Low"),"Unknown must be Low confidence",IF(AND(OR(K1296="Backend",K1296="SAP"),N1296=""),"Add HTTP status + endpoint",IF(AND(OR(K1296="Backend",K1296="SAP",K1296="Network"),P1296=""),"Add Correlation ID",IF(AND(I1296="Fail",T1296=""),"Write Root Cause / evidence gap",IF(AND(I1296="Fail",V1296=""),"Assign team","OK"))))))))</f>
        <v/>
      </c>
    </row>
    <row r="1297">
      <c r="A1297" s="5" t="n"/>
      <c r="B1297" s="5" t="n"/>
      <c r="C1297" s="5" t="n"/>
      <c r="D1297" s="5" t="n"/>
      <c r="E1297" s="5" t="n"/>
      <c r="F1297" s="5" t="n"/>
      <c r="G1297" s="5" t="n"/>
      <c r="H1297" s="5" t="n"/>
      <c r="I1297" s="5" t="n"/>
      <c r="J1297" s="5" t="n"/>
      <c r="K1297" s="5" t="n"/>
      <c r="L1297" s="5" t="n"/>
      <c r="M1297" s="5" t="n"/>
      <c r="N1297" s="5" t="n"/>
      <c r="O1297" s="5" t="n"/>
      <c r="P1297" s="5" t="n"/>
      <c r="Q1297" s="5" t="n"/>
      <c r="R1297" s="5" t="n"/>
      <c r="S1297" s="5" t="n"/>
      <c r="T1297" s="5" t="n"/>
      <c r="U1297" s="5" t="n"/>
      <c r="V1297" s="5" t="n"/>
      <c r="W1297" s="5" t="n"/>
      <c r="X1297" s="5" t="n"/>
      <c r="Y1297" s="5">
        <f>IF(I1297="","",IF(AND(I1297="Fail",K1297=""),"Classify Issue Source",IF(AND(I1297="Fail",W1297=""),"Set Confidence",IF(AND(K1297="Unknown",W1297&lt;&gt;"Low"),"Unknown must be Low confidence",IF(AND(OR(K1297="Backend",K1297="SAP"),N1297=""),"Add HTTP status + endpoint",IF(AND(OR(K1297="Backend",K1297="SAP",K1297="Network"),P1297=""),"Add Correlation ID",IF(AND(I1297="Fail",T1297=""),"Write Root Cause / evidence gap",IF(AND(I1297="Fail",V1297=""),"Assign team","OK"))))))))</f>
        <v/>
      </c>
    </row>
    <row r="1298">
      <c r="A1298" s="5" t="n"/>
      <c r="B1298" s="5" t="n"/>
      <c r="C1298" s="5" t="n"/>
      <c r="D1298" s="5" t="n"/>
      <c r="E1298" s="5" t="n"/>
      <c r="F1298" s="5" t="n"/>
      <c r="G1298" s="5" t="n"/>
      <c r="H1298" s="5" t="n"/>
      <c r="I1298" s="5" t="n"/>
      <c r="J1298" s="5" t="n"/>
      <c r="K1298" s="5" t="n"/>
      <c r="L1298" s="5" t="n"/>
      <c r="M1298" s="5" t="n"/>
      <c r="N1298" s="5" t="n"/>
      <c r="O1298" s="5" t="n"/>
      <c r="P1298" s="5" t="n"/>
      <c r="Q1298" s="5" t="n"/>
      <c r="R1298" s="5" t="n"/>
      <c r="S1298" s="5" t="n"/>
      <c r="T1298" s="5" t="n"/>
      <c r="U1298" s="5" t="n"/>
      <c r="V1298" s="5" t="n"/>
      <c r="W1298" s="5" t="n"/>
      <c r="X1298" s="5" t="n"/>
      <c r="Y1298" s="5">
        <f>IF(I1298="","",IF(AND(I1298="Fail",K1298=""),"Classify Issue Source",IF(AND(I1298="Fail",W1298=""),"Set Confidence",IF(AND(K1298="Unknown",W1298&lt;&gt;"Low"),"Unknown must be Low confidence",IF(AND(OR(K1298="Backend",K1298="SAP"),N1298=""),"Add HTTP status + endpoint",IF(AND(OR(K1298="Backend",K1298="SAP",K1298="Network"),P1298=""),"Add Correlation ID",IF(AND(I1298="Fail",T1298=""),"Write Root Cause / evidence gap",IF(AND(I1298="Fail",V1298=""),"Assign team","OK"))))))))</f>
        <v/>
      </c>
    </row>
    <row r="1299">
      <c r="A1299" s="5" t="n"/>
      <c r="B1299" s="5" t="n"/>
      <c r="C1299" s="5" t="n"/>
      <c r="D1299" s="5" t="n"/>
      <c r="E1299" s="5" t="n"/>
      <c r="F1299" s="5" t="n"/>
      <c r="G1299" s="5" t="n"/>
      <c r="H1299" s="5" t="n"/>
      <c r="I1299" s="5" t="n"/>
      <c r="J1299" s="5" t="n"/>
      <c r="K1299" s="5" t="n"/>
      <c r="L1299" s="5" t="n"/>
      <c r="M1299" s="5" t="n"/>
      <c r="N1299" s="5" t="n"/>
      <c r="O1299" s="5" t="n"/>
      <c r="P1299" s="5" t="n"/>
      <c r="Q1299" s="5" t="n"/>
      <c r="R1299" s="5" t="n"/>
      <c r="S1299" s="5" t="n"/>
      <c r="T1299" s="5" t="n"/>
      <c r="U1299" s="5" t="n"/>
      <c r="V1299" s="5" t="n"/>
      <c r="W1299" s="5" t="n"/>
      <c r="X1299" s="5" t="n"/>
      <c r="Y1299" s="5">
        <f>IF(I1299="","",IF(AND(I1299="Fail",K1299=""),"Classify Issue Source",IF(AND(I1299="Fail",W1299=""),"Set Confidence",IF(AND(K1299="Unknown",W1299&lt;&gt;"Low"),"Unknown must be Low confidence",IF(AND(OR(K1299="Backend",K1299="SAP"),N1299=""),"Add HTTP status + endpoint",IF(AND(OR(K1299="Backend",K1299="SAP",K1299="Network"),P1299=""),"Add Correlation ID",IF(AND(I1299="Fail",T1299=""),"Write Root Cause / evidence gap",IF(AND(I1299="Fail",V1299=""),"Assign team","OK"))))))))</f>
        <v/>
      </c>
    </row>
    <row r="1300">
      <c r="A1300" s="5" t="n"/>
      <c r="B1300" s="5" t="n"/>
      <c r="C1300" s="5" t="n"/>
      <c r="D1300" s="5" t="n"/>
      <c r="E1300" s="5" t="n"/>
      <c r="F1300" s="5" t="n"/>
      <c r="G1300" s="5" t="n"/>
      <c r="H1300" s="5" t="n"/>
      <c r="I1300" s="5" t="n"/>
      <c r="J1300" s="5" t="n"/>
      <c r="K1300" s="5" t="n"/>
      <c r="L1300" s="5" t="n"/>
      <c r="M1300" s="5" t="n"/>
      <c r="N1300" s="5" t="n"/>
      <c r="O1300" s="5" t="n"/>
      <c r="P1300" s="5" t="n"/>
      <c r="Q1300" s="5" t="n"/>
      <c r="R1300" s="5" t="n"/>
      <c r="S1300" s="5" t="n"/>
      <c r="T1300" s="5" t="n"/>
      <c r="U1300" s="5" t="n"/>
      <c r="V1300" s="5" t="n"/>
      <c r="W1300" s="5" t="n"/>
      <c r="X1300" s="5" t="n"/>
      <c r="Y1300" s="5">
        <f>IF(I1300="","",IF(AND(I1300="Fail",K1300=""),"Classify Issue Source",IF(AND(I1300="Fail",W1300=""),"Set Confidence",IF(AND(K1300="Unknown",W1300&lt;&gt;"Low"),"Unknown must be Low confidence",IF(AND(OR(K1300="Backend",K1300="SAP"),N1300=""),"Add HTTP status + endpoint",IF(AND(OR(K1300="Backend",K1300="SAP",K1300="Network"),P1300=""),"Add Correlation ID",IF(AND(I1300="Fail",T1300=""),"Write Root Cause / evidence gap",IF(AND(I1300="Fail",V1300=""),"Assign team","OK"))))))))</f>
        <v/>
      </c>
    </row>
    <row r="1301">
      <c r="A1301" s="5" t="n"/>
      <c r="B1301" s="5" t="n"/>
      <c r="C1301" s="5" t="n"/>
      <c r="D1301" s="5" t="n"/>
      <c r="E1301" s="5" t="n"/>
      <c r="F1301" s="5" t="n"/>
      <c r="G1301" s="5" t="n"/>
      <c r="H1301" s="5" t="n"/>
      <c r="I1301" s="5" t="n"/>
      <c r="J1301" s="5" t="n"/>
      <c r="K1301" s="5" t="n"/>
      <c r="L1301" s="5" t="n"/>
      <c r="M1301" s="5" t="n"/>
      <c r="N1301" s="5" t="n"/>
      <c r="O1301" s="5" t="n"/>
      <c r="P1301" s="5" t="n"/>
      <c r="Q1301" s="5" t="n"/>
      <c r="R1301" s="5" t="n"/>
      <c r="S1301" s="5" t="n"/>
      <c r="T1301" s="5" t="n"/>
      <c r="U1301" s="5" t="n"/>
      <c r="V1301" s="5" t="n"/>
      <c r="W1301" s="5" t="n"/>
      <c r="X1301" s="5" t="n"/>
      <c r="Y1301" s="5">
        <f>IF(I1301="","",IF(AND(I1301="Fail",K1301=""),"Classify Issue Source",IF(AND(I1301="Fail",W1301=""),"Set Confidence",IF(AND(K1301="Unknown",W1301&lt;&gt;"Low"),"Unknown must be Low confidence",IF(AND(OR(K1301="Backend",K1301="SAP"),N1301=""),"Add HTTP status + endpoint",IF(AND(OR(K1301="Backend",K1301="SAP",K1301="Network"),P1301=""),"Add Correlation ID",IF(AND(I1301="Fail",T1301=""),"Write Root Cause / evidence gap",IF(AND(I1301="Fail",V1301=""),"Assign team","OK"))))))))</f>
        <v/>
      </c>
    </row>
    <row r="1302">
      <c r="A1302" s="5" t="n"/>
      <c r="B1302" s="5" t="n"/>
      <c r="C1302" s="5" t="n"/>
      <c r="D1302" s="5" t="n"/>
      <c r="E1302" s="5" t="n"/>
      <c r="F1302" s="5" t="n"/>
      <c r="G1302" s="5" t="n"/>
      <c r="H1302" s="5" t="n"/>
      <c r="I1302" s="5" t="n"/>
      <c r="J1302" s="5" t="n"/>
      <c r="K1302" s="5" t="n"/>
      <c r="L1302" s="5" t="n"/>
      <c r="M1302" s="5" t="n"/>
      <c r="N1302" s="5" t="n"/>
      <c r="O1302" s="5" t="n"/>
      <c r="P1302" s="5" t="n"/>
      <c r="Q1302" s="5" t="n"/>
      <c r="R1302" s="5" t="n"/>
      <c r="S1302" s="5" t="n"/>
      <c r="T1302" s="5" t="n"/>
      <c r="U1302" s="5" t="n"/>
      <c r="V1302" s="5" t="n"/>
      <c r="W1302" s="5" t="n"/>
      <c r="X1302" s="5" t="n"/>
      <c r="Y1302" s="5">
        <f>IF(I1302="","",IF(AND(I1302="Fail",K1302=""),"Classify Issue Source",IF(AND(I1302="Fail",W1302=""),"Set Confidence",IF(AND(K1302="Unknown",W1302&lt;&gt;"Low"),"Unknown must be Low confidence",IF(AND(OR(K1302="Backend",K1302="SAP"),N1302=""),"Add HTTP status + endpoint",IF(AND(OR(K1302="Backend",K1302="SAP",K1302="Network"),P1302=""),"Add Correlation ID",IF(AND(I1302="Fail",T1302=""),"Write Root Cause / evidence gap",IF(AND(I1302="Fail",V1302=""),"Assign team","OK"))))))))</f>
        <v/>
      </c>
    </row>
    <row r="1303">
      <c r="A1303" s="5" t="n"/>
      <c r="B1303" s="5" t="n"/>
      <c r="C1303" s="5" t="n"/>
      <c r="D1303" s="5" t="n"/>
      <c r="E1303" s="5" t="n"/>
      <c r="F1303" s="5" t="n"/>
      <c r="G1303" s="5" t="n"/>
      <c r="H1303" s="5" t="n"/>
      <c r="I1303" s="5" t="n"/>
      <c r="J1303" s="5" t="n"/>
      <c r="K1303" s="5" t="n"/>
      <c r="L1303" s="5" t="n"/>
      <c r="M1303" s="5" t="n"/>
      <c r="N1303" s="5" t="n"/>
      <c r="O1303" s="5" t="n"/>
      <c r="P1303" s="5" t="n"/>
      <c r="Q1303" s="5" t="n"/>
      <c r="R1303" s="5" t="n"/>
      <c r="S1303" s="5" t="n"/>
      <c r="T1303" s="5" t="n"/>
      <c r="U1303" s="5" t="n"/>
      <c r="V1303" s="5" t="n"/>
      <c r="W1303" s="5" t="n"/>
      <c r="X1303" s="5" t="n"/>
      <c r="Y1303" s="5">
        <f>IF(I1303="","",IF(AND(I1303="Fail",K1303=""),"Classify Issue Source",IF(AND(I1303="Fail",W1303=""),"Set Confidence",IF(AND(K1303="Unknown",W1303&lt;&gt;"Low"),"Unknown must be Low confidence",IF(AND(OR(K1303="Backend",K1303="SAP"),N1303=""),"Add HTTP status + endpoint",IF(AND(OR(K1303="Backend",K1303="SAP",K1303="Network"),P1303=""),"Add Correlation ID",IF(AND(I1303="Fail",T1303=""),"Write Root Cause / evidence gap",IF(AND(I1303="Fail",V1303=""),"Assign team","OK"))))))))</f>
        <v/>
      </c>
    </row>
    <row r="1304">
      <c r="A1304" s="5" t="n"/>
      <c r="B1304" s="5" t="n"/>
      <c r="C1304" s="5" t="n"/>
      <c r="D1304" s="5" t="n"/>
      <c r="E1304" s="5" t="n"/>
      <c r="F1304" s="5" t="n"/>
      <c r="G1304" s="5" t="n"/>
      <c r="H1304" s="5" t="n"/>
      <c r="I1304" s="5" t="n"/>
      <c r="J1304" s="5" t="n"/>
      <c r="K1304" s="5" t="n"/>
      <c r="L1304" s="5" t="n"/>
      <c r="M1304" s="5" t="n"/>
      <c r="N1304" s="5" t="n"/>
      <c r="O1304" s="5" t="n"/>
      <c r="P1304" s="5" t="n"/>
      <c r="Q1304" s="5" t="n"/>
      <c r="R1304" s="5" t="n"/>
      <c r="S1304" s="5" t="n"/>
      <c r="T1304" s="5" t="n"/>
      <c r="U1304" s="5" t="n"/>
      <c r="V1304" s="5" t="n"/>
      <c r="W1304" s="5" t="n"/>
      <c r="X1304" s="5" t="n"/>
      <c r="Y1304" s="5">
        <f>IF(I1304="","",IF(AND(I1304="Fail",K1304=""),"Classify Issue Source",IF(AND(I1304="Fail",W1304=""),"Set Confidence",IF(AND(K1304="Unknown",W1304&lt;&gt;"Low"),"Unknown must be Low confidence",IF(AND(OR(K1304="Backend",K1304="SAP"),N1304=""),"Add HTTP status + endpoint",IF(AND(OR(K1304="Backend",K1304="SAP",K1304="Network"),P1304=""),"Add Correlation ID",IF(AND(I1304="Fail",T1304=""),"Write Root Cause / evidence gap",IF(AND(I1304="Fail",V1304=""),"Assign team","OK"))))))))</f>
        <v/>
      </c>
    </row>
    <row r="1305">
      <c r="A1305" s="5" t="n"/>
      <c r="B1305" s="5" t="n"/>
      <c r="C1305" s="5" t="n"/>
      <c r="D1305" s="5" t="n"/>
      <c r="E1305" s="5" t="n"/>
      <c r="F1305" s="5" t="n"/>
      <c r="G1305" s="5" t="n"/>
      <c r="H1305" s="5" t="n"/>
      <c r="I1305" s="5" t="n"/>
      <c r="J1305" s="5" t="n"/>
      <c r="K1305" s="5" t="n"/>
      <c r="L1305" s="5" t="n"/>
      <c r="M1305" s="5" t="n"/>
      <c r="N1305" s="5" t="n"/>
      <c r="O1305" s="5" t="n"/>
      <c r="P1305" s="5" t="n"/>
      <c r="Q1305" s="5" t="n"/>
      <c r="R1305" s="5" t="n"/>
      <c r="S1305" s="5" t="n"/>
      <c r="T1305" s="5" t="n"/>
      <c r="U1305" s="5" t="n"/>
      <c r="V1305" s="5" t="n"/>
      <c r="W1305" s="5" t="n"/>
      <c r="X1305" s="5" t="n"/>
      <c r="Y1305" s="5">
        <f>IF(I1305="","",IF(AND(I1305="Fail",K1305=""),"Classify Issue Source",IF(AND(I1305="Fail",W1305=""),"Set Confidence",IF(AND(K1305="Unknown",W1305&lt;&gt;"Low"),"Unknown must be Low confidence",IF(AND(OR(K1305="Backend",K1305="SAP"),N1305=""),"Add HTTP status + endpoint",IF(AND(OR(K1305="Backend",K1305="SAP",K1305="Network"),P1305=""),"Add Correlation ID",IF(AND(I1305="Fail",T1305=""),"Write Root Cause / evidence gap",IF(AND(I1305="Fail",V1305=""),"Assign team","OK"))))))))</f>
        <v/>
      </c>
    </row>
    <row r="1306">
      <c r="A1306" s="5" t="n"/>
      <c r="B1306" s="5" t="n"/>
      <c r="C1306" s="5" t="n"/>
      <c r="D1306" s="5" t="n"/>
      <c r="E1306" s="5" t="n"/>
      <c r="F1306" s="5" t="n"/>
      <c r="G1306" s="5" t="n"/>
      <c r="H1306" s="5" t="n"/>
      <c r="I1306" s="5" t="n"/>
      <c r="J1306" s="5" t="n"/>
      <c r="K1306" s="5" t="n"/>
      <c r="L1306" s="5" t="n"/>
      <c r="M1306" s="5" t="n"/>
      <c r="N1306" s="5" t="n"/>
      <c r="O1306" s="5" t="n"/>
      <c r="P1306" s="5" t="n"/>
      <c r="Q1306" s="5" t="n"/>
      <c r="R1306" s="5" t="n"/>
      <c r="S1306" s="5" t="n"/>
      <c r="T1306" s="5" t="n"/>
      <c r="U1306" s="5" t="n"/>
      <c r="V1306" s="5" t="n"/>
      <c r="W1306" s="5" t="n"/>
      <c r="X1306" s="5" t="n"/>
      <c r="Y1306" s="5">
        <f>IF(I1306="","",IF(AND(I1306="Fail",K1306=""),"Classify Issue Source",IF(AND(I1306="Fail",W1306=""),"Set Confidence",IF(AND(K1306="Unknown",W1306&lt;&gt;"Low"),"Unknown must be Low confidence",IF(AND(OR(K1306="Backend",K1306="SAP"),N1306=""),"Add HTTP status + endpoint",IF(AND(OR(K1306="Backend",K1306="SAP",K1306="Network"),P1306=""),"Add Correlation ID",IF(AND(I1306="Fail",T1306=""),"Write Root Cause / evidence gap",IF(AND(I1306="Fail",V1306=""),"Assign team","OK"))))))))</f>
        <v/>
      </c>
    </row>
    <row r="1307">
      <c r="A1307" s="5" t="n"/>
      <c r="B1307" s="5" t="n"/>
      <c r="C1307" s="5" t="n"/>
      <c r="D1307" s="5" t="n"/>
      <c r="E1307" s="5" t="n"/>
      <c r="F1307" s="5" t="n"/>
      <c r="G1307" s="5" t="n"/>
      <c r="H1307" s="5" t="n"/>
      <c r="I1307" s="5" t="n"/>
      <c r="J1307" s="5" t="n"/>
      <c r="K1307" s="5" t="n"/>
      <c r="L1307" s="5" t="n"/>
      <c r="M1307" s="5" t="n"/>
      <c r="N1307" s="5" t="n"/>
      <c r="O1307" s="5" t="n"/>
      <c r="P1307" s="5" t="n"/>
      <c r="Q1307" s="5" t="n"/>
      <c r="R1307" s="5" t="n"/>
      <c r="S1307" s="5" t="n"/>
      <c r="T1307" s="5" t="n"/>
      <c r="U1307" s="5" t="n"/>
      <c r="V1307" s="5" t="n"/>
      <c r="W1307" s="5" t="n"/>
      <c r="X1307" s="5" t="n"/>
      <c r="Y1307" s="5">
        <f>IF(I1307="","",IF(AND(I1307="Fail",K1307=""),"Classify Issue Source",IF(AND(I1307="Fail",W1307=""),"Set Confidence",IF(AND(K1307="Unknown",W1307&lt;&gt;"Low"),"Unknown must be Low confidence",IF(AND(OR(K1307="Backend",K1307="SAP"),N1307=""),"Add HTTP status + endpoint",IF(AND(OR(K1307="Backend",K1307="SAP",K1307="Network"),P1307=""),"Add Correlation ID",IF(AND(I1307="Fail",T1307=""),"Write Root Cause / evidence gap",IF(AND(I1307="Fail",V1307=""),"Assign team","OK"))))))))</f>
        <v/>
      </c>
    </row>
    <row r="1308">
      <c r="A1308" s="5" t="n"/>
      <c r="B1308" s="5" t="n"/>
      <c r="C1308" s="5" t="n"/>
      <c r="D1308" s="5" t="n"/>
      <c r="E1308" s="5" t="n"/>
      <c r="F1308" s="5" t="n"/>
      <c r="G1308" s="5" t="n"/>
      <c r="H1308" s="5" t="n"/>
      <c r="I1308" s="5" t="n"/>
      <c r="J1308" s="5" t="n"/>
      <c r="K1308" s="5" t="n"/>
      <c r="L1308" s="5" t="n"/>
      <c r="M1308" s="5" t="n"/>
      <c r="N1308" s="5" t="n"/>
      <c r="O1308" s="5" t="n"/>
      <c r="P1308" s="5" t="n"/>
      <c r="Q1308" s="5" t="n"/>
      <c r="R1308" s="5" t="n"/>
      <c r="S1308" s="5" t="n"/>
      <c r="T1308" s="5" t="n"/>
      <c r="U1308" s="5" t="n"/>
      <c r="V1308" s="5" t="n"/>
      <c r="W1308" s="5" t="n"/>
      <c r="X1308" s="5" t="n"/>
      <c r="Y1308" s="5">
        <f>IF(I1308="","",IF(AND(I1308="Fail",K1308=""),"Classify Issue Source",IF(AND(I1308="Fail",W1308=""),"Set Confidence",IF(AND(K1308="Unknown",W1308&lt;&gt;"Low"),"Unknown must be Low confidence",IF(AND(OR(K1308="Backend",K1308="SAP"),N1308=""),"Add HTTP status + endpoint",IF(AND(OR(K1308="Backend",K1308="SAP",K1308="Network"),P1308=""),"Add Correlation ID",IF(AND(I1308="Fail",T1308=""),"Write Root Cause / evidence gap",IF(AND(I1308="Fail",V1308=""),"Assign team","OK"))))))))</f>
        <v/>
      </c>
    </row>
    <row r="1309">
      <c r="A1309" s="5" t="n"/>
      <c r="B1309" s="5" t="n"/>
      <c r="C1309" s="5" t="n"/>
      <c r="D1309" s="5" t="n"/>
      <c r="E1309" s="5" t="n"/>
      <c r="F1309" s="5" t="n"/>
      <c r="G1309" s="5" t="n"/>
      <c r="H1309" s="5" t="n"/>
      <c r="I1309" s="5" t="n"/>
      <c r="J1309" s="5" t="n"/>
      <c r="K1309" s="5" t="n"/>
      <c r="L1309" s="5" t="n"/>
      <c r="M1309" s="5" t="n"/>
      <c r="N1309" s="5" t="n"/>
      <c r="O1309" s="5" t="n"/>
      <c r="P1309" s="5" t="n"/>
      <c r="Q1309" s="5" t="n"/>
      <c r="R1309" s="5" t="n"/>
      <c r="S1309" s="5" t="n"/>
      <c r="T1309" s="5" t="n"/>
      <c r="U1309" s="5" t="n"/>
      <c r="V1309" s="5" t="n"/>
      <c r="W1309" s="5" t="n"/>
      <c r="X1309" s="5" t="n"/>
      <c r="Y1309" s="5">
        <f>IF(I1309="","",IF(AND(I1309="Fail",K1309=""),"Classify Issue Source",IF(AND(I1309="Fail",W1309=""),"Set Confidence",IF(AND(K1309="Unknown",W1309&lt;&gt;"Low"),"Unknown must be Low confidence",IF(AND(OR(K1309="Backend",K1309="SAP"),N1309=""),"Add HTTP status + endpoint",IF(AND(OR(K1309="Backend",K1309="SAP",K1309="Network"),P1309=""),"Add Correlation ID",IF(AND(I1309="Fail",T1309=""),"Write Root Cause / evidence gap",IF(AND(I1309="Fail",V1309=""),"Assign team","OK"))))))))</f>
        <v/>
      </c>
    </row>
    <row r="1310">
      <c r="A1310" s="5" t="n"/>
      <c r="B1310" s="5" t="n"/>
      <c r="C1310" s="5" t="n"/>
      <c r="D1310" s="5" t="n"/>
      <c r="E1310" s="5" t="n"/>
      <c r="F1310" s="5" t="n"/>
      <c r="G1310" s="5" t="n"/>
      <c r="H1310" s="5" t="n"/>
      <c r="I1310" s="5" t="n"/>
      <c r="J1310" s="5" t="n"/>
      <c r="K1310" s="5" t="n"/>
      <c r="L1310" s="5" t="n"/>
      <c r="M1310" s="5" t="n"/>
      <c r="N1310" s="5" t="n"/>
      <c r="O1310" s="5" t="n"/>
      <c r="P1310" s="5" t="n"/>
      <c r="Q1310" s="5" t="n"/>
      <c r="R1310" s="5" t="n"/>
      <c r="S1310" s="5" t="n"/>
      <c r="T1310" s="5" t="n"/>
      <c r="U1310" s="5" t="n"/>
      <c r="V1310" s="5" t="n"/>
      <c r="W1310" s="5" t="n"/>
      <c r="X1310" s="5" t="n"/>
      <c r="Y1310" s="5">
        <f>IF(I1310="","",IF(AND(I1310="Fail",K1310=""),"Classify Issue Source",IF(AND(I1310="Fail",W1310=""),"Set Confidence",IF(AND(K1310="Unknown",W1310&lt;&gt;"Low"),"Unknown must be Low confidence",IF(AND(OR(K1310="Backend",K1310="SAP"),N1310=""),"Add HTTP status + endpoint",IF(AND(OR(K1310="Backend",K1310="SAP",K1310="Network"),P1310=""),"Add Correlation ID",IF(AND(I1310="Fail",T1310=""),"Write Root Cause / evidence gap",IF(AND(I1310="Fail",V1310=""),"Assign team","OK"))))))))</f>
        <v/>
      </c>
    </row>
    <row r="1311">
      <c r="A1311" s="5" t="n"/>
      <c r="B1311" s="5" t="n"/>
      <c r="C1311" s="5" t="n"/>
      <c r="D1311" s="5" t="n"/>
      <c r="E1311" s="5" t="n"/>
      <c r="F1311" s="5" t="n"/>
      <c r="G1311" s="5" t="n"/>
      <c r="H1311" s="5" t="n"/>
      <c r="I1311" s="5" t="n"/>
      <c r="J1311" s="5" t="n"/>
      <c r="K1311" s="5" t="n"/>
      <c r="L1311" s="5" t="n"/>
      <c r="M1311" s="5" t="n"/>
      <c r="N1311" s="5" t="n"/>
      <c r="O1311" s="5" t="n"/>
      <c r="P1311" s="5" t="n"/>
      <c r="Q1311" s="5" t="n"/>
      <c r="R1311" s="5" t="n"/>
      <c r="S1311" s="5" t="n"/>
      <c r="T1311" s="5" t="n"/>
      <c r="U1311" s="5" t="n"/>
      <c r="V1311" s="5" t="n"/>
      <c r="W1311" s="5" t="n"/>
      <c r="X1311" s="5" t="n"/>
      <c r="Y1311" s="5">
        <f>IF(I1311="","",IF(AND(I1311="Fail",K1311=""),"Classify Issue Source",IF(AND(I1311="Fail",W1311=""),"Set Confidence",IF(AND(K1311="Unknown",W1311&lt;&gt;"Low"),"Unknown must be Low confidence",IF(AND(OR(K1311="Backend",K1311="SAP"),N1311=""),"Add HTTP status + endpoint",IF(AND(OR(K1311="Backend",K1311="SAP",K1311="Network"),P1311=""),"Add Correlation ID",IF(AND(I1311="Fail",T1311=""),"Write Root Cause / evidence gap",IF(AND(I1311="Fail",V1311=""),"Assign team","OK"))))))))</f>
        <v/>
      </c>
    </row>
    <row r="1312">
      <c r="A1312" s="5" t="n"/>
      <c r="B1312" s="5" t="n"/>
      <c r="C1312" s="5" t="n"/>
      <c r="D1312" s="5" t="n"/>
      <c r="E1312" s="5" t="n"/>
      <c r="F1312" s="5" t="n"/>
      <c r="G1312" s="5" t="n"/>
      <c r="H1312" s="5" t="n"/>
      <c r="I1312" s="5" t="n"/>
      <c r="J1312" s="5" t="n"/>
      <c r="K1312" s="5" t="n"/>
      <c r="L1312" s="5" t="n"/>
      <c r="M1312" s="5" t="n"/>
      <c r="N1312" s="5" t="n"/>
      <c r="O1312" s="5" t="n"/>
      <c r="P1312" s="5" t="n"/>
      <c r="Q1312" s="5" t="n"/>
      <c r="R1312" s="5" t="n"/>
      <c r="S1312" s="5" t="n"/>
      <c r="T1312" s="5" t="n"/>
      <c r="U1312" s="5" t="n"/>
      <c r="V1312" s="5" t="n"/>
      <c r="W1312" s="5" t="n"/>
      <c r="X1312" s="5" t="n"/>
      <c r="Y1312" s="5">
        <f>IF(I1312="","",IF(AND(I1312="Fail",K1312=""),"Classify Issue Source",IF(AND(I1312="Fail",W1312=""),"Set Confidence",IF(AND(K1312="Unknown",W1312&lt;&gt;"Low"),"Unknown must be Low confidence",IF(AND(OR(K1312="Backend",K1312="SAP"),N1312=""),"Add HTTP status + endpoint",IF(AND(OR(K1312="Backend",K1312="SAP",K1312="Network"),P1312=""),"Add Correlation ID",IF(AND(I1312="Fail",T1312=""),"Write Root Cause / evidence gap",IF(AND(I1312="Fail",V1312=""),"Assign team","OK"))))))))</f>
        <v/>
      </c>
    </row>
    <row r="1313">
      <c r="A1313" s="5" t="n"/>
      <c r="B1313" s="5" t="n"/>
      <c r="C1313" s="5" t="n"/>
      <c r="D1313" s="5" t="n"/>
      <c r="E1313" s="5" t="n"/>
      <c r="F1313" s="5" t="n"/>
      <c r="G1313" s="5" t="n"/>
      <c r="H1313" s="5" t="n"/>
      <c r="I1313" s="5" t="n"/>
      <c r="J1313" s="5" t="n"/>
      <c r="K1313" s="5" t="n"/>
      <c r="L1313" s="5" t="n"/>
      <c r="M1313" s="5" t="n"/>
      <c r="N1313" s="5" t="n"/>
      <c r="O1313" s="5" t="n"/>
      <c r="P1313" s="5" t="n"/>
      <c r="Q1313" s="5" t="n"/>
      <c r="R1313" s="5" t="n"/>
      <c r="S1313" s="5" t="n"/>
      <c r="T1313" s="5" t="n"/>
      <c r="U1313" s="5" t="n"/>
      <c r="V1313" s="5" t="n"/>
      <c r="W1313" s="5" t="n"/>
      <c r="X1313" s="5" t="n"/>
      <c r="Y1313" s="5">
        <f>IF(I1313="","",IF(AND(I1313="Fail",K1313=""),"Classify Issue Source",IF(AND(I1313="Fail",W1313=""),"Set Confidence",IF(AND(K1313="Unknown",W1313&lt;&gt;"Low"),"Unknown must be Low confidence",IF(AND(OR(K1313="Backend",K1313="SAP"),N1313=""),"Add HTTP status + endpoint",IF(AND(OR(K1313="Backend",K1313="SAP",K1313="Network"),P1313=""),"Add Correlation ID",IF(AND(I1313="Fail",T1313=""),"Write Root Cause / evidence gap",IF(AND(I1313="Fail",V1313=""),"Assign team","OK"))))))))</f>
        <v/>
      </c>
    </row>
    <row r="1314">
      <c r="A1314" s="5" t="n"/>
      <c r="B1314" s="5" t="n"/>
      <c r="C1314" s="5" t="n"/>
      <c r="D1314" s="5" t="n"/>
      <c r="E1314" s="5" t="n"/>
      <c r="F1314" s="5" t="n"/>
      <c r="G1314" s="5" t="n"/>
      <c r="H1314" s="5" t="n"/>
      <c r="I1314" s="5" t="n"/>
      <c r="J1314" s="5" t="n"/>
      <c r="K1314" s="5" t="n"/>
      <c r="L1314" s="5" t="n"/>
      <c r="M1314" s="5" t="n"/>
      <c r="N1314" s="5" t="n"/>
      <c r="O1314" s="5" t="n"/>
      <c r="P1314" s="5" t="n"/>
      <c r="Q1314" s="5" t="n"/>
      <c r="R1314" s="5" t="n"/>
      <c r="S1314" s="5" t="n"/>
      <c r="T1314" s="5" t="n"/>
      <c r="U1314" s="5" t="n"/>
      <c r="V1314" s="5" t="n"/>
      <c r="W1314" s="5" t="n"/>
      <c r="X1314" s="5" t="n"/>
      <c r="Y1314" s="5">
        <f>IF(I1314="","",IF(AND(I1314="Fail",K1314=""),"Classify Issue Source",IF(AND(I1314="Fail",W1314=""),"Set Confidence",IF(AND(K1314="Unknown",W1314&lt;&gt;"Low"),"Unknown must be Low confidence",IF(AND(OR(K1314="Backend",K1314="SAP"),N1314=""),"Add HTTP status + endpoint",IF(AND(OR(K1314="Backend",K1314="SAP",K1314="Network"),P1314=""),"Add Correlation ID",IF(AND(I1314="Fail",T1314=""),"Write Root Cause / evidence gap",IF(AND(I1314="Fail",V1314=""),"Assign team","OK"))))))))</f>
        <v/>
      </c>
    </row>
    <row r="1315">
      <c r="A1315" s="5" t="n"/>
      <c r="B1315" s="5" t="n"/>
      <c r="C1315" s="5" t="n"/>
      <c r="D1315" s="5" t="n"/>
      <c r="E1315" s="5" t="n"/>
      <c r="F1315" s="5" t="n"/>
      <c r="G1315" s="5" t="n"/>
      <c r="H1315" s="5" t="n"/>
      <c r="I1315" s="5" t="n"/>
      <c r="J1315" s="5" t="n"/>
      <c r="K1315" s="5" t="n"/>
      <c r="L1315" s="5" t="n"/>
      <c r="M1315" s="5" t="n"/>
      <c r="N1315" s="5" t="n"/>
      <c r="O1315" s="5" t="n"/>
      <c r="P1315" s="5" t="n"/>
      <c r="Q1315" s="5" t="n"/>
      <c r="R1315" s="5" t="n"/>
      <c r="S1315" s="5" t="n"/>
      <c r="T1315" s="5" t="n"/>
      <c r="U1315" s="5" t="n"/>
      <c r="V1315" s="5" t="n"/>
      <c r="W1315" s="5" t="n"/>
      <c r="X1315" s="5" t="n"/>
      <c r="Y1315" s="5">
        <f>IF(I1315="","",IF(AND(I1315="Fail",K1315=""),"Classify Issue Source",IF(AND(I1315="Fail",W1315=""),"Set Confidence",IF(AND(K1315="Unknown",W1315&lt;&gt;"Low"),"Unknown must be Low confidence",IF(AND(OR(K1315="Backend",K1315="SAP"),N1315=""),"Add HTTP status + endpoint",IF(AND(OR(K1315="Backend",K1315="SAP",K1315="Network"),P1315=""),"Add Correlation ID",IF(AND(I1315="Fail",T1315=""),"Write Root Cause / evidence gap",IF(AND(I1315="Fail",V1315=""),"Assign team","OK"))))))))</f>
        <v/>
      </c>
    </row>
    <row r="1316">
      <c r="A1316" s="5" t="n"/>
      <c r="B1316" s="5" t="n"/>
      <c r="C1316" s="5" t="n"/>
      <c r="D1316" s="5" t="n"/>
      <c r="E1316" s="5" t="n"/>
      <c r="F1316" s="5" t="n"/>
      <c r="G1316" s="5" t="n"/>
      <c r="H1316" s="5" t="n"/>
      <c r="I1316" s="5" t="n"/>
      <c r="J1316" s="5" t="n"/>
      <c r="K1316" s="5" t="n"/>
      <c r="L1316" s="5" t="n"/>
      <c r="M1316" s="5" t="n"/>
      <c r="N1316" s="5" t="n"/>
      <c r="O1316" s="5" t="n"/>
      <c r="P1316" s="5" t="n"/>
      <c r="Q1316" s="5" t="n"/>
      <c r="R1316" s="5" t="n"/>
      <c r="S1316" s="5" t="n"/>
      <c r="T1316" s="5" t="n"/>
      <c r="U1316" s="5" t="n"/>
      <c r="V1316" s="5" t="n"/>
      <c r="W1316" s="5" t="n"/>
      <c r="X1316" s="5" t="n"/>
      <c r="Y1316" s="5">
        <f>IF(I1316="","",IF(AND(I1316="Fail",K1316=""),"Classify Issue Source",IF(AND(I1316="Fail",W1316=""),"Set Confidence",IF(AND(K1316="Unknown",W1316&lt;&gt;"Low"),"Unknown must be Low confidence",IF(AND(OR(K1316="Backend",K1316="SAP"),N1316=""),"Add HTTP status + endpoint",IF(AND(OR(K1316="Backend",K1316="SAP",K1316="Network"),P1316=""),"Add Correlation ID",IF(AND(I1316="Fail",T1316=""),"Write Root Cause / evidence gap",IF(AND(I1316="Fail",V1316=""),"Assign team","OK"))))))))</f>
        <v/>
      </c>
    </row>
    <row r="1317">
      <c r="A1317" s="5" t="n"/>
      <c r="B1317" s="5" t="n"/>
      <c r="C1317" s="5" t="n"/>
      <c r="D1317" s="5" t="n"/>
      <c r="E1317" s="5" t="n"/>
      <c r="F1317" s="5" t="n"/>
      <c r="G1317" s="5" t="n"/>
      <c r="H1317" s="5" t="n"/>
      <c r="I1317" s="5" t="n"/>
      <c r="J1317" s="5" t="n"/>
      <c r="K1317" s="5" t="n"/>
      <c r="L1317" s="5" t="n"/>
      <c r="M1317" s="5" t="n"/>
      <c r="N1317" s="5" t="n"/>
      <c r="O1317" s="5" t="n"/>
      <c r="P1317" s="5" t="n"/>
      <c r="Q1317" s="5" t="n"/>
      <c r="R1317" s="5" t="n"/>
      <c r="S1317" s="5" t="n"/>
      <c r="T1317" s="5" t="n"/>
      <c r="U1317" s="5" t="n"/>
      <c r="V1317" s="5" t="n"/>
      <c r="W1317" s="5" t="n"/>
      <c r="X1317" s="5" t="n"/>
      <c r="Y1317" s="5">
        <f>IF(I1317="","",IF(AND(I1317="Fail",K1317=""),"Classify Issue Source",IF(AND(I1317="Fail",W1317=""),"Set Confidence",IF(AND(K1317="Unknown",W1317&lt;&gt;"Low"),"Unknown must be Low confidence",IF(AND(OR(K1317="Backend",K1317="SAP"),N1317=""),"Add HTTP status + endpoint",IF(AND(OR(K1317="Backend",K1317="SAP",K1317="Network"),P1317=""),"Add Correlation ID",IF(AND(I1317="Fail",T1317=""),"Write Root Cause / evidence gap",IF(AND(I1317="Fail",V1317=""),"Assign team","OK"))))))))</f>
        <v/>
      </c>
    </row>
    <row r="1318">
      <c r="A1318" s="5" t="n"/>
      <c r="B1318" s="5" t="n"/>
      <c r="C1318" s="5" t="n"/>
      <c r="D1318" s="5" t="n"/>
      <c r="E1318" s="5" t="n"/>
      <c r="F1318" s="5" t="n"/>
      <c r="G1318" s="5" t="n"/>
      <c r="H1318" s="5" t="n"/>
      <c r="I1318" s="5" t="n"/>
      <c r="J1318" s="5" t="n"/>
      <c r="K1318" s="5" t="n"/>
      <c r="L1318" s="5" t="n"/>
      <c r="M1318" s="5" t="n"/>
      <c r="N1318" s="5" t="n"/>
      <c r="O1318" s="5" t="n"/>
      <c r="P1318" s="5" t="n"/>
      <c r="Q1318" s="5" t="n"/>
      <c r="R1318" s="5" t="n"/>
      <c r="S1318" s="5" t="n"/>
      <c r="T1318" s="5" t="n"/>
      <c r="U1318" s="5" t="n"/>
      <c r="V1318" s="5" t="n"/>
      <c r="W1318" s="5" t="n"/>
      <c r="X1318" s="5" t="n"/>
      <c r="Y1318" s="5">
        <f>IF(I1318="","",IF(AND(I1318="Fail",K1318=""),"Classify Issue Source",IF(AND(I1318="Fail",W1318=""),"Set Confidence",IF(AND(K1318="Unknown",W1318&lt;&gt;"Low"),"Unknown must be Low confidence",IF(AND(OR(K1318="Backend",K1318="SAP"),N1318=""),"Add HTTP status + endpoint",IF(AND(OR(K1318="Backend",K1318="SAP",K1318="Network"),P1318=""),"Add Correlation ID",IF(AND(I1318="Fail",T1318=""),"Write Root Cause / evidence gap",IF(AND(I1318="Fail",V1318=""),"Assign team","OK"))))))))</f>
        <v/>
      </c>
    </row>
    <row r="1319">
      <c r="A1319" s="5" t="n"/>
      <c r="B1319" s="5" t="n"/>
      <c r="C1319" s="5" t="n"/>
      <c r="D1319" s="5" t="n"/>
      <c r="E1319" s="5" t="n"/>
      <c r="F1319" s="5" t="n"/>
      <c r="G1319" s="5" t="n"/>
      <c r="H1319" s="5" t="n"/>
      <c r="I1319" s="5" t="n"/>
      <c r="J1319" s="5" t="n"/>
      <c r="K1319" s="5" t="n"/>
      <c r="L1319" s="5" t="n"/>
      <c r="M1319" s="5" t="n"/>
      <c r="N1319" s="5" t="n"/>
      <c r="O1319" s="5" t="n"/>
      <c r="P1319" s="5" t="n"/>
      <c r="Q1319" s="5" t="n"/>
      <c r="R1319" s="5" t="n"/>
      <c r="S1319" s="5" t="n"/>
      <c r="T1319" s="5" t="n"/>
      <c r="U1319" s="5" t="n"/>
      <c r="V1319" s="5" t="n"/>
      <c r="W1319" s="5" t="n"/>
      <c r="X1319" s="5" t="n"/>
      <c r="Y1319" s="5">
        <f>IF(I1319="","",IF(AND(I1319="Fail",K1319=""),"Classify Issue Source",IF(AND(I1319="Fail",W1319=""),"Set Confidence",IF(AND(K1319="Unknown",W1319&lt;&gt;"Low"),"Unknown must be Low confidence",IF(AND(OR(K1319="Backend",K1319="SAP"),N1319=""),"Add HTTP status + endpoint",IF(AND(OR(K1319="Backend",K1319="SAP",K1319="Network"),P1319=""),"Add Correlation ID",IF(AND(I1319="Fail",T1319=""),"Write Root Cause / evidence gap",IF(AND(I1319="Fail",V1319=""),"Assign team","OK"))))))))</f>
        <v/>
      </c>
    </row>
    <row r="1320">
      <c r="A1320" s="5" t="n"/>
      <c r="B1320" s="5" t="n"/>
      <c r="C1320" s="5" t="n"/>
      <c r="D1320" s="5" t="n"/>
      <c r="E1320" s="5" t="n"/>
      <c r="F1320" s="5" t="n"/>
      <c r="G1320" s="5" t="n"/>
      <c r="H1320" s="5" t="n"/>
      <c r="I1320" s="5" t="n"/>
      <c r="J1320" s="5" t="n"/>
      <c r="K1320" s="5" t="n"/>
      <c r="L1320" s="5" t="n"/>
      <c r="M1320" s="5" t="n"/>
      <c r="N1320" s="5" t="n"/>
      <c r="O1320" s="5" t="n"/>
      <c r="P1320" s="5" t="n"/>
      <c r="Q1320" s="5" t="n"/>
      <c r="R1320" s="5" t="n"/>
      <c r="S1320" s="5" t="n"/>
      <c r="T1320" s="5" t="n"/>
      <c r="U1320" s="5" t="n"/>
      <c r="V1320" s="5" t="n"/>
      <c r="W1320" s="5" t="n"/>
      <c r="X1320" s="5" t="n"/>
      <c r="Y1320" s="5">
        <f>IF(I1320="","",IF(AND(I1320="Fail",K1320=""),"Classify Issue Source",IF(AND(I1320="Fail",W1320=""),"Set Confidence",IF(AND(K1320="Unknown",W1320&lt;&gt;"Low"),"Unknown must be Low confidence",IF(AND(OR(K1320="Backend",K1320="SAP"),N1320=""),"Add HTTP status + endpoint",IF(AND(OR(K1320="Backend",K1320="SAP",K1320="Network"),P1320=""),"Add Correlation ID",IF(AND(I1320="Fail",T1320=""),"Write Root Cause / evidence gap",IF(AND(I1320="Fail",V1320=""),"Assign team","OK"))))))))</f>
        <v/>
      </c>
    </row>
    <row r="1321">
      <c r="A1321" s="5" t="n"/>
      <c r="B1321" s="5" t="n"/>
      <c r="C1321" s="5" t="n"/>
      <c r="D1321" s="5" t="n"/>
      <c r="E1321" s="5" t="n"/>
      <c r="F1321" s="5" t="n"/>
      <c r="G1321" s="5" t="n"/>
      <c r="H1321" s="5" t="n"/>
      <c r="I1321" s="5" t="n"/>
      <c r="J1321" s="5" t="n"/>
      <c r="K1321" s="5" t="n"/>
      <c r="L1321" s="5" t="n"/>
      <c r="M1321" s="5" t="n"/>
      <c r="N1321" s="5" t="n"/>
      <c r="O1321" s="5" t="n"/>
      <c r="P1321" s="5" t="n"/>
      <c r="Q1321" s="5" t="n"/>
      <c r="R1321" s="5" t="n"/>
      <c r="S1321" s="5" t="n"/>
      <c r="T1321" s="5" t="n"/>
      <c r="U1321" s="5" t="n"/>
      <c r="V1321" s="5" t="n"/>
      <c r="W1321" s="5" t="n"/>
      <c r="X1321" s="5" t="n"/>
      <c r="Y1321" s="5">
        <f>IF(I1321="","",IF(AND(I1321="Fail",K1321=""),"Classify Issue Source",IF(AND(I1321="Fail",W1321=""),"Set Confidence",IF(AND(K1321="Unknown",W1321&lt;&gt;"Low"),"Unknown must be Low confidence",IF(AND(OR(K1321="Backend",K1321="SAP"),N1321=""),"Add HTTP status + endpoint",IF(AND(OR(K1321="Backend",K1321="SAP",K1321="Network"),P1321=""),"Add Correlation ID",IF(AND(I1321="Fail",T1321=""),"Write Root Cause / evidence gap",IF(AND(I1321="Fail",V1321=""),"Assign team","OK"))))))))</f>
        <v/>
      </c>
    </row>
    <row r="1322">
      <c r="A1322" s="5" t="n"/>
      <c r="B1322" s="5" t="n"/>
      <c r="C1322" s="5" t="n"/>
      <c r="D1322" s="5" t="n"/>
      <c r="E1322" s="5" t="n"/>
      <c r="F1322" s="5" t="n"/>
      <c r="G1322" s="5" t="n"/>
      <c r="H1322" s="5" t="n"/>
      <c r="I1322" s="5" t="n"/>
      <c r="J1322" s="5" t="n"/>
      <c r="K1322" s="5" t="n"/>
      <c r="L1322" s="5" t="n"/>
      <c r="M1322" s="5" t="n"/>
      <c r="N1322" s="5" t="n"/>
      <c r="O1322" s="5" t="n"/>
      <c r="P1322" s="5" t="n"/>
      <c r="Q1322" s="5" t="n"/>
      <c r="R1322" s="5" t="n"/>
      <c r="S1322" s="5" t="n"/>
      <c r="T1322" s="5" t="n"/>
      <c r="U1322" s="5" t="n"/>
      <c r="V1322" s="5" t="n"/>
      <c r="W1322" s="5" t="n"/>
      <c r="X1322" s="5" t="n"/>
      <c r="Y1322" s="5">
        <f>IF(I1322="","",IF(AND(I1322="Fail",K1322=""),"Classify Issue Source",IF(AND(I1322="Fail",W1322=""),"Set Confidence",IF(AND(K1322="Unknown",W1322&lt;&gt;"Low"),"Unknown must be Low confidence",IF(AND(OR(K1322="Backend",K1322="SAP"),N1322=""),"Add HTTP status + endpoint",IF(AND(OR(K1322="Backend",K1322="SAP",K1322="Network"),P1322=""),"Add Correlation ID",IF(AND(I1322="Fail",T1322=""),"Write Root Cause / evidence gap",IF(AND(I1322="Fail",V1322=""),"Assign team","OK"))))))))</f>
        <v/>
      </c>
    </row>
    <row r="1323">
      <c r="A1323" s="5" t="n"/>
      <c r="B1323" s="5" t="n"/>
      <c r="C1323" s="5" t="n"/>
      <c r="D1323" s="5" t="n"/>
      <c r="E1323" s="5" t="n"/>
      <c r="F1323" s="5" t="n"/>
      <c r="G1323" s="5" t="n"/>
      <c r="H1323" s="5" t="n"/>
      <c r="I1323" s="5" t="n"/>
      <c r="J1323" s="5" t="n"/>
      <c r="K1323" s="5" t="n"/>
      <c r="L1323" s="5" t="n"/>
      <c r="M1323" s="5" t="n"/>
      <c r="N1323" s="5" t="n"/>
      <c r="O1323" s="5" t="n"/>
      <c r="P1323" s="5" t="n"/>
      <c r="Q1323" s="5" t="n"/>
      <c r="R1323" s="5" t="n"/>
      <c r="S1323" s="5" t="n"/>
      <c r="T1323" s="5" t="n"/>
      <c r="U1323" s="5" t="n"/>
      <c r="V1323" s="5" t="n"/>
      <c r="W1323" s="5" t="n"/>
      <c r="X1323" s="5" t="n"/>
      <c r="Y1323" s="5">
        <f>IF(I1323="","",IF(AND(I1323="Fail",K1323=""),"Classify Issue Source",IF(AND(I1323="Fail",W1323=""),"Set Confidence",IF(AND(K1323="Unknown",W1323&lt;&gt;"Low"),"Unknown must be Low confidence",IF(AND(OR(K1323="Backend",K1323="SAP"),N1323=""),"Add HTTP status + endpoint",IF(AND(OR(K1323="Backend",K1323="SAP",K1323="Network"),P1323=""),"Add Correlation ID",IF(AND(I1323="Fail",T1323=""),"Write Root Cause / evidence gap",IF(AND(I1323="Fail",V1323=""),"Assign team","OK"))))))))</f>
        <v/>
      </c>
    </row>
    <row r="1324">
      <c r="A1324" s="5" t="n"/>
      <c r="B1324" s="5" t="n"/>
      <c r="C1324" s="5" t="n"/>
      <c r="D1324" s="5" t="n"/>
      <c r="E1324" s="5" t="n"/>
      <c r="F1324" s="5" t="n"/>
      <c r="G1324" s="5" t="n"/>
      <c r="H1324" s="5" t="n"/>
      <c r="I1324" s="5" t="n"/>
      <c r="J1324" s="5" t="n"/>
      <c r="K1324" s="5" t="n"/>
      <c r="L1324" s="5" t="n"/>
      <c r="M1324" s="5" t="n"/>
      <c r="N1324" s="5" t="n"/>
      <c r="O1324" s="5" t="n"/>
      <c r="P1324" s="5" t="n"/>
      <c r="Q1324" s="5" t="n"/>
      <c r="R1324" s="5" t="n"/>
      <c r="S1324" s="5" t="n"/>
      <c r="T1324" s="5" t="n"/>
      <c r="U1324" s="5" t="n"/>
      <c r="V1324" s="5" t="n"/>
      <c r="W1324" s="5" t="n"/>
      <c r="X1324" s="5" t="n"/>
      <c r="Y1324" s="5">
        <f>IF(I1324="","",IF(AND(I1324="Fail",K1324=""),"Classify Issue Source",IF(AND(I1324="Fail",W1324=""),"Set Confidence",IF(AND(K1324="Unknown",W1324&lt;&gt;"Low"),"Unknown must be Low confidence",IF(AND(OR(K1324="Backend",K1324="SAP"),N1324=""),"Add HTTP status + endpoint",IF(AND(OR(K1324="Backend",K1324="SAP",K1324="Network"),P1324=""),"Add Correlation ID",IF(AND(I1324="Fail",T1324=""),"Write Root Cause / evidence gap",IF(AND(I1324="Fail",V1324=""),"Assign team","OK"))))))))</f>
        <v/>
      </c>
    </row>
    <row r="1325">
      <c r="A1325" s="5" t="n"/>
      <c r="B1325" s="5" t="n"/>
      <c r="C1325" s="5" t="n"/>
      <c r="D1325" s="5" t="n"/>
      <c r="E1325" s="5" t="n"/>
      <c r="F1325" s="5" t="n"/>
      <c r="G1325" s="5" t="n"/>
      <c r="H1325" s="5" t="n"/>
      <c r="I1325" s="5" t="n"/>
      <c r="J1325" s="5" t="n"/>
      <c r="K1325" s="5" t="n"/>
      <c r="L1325" s="5" t="n"/>
      <c r="M1325" s="5" t="n"/>
      <c r="N1325" s="5" t="n"/>
      <c r="O1325" s="5" t="n"/>
      <c r="P1325" s="5" t="n"/>
      <c r="Q1325" s="5" t="n"/>
      <c r="R1325" s="5" t="n"/>
      <c r="S1325" s="5" t="n"/>
      <c r="T1325" s="5" t="n"/>
      <c r="U1325" s="5" t="n"/>
      <c r="V1325" s="5" t="n"/>
      <c r="W1325" s="5" t="n"/>
      <c r="X1325" s="5" t="n"/>
      <c r="Y1325" s="5">
        <f>IF(I1325="","",IF(AND(I1325="Fail",K1325=""),"Classify Issue Source",IF(AND(I1325="Fail",W1325=""),"Set Confidence",IF(AND(K1325="Unknown",W1325&lt;&gt;"Low"),"Unknown must be Low confidence",IF(AND(OR(K1325="Backend",K1325="SAP"),N1325=""),"Add HTTP status + endpoint",IF(AND(OR(K1325="Backend",K1325="SAP",K1325="Network"),P1325=""),"Add Correlation ID",IF(AND(I1325="Fail",T1325=""),"Write Root Cause / evidence gap",IF(AND(I1325="Fail",V1325=""),"Assign team","OK"))))))))</f>
        <v/>
      </c>
    </row>
    <row r="1326">
      <c r="A1326" s="5" t="n"/>
      <c r="B1326" s="5" t="n"/>
      <c r="C1326" s="5" t="n"/>
      <c r="D1326" s="5" t="n"/>
      <c r="E1326" s="5" t="n"/>
      <c r="F1326" s="5" t="n"/>
      <c r="G1326" s="5" t="n"/>
      <c r="H1326" s="5" t="n"/>
      <c r="I1326" s="5" t="n"/>
      <c r="J1326" s="5" t="n"/>
      <c r="K1326" s="5" t="n"/>
      <c r="L1326" s="5" t="n"/>
      <c r="M1326" s="5" t="n"/>
      <c r="N1326" s="5" t="n"/>
      <c r="O1326" s="5" t="n"/>
      <c r="P1326" s="5" t="n"/>
      <c r="Q1326" s="5" t="n"/>
      <c r="R1326" s="5" t="n"/>
      <c r="S1326" s="5" t="n"/>
      <c r="T1326" s="5" t="n"/>
      <c r="U1326" s="5" t="n"/>
      <c r="V1326" s="5" t="n"/>
      <c r="W1326" s="5" t="n"/>
      <c r="X1326" s="5" t="n"/>
      <c r="Y1326" s="5">
        <f>IF(I1326="","",IF(AND(I1326="Fail",K1326=""),"Classify Issue Source",IF(AND(I1326="Fail",W1326=""),"Set Confidence",IF(AND(K1326="Unknown",W1326&lt;&gt;"Low"),"Unknown must be Low confidence",IF(AND(OR(K1326="Backend",K1326="SAP"),N1326=""),"Add HTTP status + endpoint",IF(AND(OR(K1326="Backend",K1326="SAP",K1326="Network"),P1326=""),"Add Correlation ID",IF(AND(I1326="Fail",T1326=""),"Write Root Cause / evidence gap",IF(AND(I1326="Fail",V1326=""),"Assign team","OK"))))))))</f>
        <v/>
      </c>
    </row>
    <row r="1327">
      <c r="A1327" s="5" t="n"/>
      <c r="B1327" s="5" t="n"/>
      <c r="C1327" s="5" t="n"/>
      <c r="D1327" s="5" t="n"/>
      <c r="E1327" s="5" t="n"/>
      <c r="F1327" s="5" t="n"/>
      <c r="G1327" s="5" t="n"/>
      <c r="H1327" s="5" t="n"/>
      <c r="I1327" s="5" t="n"/>
      <c r="J1327" s="5" t="n"/>
      <c r="K1327" s="5" t="n"/>
      <c r="L1327" s="5" t="n"/>
      <c r="M1327" s="5" t="n"/>
      <c r="N1327" s="5" t="n"/>
      <c r="O1327" s="5" t="n"/>
      <c r="P1327" s="5" t="n"/>
      <c r="Q1327" s="5" t="n"/>
      <c r="R1327" s="5" t="n"/>
      <c r="S1327" s="5" t="n"/>
      <c r="T1327" s="5" t="n"/>
      <c r="U1327" s="5" t="n"/>
      <c r="V1327" s="5" t="n"/>
      <c r="W1327" s="5" t="n"/>
      <c r="X1327" s="5" t="n"/>
      <c r="Y1327" s="5">
        <f>IF(I1327="","",IF(AND(I1327="Fail",K1327=""),"Classify Issue Source",IF(AND(I1327="Fail",W1327=""),"Set Confidence",IF(AND(K1327="Unknown",W1327&lt;&gt;"Low"),"Unknown must be Low confidence",IF(AND(OR(K1327="Backend",K1327="SAP"),N1327=""),"Add HTTP status + endpoint",IF(AND(OR(K1327="Backend",K1327="SAP",K1327="Network"),P1327=""),"Add Correlation ID",IF(AND(I1327="Fail",T1327=""),"Write Root Cause / evidence gap",IF(AND(I1327="Fail",V1327=""),"Assign team","OK"))))))))</f>
        <v/>
      </c>
    </row>
    <row r="1328">
      <c r="A1328" s="5" t="n"/>
      <c r="B1328" s="5" t="n"/>
      <c r="C1328" s="5" t="n"/>
      <c r="D1328" s="5" t="n"/>
      <c r="E1328" s="5" t="n"/>
      <c r="F1328" s="5" t="n"/>
      <c r="G1328" s="5" t="n"/>
      <c r="H1328" s="5" t="n"/>
      <c r="I1328" s="5" t="n"/>
      <c r="J1328" s="5" t="n"/>
      <c r="K1328" s="5" t="n"/>
      <c r="L1328" s="5" t="n"/>
      <c r="M1328" s="5" t="n"/>
      <c r="N1328" s="5" t="n"/>
      <c r="O1328" s="5" t="n"/>
      <c r="P1328" s="5" t="n"/>
      <c r="Q1328" s="5" t="n"/>
      <c r="R1328" s="5" t="n"/>
      <c r="S1328" s="5" t="n"/>
      <c r="T1328" s="5" t="n"/>
      <c r="U1328" s="5" t="n"/>
      <c r="V1328" s="5" t="n"/>
      <c r="W1328" s="5" t="n"/>
      <c r="X1328" s="5" t="n"/>
      <c r="Y1328" s="5">
        <f>IF(I1328="","",IF(AND(I1328="Fail",K1328=""),"Classify Issue Source",IF(AND(I1328="Fail",W1328=""),"Set Confidence",IF(AND(K1328="Unknown",W1328&lt;&gt;"Low"),"Unknown must be Low confidence",IF(AND(OR(K1328="Backend",K1328="SAP"),N1328=""),"Add HTTP status + endpoint",IF(AND(OR(K1328="Backend",K1328="SAP",K1328="Network"),P1328=""),"Add Correlation ID",IF(AND(I1328="Fail",T1328=""),"Write Root Cause / evidence gap",IF(AND(I1328="Fail",V1328=""),"Assign team","OK"))))))))</f>
        <v/>
      </c>
    </row>
    <row r="1329">
      <c r="A1329" s="5" t="n"/>
      <c r="B1329" s="5" t="n"/>
      <c r="C1329" s="5" t="n"/>
      <c r="D1329" s="5" t="n"/>
      <c r="E1329" s="5" t="n"/>
      <c r="F1329" s="5" t="n"/>
      <c r="G1329" s="5" t="n"/>
      <c r="H1329" s="5" t="n"/>
      <c r="I1329" s="5" t="n"/>
      <c r="J1329" s="5" t="n"/>
      <c r="K1329" s="5" t="n"/>
      <c r="L1329" s="5" t="n"/>
      <c r="M1329" s="5" t="n"/>
      <c r="N1329" s="5" t="n"/>
      <c r="O1329" s="5" t="n"/>
      <c r="P1329" s="5" t="n"/>
      <c r="Q1329" s="5" t="n"/>
      <c r="R1329" s="5" t="n"/>
      <c r="S1329" s="5" t="n"/>
      <c r="T1329" s="5" t="n"/>
      <c r="U1329" s="5" t="n"/>
      <c r="V1329" s="5" t="n"/>
      <c r="W1329" s="5" t="n"/>
      <c r="X1329" s="5" t="n"/>
      <c r="Y1329" s="5">
        <f>IF(I1329="","",IF(AND(I1329="Fail",K1329=""),"Classify Issue Source",IF(AND(I1329="Fail",W1329=""),"Set Confidence",IF(AND(K1329="Unknown",W1329&lt;&gt;"Low"),"Unknown must be Low confidence",IF(AND(OR(K1329="Backend",K1329="SAP"),N1329=""),"Add HTTP status + endpoint",IF(AND(OR(K1329="Backend",K1329="SAP",K1329="Network"),P1329=""),"Add Correlation ID",IF(AND(I1329="Fail",T1329=""),"Write Root Cause / evidence gap",IF(AND(I1329="Fail",V1329=""),"Assign team","OK"))))))))</f>
        <v/>
      </c>
    </row>
    <row r="1330">
      <c r="A1330" s="5" t="n"/>
      <c r="B1330" s="5" t="n"/>
      <c r="C1330" s="5" t="n"/>
      <c r="D1330" s="5" t="n"/>
      <c r="E1330" s="5" t="n"/>
      <c r="F1330" s="5" t="n"/>
      <c r="G1330" s="5" t="n"/>
      <c r="H1330" s="5" t="n"/>
      <c r="I1330" s="5" t="n"/>
      <c r="J1330" s="5" t="n"/>
      <c r="K1330" s="5" t="n"/>
      <c r="L1330" s="5" t="n"/>
      <c r="M1330" s="5" t="n"/>
      <c r="N1330" s="5" t="n"/>
      <c r="O1330" s="5" t="n"/>
      <c r="P1330" s="5" t="n"/>
      <c r="Q1330" s="5" t="n"/>
      <c r="R1330" s="5" t="n"/>
      <c r="S1330" s="5" t="n"/>
      <c r="T1330" s="5" t="n"/>
      <c r="U1330" s="5" t="n"/>
      <c r="V1330" s="5" t="n"/>
      <c r="W1330" s="5" t="n"/>
      <c r="X1330" s="5" t="n"/>
      <c r="Y1330" s="5">
        <f>IF(I1330="","",IF(AND(I1330="Fail",K1330=""),"Classify Issue Source",IF(AND(I1330="Fail",W1330=""),"Set Confidence",IF(AND(K1330="Unknown",W1330&lt;&gt;"Low"),"Unknown must be Low confidence",IF(AND(OR(K1330="Backend",K1330="SAP"),N1330=""),"Add HTTP status + endpoint",IF(AND(OR(K1330="Backend",K1330="SAP",K1330="Network"),P1330=""),"Add Correlation ID",IF(AND(I1330="Fail",T1330=""),"Write Root Cause / evidence gap",IF(AND(I1330="Fail",V1330=""),"Assign team","OK"))))))))</f>
        <v/>
      </c>
    </row>
    <row r="1331">
      <c r="A1331" s="5" t="n"/>
      <c r="B1331" s="5" t="n"/>
      <c r="C1331" s="5" t="n"/>
      <c r="D1331" s="5" t="n"/>
      <c r="E1331" s="5" t="n"/>
      <c r="F1331" s="5" t="n"/>
      <c r="G1331" s="5" t="n"/>
      <c r="H1331" s="5" t="n"/>
      <c r="I1331" s="5" t="n"/>
      <c r="J1331" s="5" t="n"/>
      <c r="K1331" s="5" t="n"/>
      <c r="L1331" s="5" t="n"/>
      <c r="M1331" s="5" t="n"/>
      <c r="N1331" s="5" t="n"/>
      <c r="O1331" s="5" t="n"/>
      <c r="P1331" s="5" t="n"/>
      <c r="Q1331" s="5" t="n"/>
      <c r="R1331" s="5" t="n"/>
      <c r="S1331" s="5" t="n"/>
      <c r="T1331" s="5" t="n"/>
      <c r="U1331" s="5" t="n"/>
      <c r="V1331" s="5" t="n"/>
      <c r="W1331" s="5" t="n"/>
      <c r="X1331" s="5" t="n"/>
      <c r="Y1331" s="5">
        <f>IF(I1331="","",IF(AND(I1331="Fail",K1331=""),"Classify Issue Source",IF(AND(I1331="Fail",W1331=""),"Set Confidence",IF(AND(K1331="Unknown",W1331&lt;&gt;"Low"),"Unknown must be Low confidence",IF(AND(OR(K1331="Backend",K1331="SAP"),N1331=""),"Add HTTP status + endpoint",IF(AND(OR(K1331="Backend",K1331="SAP",K1331="Network"),P1331=""),"Add Correlation ID",IF(AND(I1331="Fail",T1331=""),"Write Root Cause / evidence gap",IF(AND(I1331="Fail",V1331=""),"Assign team","OK"))))))))</f>
        <v/>
      </c>
    </row>
    <row r="1332">
      <c r="A1332" s="5" t="n"/>
      <c r="B1332" s="5" t="n"/>
      <c r="C1332" s="5" t="n"/>
      <c r="D1332" s="5" t="n"/>
      <c r="E1332" s="5" t="n"/>
      <c r="F1332" s="5" t="n"/>
      <c r="G1332" s="5" t="n"/>
      <c r="H1332" s="5" t="n"/>
      <c r="I1332" s="5" t="n"/>
      <c r="J1332" s="5" t="n"/>
      <c r="K1332" s="5" t="n"/>
      <c r="L1332" s="5" t="n"/>
      <c r="M1332" s="5" t="n"/>
      <c r="N1332" s="5" t="n"/>
      <c r="O1332" s="5" t="n"/>
      <c r="P1332" s="5" t="n"/>
      <c r="Q1332" s="5" t="n"/>
      <c r="R1332" s="5" t="n"/>
      <c r="S1332" s="5" t="n"/>
      <c r="T1332" s="5" t="n"/>
      <c r="U1332" s="5" t="n"/>
      <c r="V1332" s="5" t="n"/>
      <c r="W1332" s="5" t="n"/>
      <c r="X1332" s="5" t="n"/>
      <c r="Y1332" s="5">
        <f>IF(I1332="","",IF(AND(I1332="Fail",K1332=""),"Classify Issue Source",IF(AND(I1332="Fail",W1332=""),"Set Confidence",IF(AND(K1332="Unknown",W1332&lt;&gt;"Low"),"Unknown must be Low confidence",IF(AND(OR(K1332="Backend",K1332="SAP"),N1332=""),"Add HTTP status + endpoint",IF(AND(OR(K1332="Backend",K1332="SAP",K1332="Network"),P1332=""),"Add Correlation ID",IF(AND(I1332="Fail",T1332=""),"Write Root Cause / evidence gap",IF(AND(I1332="Fail",V1332=""),"Assign team","OK"))))))))</f>
        <v/>
      </c>
    </row>
    <row r="1333">
      <c r="A1333" s="5" t="n"/>
      <c r="B1333" s="5" t="n"/>
      <c r="C1333" s="5" t="n"/>
      <c r="D1333" s="5" t="n"/>
      <c r="E1333" s="5" t="n"/>
      <c r="F1333" s="5" t="n"/>
      <c r="G1333" s="5" t="n"/>
      <c r="H1333" s="5" t="n"/>
      <c r="I1333" s="5" t="n"/>
      <c r="J1333" s="5" t="n"/>
      <c r="K1333" s="5" t="n"/>
      <c r="L1333" s="5" t="n"/>
      <c r="M1333" s="5" t="n"/>
      <c r="N1333" s="5" t="n"/>
      <c r="O1333" s="5" t="n"/>
      <c r="P1333" s="5" t="n"/>
      <c r="Q1333" s="5" t="n"/>
      <c r="R1333" s="5" t="n"/>
      <c r="S1333" s="5" t="n"/>
      <c r="T1333" s="5" t="n"/>
      <c r="U1333" s="5" t="n"/>
      <c r="V1333" s="5" t="n"/>
      <c r="W1333" s="5" t="n"/>
      <c r="X1333" s="5" t="n"/>
      <c r="Y1333" s="5">
        <f>IF(I1333="","",IF(AND(I1333="Fail",K1333=""),"Classify Issue Source",IF(AND(I1333="Fail",W1333=""),"Set Confidence",IF(AND(K1333="Unknown",W1333&lt;&gt;"Low"),"Unknown must be Low confidence",IF(AND(OR(K1333="Backend",K1333="SAP"),N1333=""),"Add HTTP status + endpoint",IF(AND(OR(K1333="Backend",K1333="SAP",K1333="Network"),P1333=""),"Add Correlation ID",IF(AND(I1333="Fail",T1333=""),"Write Root Cause / evidence gap",IF(AND(I1333="Fail",V1333=""),"Assign team","OK"))))))))</f>
        <v/>
      </c>
    </row>
    <row r="1334">
      <c r="A1334" s="5" t="n"/>
      <c r="B1334" s="5" t="n"/>
      <c r="C1334" s="5" t="n"/>
      <c r="D1334" s="5" t="n"/>
      <c r="E1334" s="5" t="n"/>
      <c r="F1334" s="5" t="n"/>
      <c r="G1334" s="5" t="n"/>
      <c r="H1334" s="5" t="n"/>
      <c r="I1334" s="5" t="n"/>
      <c r="J1334" s="5" t="n"/>
      <c r="K1334" s="5" t="n"/>
      <c r="L1334" s="5" t="n"/>
      <c r="M1334" s="5" t="n"/>
      <c r="N1334" s="5" t="n"/>
      <c r="O1334" s="5" t="n"/>
      <c r="P1334" s="5" t="n"/>
      <c r="Q1334" s="5" t="n"/>
      <c r="R1334" s="5" t="n"/>
      <c r="S1334" s="5" t="n"/>
      <c r="T1334" s="5" t="n"/>
      <c r="U1334" s="5" t="n"/>
      <c r="V1334" s="5" t="n"/>
      <c r="W1334" s="5" t="n"/>
      <c r="X1334" s="5" t="n"/>
      <c r="Y1334" s="5">
        <f>IF(I1334="","",IF(AND(I1334="Fail",K1334=""),"Classify Issue Source",IF(AND(I1334="Fail",W1334=""),"Set Confidence",IF(AND(K1334="Unknown",W1334&lt;&gt;"Low"),"Unknown must be Low confidence",IF(AND(OR(K1334="Backend",K1334="SAP"),N1334=""),"Add HTTP status + endpoint",IF(AND(OR(K1334="Backend",K1334="SAP",K1334="Network"),P1334=""),"Add Correlation ID",IF(AND(I1334="Fail",T1334=""),"Write Root Cause / evidence gap",IF(AND(I1334="Fail",V1334=""),"Assign team","OK"))))))))</f>
        <v/>
      </c>
    </row>
    <row r="1335">
      <c r="A1335" s="5" t="n"/>
      <c r="B1335" s="5" t="n"/>
      <c r="C1335" s="5" t="n"/>
      <c r="D1335" s="5" t="n"/>
      <c r="E1335" s="5" t="n"/>
      <c r="F1335" s="5" t="n"/>
      <c r="G1335" s="5" t="n"/>
      <c r="H1335" s="5" t="n"/>
      <c r="I1335" s="5" t="n"/>
      <c r="J1335" s="5" t="n"/>
      <c r="K1335" s="5" t="n"/>
      <c r="L1335" s="5" t="n"/>
      <c r="M1335" s="5" t="n"/>
      <c r="N1335" s="5" t="n"/>
      <c r="O1335" s="5" t="n"/>
      <c r="P1335" s="5" t="n"/>
      <c r="Q1335" s="5" t="n"/>
      <c r="R1335" s="5" t="n"/>
      <c r="S1335" s="5" t="n"/>
      <c r="T1335" s="5" t="n"/>
      <c r="U1335" s="5" t="n"/>
      <c r="V1335" s="5" t="n"/>
      <c r="W1335" s="5" t="n"/>
      <c r="X1335" s="5" t="n"/>
      <c r="Y1335" s="5">
        <f>IF(I1335="","",IF(AND(I1335="Fail",K1335=""),"Classify Issue Source",IF(AND(I1335="Fail",W1335=""),"Set Confidence",IF(AND(K1335="Unknown",W1335&lt;&gt;"Low"),"Unknown must be Low confidence",IF(AND(OR(K1335="Backend",K1335="SAP"),N1335=""),"Add HTTP status + endpoint",IF(AND(OR(K1335="Backend",K1335="SAP",K1335="Network"),P1335=""),"Add Correlation ID",IF(AND(I1335="Fail",T1335=""),"Write Root Cause / evidence gap",IF(AND(I1335="Fail",V1335=""),"Assign team","OK"))))))))</f>
        <v/>
      </c>
    </row>
    <row r="1336">
      <c r="A1336" s="5" t="n"/>
      <c r="B1336" s="5" t="n"/>
      <c r="C1336" s="5" t="n"/>
      <c r="D1336" s="5" t="n"/>
      <c r="E1336" s="5" t="n"/>
      <c r="F1336" s="5" t="n"/>
      <c r="G1336" s="5" t="n"/>
      <c r="H1336" s="5" t="n"/>
      <c r="I1336" s="5" t="n"/>
      <c r="J1336" s="5" t="n"/>
      <c r="K1336" s="5" t="n"/>
      <c r="L1336" s="5" t="n"/>
      <c r="M1336" s="5" t="n"/>
      <c r="N1336" s="5" t="n"/>
      <c r="O1336" s="5" t="n"/>
      <c r="P1336" s="5" t="n"/>
      <c r="Q1336" s="5" t="n"/>
      <c r="R1336" s="5" t="n"/>
      <c r="S1336" s="5" t="n"/>
      <c r="T1336" s="5" t="n"/>
      <c r="U1336" s="5" t="n"/>
      <c r="V1336" s="5" t="n"/>
      <c r="W1336" s="5" t="n"/>
      <c r="X1336" s="5" t="n"/>
      <c r="Y1336" s="5">
        <f>IF(I1336="","",IF(AND(I1336="Fail",K1336=""),"Classify Issue Source",IF(AND(I1336="Fail",W1336=""),"Set Confidence",IF(AND(K1336="Unknown",W1336&lt;&gt;"Low"),"Unknown must be Low confidence",IF(AND(OR(K1336="Backend",K1336="SAP"),N1336=""),"Add HTTP status + endpoint",IF(AND(OR(K1336="Backend",K1336="SAP",K1336="Network"),P1336=""),"Add Correlation ID",IF(AND(I1336="Fail",T1336=""),"Write Root Cause / evidence gap",IF(AND(I1336="Fail",V1336=""),"Assign team","OK"))))))))</f>
        <v/>
      </c>
    </row>
    <row r="1337">
      <c r="A1337" s="5" t="n"/>
      <c r="B1337" s="5" t="n"/>
      <c r="C1337" s="5" t="n"/>
      <c r="D1337" s="5" t="n"/>
      <c r="E1337" s="5" t="n"/>
      <c r="F1337" s="5" t="n"/>
      <c r="G1337" s="5" t="n"/>
      <c r="H1337" s="5" t="n"/>
      <c r="I1337" s="5" t="n"/>
      <c r="J1337" s="5" t="n"/>
      <c r="K1337" s="5" t="n"/>
      <c r="L1337" s="5" t="n"/>
      <c r="M1337" s="5" t="n"/>
      <c r="N1337" s="5" t="n"/>
      <c r="O1337" s="5" t="n"/>
      <c r="P1337" s="5" t="n"/>
      <c r="Q1337" s="5" t="n"/>
      <c r="R1337" s="5" t="n"/>
      <c r="S1337" s="5" t="n"/>
      <c r="T1337" s="5" t="n"/>
      <c r="U1337" s="5" t="n"/>
      <c r="V1337" s="5" t="n"/>
      <c r="W1337" s="5" t="n"/>
      <c r="X1337" s="5" t="n"/>
      <c r="Y1337" s="5">
        <f>IF(I1337="","",IF(AND(I1337="Fail",K1337=""),"Classify Issue Source",IF(AND(I1337="Fail",W1337=""),"Set Confidence",IF(AND(K1337="Unknown",W1337&lt;&gt;"Low"),"Unknown must be Low confidence",IF(AND(OR(K1337="Backend",K1337="SAP"),N1337=""),"Add HTTP status + endpoint",IF(AND(OR(K1337="Backend",K1337="SAP",K1337="Network"),P1337=""),"Add Correlation ID",IF(AND(I1337="Fail",T1337=""),"Write Root Cause / evidence gap",IF(AND(I1337="Fail",V1337=""),"Assign team","OK"))))))))</f>
        <v/>
      </c>
    </row>
    <row r="1338">
      <c r="A1338" s="5" t="n"/>
      <c r="B1338" s="5" t="n"/>
      <c r="C1338" s="5" t="n"/>
      <c r="D1338" s="5" t="n"/>
      <c r="E1338" s="5" t="n"/>
      <c r="F1338" s="5" t="n"/>
      <c r="G1338" s="5" t="n"/>
      <c r="H1338" s="5" t="n"/>
      <c r="I1338" s="5" t="n"/>
      <c r="J1338" s="5" t="n"/>
      <c r="K1338" s="5" t="n"/>
      <c r="L1338" s="5" t="n"/>
      <c r="M1338" s="5" t="n"/>
      <c r="N1338" s="5" t="n"/>
      <c r="O1338" s="5" t="n"/>
      <c r="P1338" s="5" t="n"/>
      <c r="Q1338" s="5" t="n"/>
      <c r="R1338" s="5" t="n"/>
      <c r="S1338" s="5" t="n"/>
      <c r="T1338" s="5" t="n"/>
      <c r="U1338" s="5" t="n"/>
      <c r="V1338" s="5" t="n"/>
      <c r="W1338" s="5" t="n"/>
      <c r="X1338" s="5" t="n"/>
      <c r="Y1338" s="5">
        <f>IF(I1338="","",IF(AND(I1338="Fail",K1338=""),"Classify Issue Source",IF(AND(I1338="Fail",W1338=""),"Set Confidence",IF(AND(K1338="Unknown",W1338&lt;&gt;"Low"),"Unknown must be Low confidence",IF(AND(OR(K1338="Backend",K1338="SAP"),N1338=""),"Add HTTP status + endpoint",IF(AND(OR(K1338="Backend",K1338="SAP",K1338="Network"),P1338=""),"Add Correlation ID",IF(AND(I1338="Fail",T1338=""),"Write Root Cause / evidence gap",IF(AND(I1338="Fail",V1338=""),"Assign team","OK"))))))))</f>
        <v/>
      </c>
    </row>
    <row r="1339">
      <c r="A1339" s="5" t="n"/>
      <c r="B1339" s="5" t="n"/>
      <c r="C1339" s="5" t="n"/>
      <c r="D1339" s="5" t="n"/>
      <c r="E1339" s="5" t="n"/>
      <c r="F1339" s="5" t="n"/>
      <c r="G1339" s="5" t="n"/>
      <c r="H1339" s="5" t="n"/>
      <c r="I1339" s="5" t="n"/>
      <c r="J1339" s="5" t="n"/>
      <c r="K1339" s="5" t="n"/>
      <c r="L1339" s="5" t="n"/>
      <c r="M1339" s="5" t="n"/>
      <c r="N1339" s="5" t="n"/>
      <c r="O1339" s="5" t="n"/>
      <c r="P1339" s="5" t="n"/>
      <c r="Q1339" s="5" t="n"/>
      <c r="R1339" s="5" t="n"/>
      <c r="S1339" s="5" t="n"/>
      <c r="T1339" s="5" t="n"/>
      <c r="U1339" s="5" t="n"/>
      <c r="V1339" s="5" t="n"/>
      <c r="W1339" s="5" t="n"/>
      <c r="X1339" s="5" t="n"/>
      <c r="Y1339" s="5">
        <f>IF(I1339="","",IF(AND(I1339="Fail",K1339=""),"Classify Issue Source",IF(AND(I1339="Fail",W1339=""),"Set Confidence",IF(AND(K1339="Unknown",W1339&lt;&gt;"Low"),"Unknown must be Low confidence",IF(AND(OR(K1339="Backend",K1339="SAP"),N1339=""),"Add HTTP status + endpoint",IF(AND(OR(K1339="Backend",K1339="SAP",K1339="Network"),P1339=""),"Add Correlation ID",IF(AND(I1339="Fail",T1339=""),"Write Root Cause / evidence gap",IF(AND(I1339="Fail",V1339=""),"Assign team","OK"))))))))</f>
        <v/>
      </c>
    </row>
    <row r="1340">
      <c r="A1340" s="5" t="n"/>
      <c r="B1340" s="5" t="n"/>
      <c r="C1340" s="5" t="n"/>
      <c r="D1340" s="5" t="n"/>
      <c r="E1340" s="5" t="n"/>
      <c r="F1340" s="5" t="n"/>
      <c r="G1340" s="5" t="n"/>
      <c r="H1340" s="5" t="n"/>
      <c r="I1340" s="5" t="n"/>
      <c r="J1340" s="5" t="n"/>
      <c r="K1340" s="5" t="n"/>
      <c r="L1340" s="5" t="n"/>
      <c r="M1340" s="5" t="n"/>
      <c r="N1340" s="5" t="n"/>
      <c r="O1340" s="5" t="n"/>
      <c r="P1340" s="5" t="n"/>
      <c r="Q1340" s="5" t="n"/>
      <c r="R1340" s="5" t="n"/>
      <c r="S1340" s="5" t="n"/>
      <c r="T1340" s="5" t="n"/>
      <c r="U1340" s="5" t="n"/>
      <c r="V1340" s="5" t="n"/>
      <c r="W1340" s="5" t="n"/>
      <c r="X1340" s="5" t="n"/>
      <c r="Y1340" s="5">
        <f>IF(I1340="","",IF(AND(I1340="Fail",K1340=""),"Classify Issue Source",IF(AND(I1340="Fail",W1340=""),"Set Confidence",IF(AND(K1340="Unknown",W1340&lt;&gt;"Low"),"Unknown must be Low confidence",IF(AND(OR(K1340="Backend",K1340="SAP"),N1340=""),"Add HTTP status + endpoint",IF(AND(OR(K1340="Backend",K1340="SAP",K1340="Network"),P1340=""),"Add Correlation ID",IF(AND(I1340="Fail",T1340=""),"Write Root Cause / evidence gap",IF(AND(I1340="Fail",V1340=""),"Assign team","OK"))))))))</f>
        <v/>
      </c>
    </row>
    <row r="1341">
      <c r="A1341" s="5" t="n"/>
      <c r="B1341" s="5" t="n"/>
      <c r="C1341" s="5" t="n"/>
      <c r="D1341" s="5" t="n"/>
      <c r="E1341" s="5" t="n"/>
      <c r="F1341" s="5" t="n"/>
      <c r="G1341" s="5" t="n"/>
      <c r="H1341" s="5" t="n"/>
      <c r="I1341" s="5" t="n"/>
      <c r="J1341" s="5" t="n"/>
      <c r="K1341" s="5" t="n"/>
      <c r="L1341" s="5" t="n"/>
      <c r="M1341" s="5" t="n"/>
      <c r="N1341" s="5" t="n"/>
      <c r="O1341" s="5" t="n"/>
      <c r="P1341" s="5" t="n"/>
      <c r="Q1341" s="5" t="n"/>
      <c r="R1341" s="5" t="n"/>
      <c r="S1341" s="5" t="n"/>
      <c r="T1341" s="5" t="n"/>
      <c r="U1341" s="5" t="n"/>
      <c r="V1341" s="5" t="n"/>
      <c r="W1341" s="5" t="n"/>
      <c r="X1341" s="5" t="n"/>
      <c r="Y1341" s="5">
        <f>IF(I1341="","",IF(AND(I1341="Fail",K1341=""),"Classify Issue Source",IF(AND(I1341="Fail",W1341=""),"Set Confidence",IF(AND(K1341="Unknown",W1341&lt;&gt;"Low"),"Unknown must be Low confidence",IF(AND(OR(K1341="Backend",K1341="SAP"),N1341=""),"Add HTTP status + endpoint",IF(AND(OR(K1341="Backend",K1341="SAP",K1341="Network"),P1341=""),"Add Correlation ID",IF(AND(I1341="Fail",T1341=""),"Write Root Cause / evidence gap",IF(AND(I1341="Fail",V1341=""),"Assign team","OK"))))))))</f>
        <v/>
      </c>
    </row>
    <row r="1342">
      <c r="A1342" s="5" t="n"/>
      <c r="B1342" s="5" t="n"/>
      <c r="C1342" s="5" t="n"/>
      <c r="D1342" s="5" t="n"/>
      <c r="E1342" s="5" t="n"/>
      <c r="F1342" s="5" t="n"/>
      <c r="G1342" s="5" t="n"/>
      <c r="H1342" s="5" t="n"/>
      <c r="I1342" s="5" t="n"/>
      <c r="J1342" s="5" t="n"/>
      <c r="K1342" s="5" t="n"/>
      <c r="L1342" s="5" t="n"/>
      <c r="M1342" s="5" t="n"/>
      <c r="N1342" s="5" t="n"/>
      <c r="O1342" s="5" t="n"/>
      <c r="P1342" s="5" t="n"/>
      <c r="Q1342" s="5" t="n"/>
      <c r="R1342" s="5" t="n"/>
      <c r="S1342" s="5" t="n"/>
      <c r="T1342" s="5" t="n"/>
      <c r="U1342" s="5" t="n"/>
      <c r="V1342" s="5" t="n"/>
      <c r="W1342" s="5" t="n"/>
      <c r="X1342" s="5" t="n"/>
      <c r="Y1342" s="5">
        <f>IF(I1342="","",IF(AND(I1342="Fail",K1342=""),"Classify Issue Source",IF(AND(I1342="Fail",W1342=""),"Set Confidence",IF(AND(K1342="Unknown",W1342&lt;&gt;"Low"),"Unknown must be Low confidence",IF(AND(OR(K1342="Backend",K1342="SAP"),N1342=""),"Add HTTP status + endpoint",IF(AND(OR(K1342="Backend",K1342="SAP",K1342="Network"),P1342=""),"Add Correlation ID",IF(AND(I1342="Fail",T1342=""),"Write Root Cause / evidence gap",IF(AND(I1342="Fail",V1342=""),"Assign team","OK"))))))))</f>
        <v/>
      </c>
    </row>
    <row r="1343">
      <c r="A1343" s="5" t="n"/>
      <c r="B1343" s="5" t="n"/>
      <c r="C1343" s="5" t="n"/>
      <c r="D1343" s="5" t="n"/>
      <c r="E1343" s="5" t="n"/>
      <c r="F1343" s="5" t="n"/>
      <c r="G1343" s="5" t="n"/>
      <c r="H1343" s="5" t="n"/>
      <c r="I1343" s="5" t="n"/>
      <c r="J1343" s="5" t="n"/>
      <c r="K1343" s="5" t="n"/>
      <c r="L1343" s="5" t="n"/>
      <c r="M1343" s="5" t="n"/>
      <c r="N1343" s="5" t="n"/>
      <c r="O1343" s="5" t="n"/>
      <c r="P1343" s="5" t="n"/>
      <c r="Q1343" s="5" t="n"/>
      <c r="R1343" s="5" t="n"/>
      <c r="S1343" s="5" t="n"/>
      <c r="T1343" s="5" t="n"/>
      <c r="U1343" s="5" t="n"/>
      <c r="V1343" s="5" t="n"/>
      <c r="W1343" s="5" t="n"/>
      <c r="X1343" s="5" t="n"/>
      <c r="Y1343" s="5">
        <f>IF(I1343="","",IF(AND(I1343="Fail",K1343=""),"Classify Issue Source",IF(AND(I1343="Fail",W1343=""),"Set Confidence",IF(AND(K1343="Unknown",W1343&lt;&gt;"Low"),"Unknown must be Low confidence",IF(AND(OR(K1343="Backend",K1343="SAP"),N1343=""),"Add HTTP status + endpoint",IF(AND(OR(K1343="Backend",K1343="SAP",K1343="Network"),P1343=""),"Add Correlation ID",IF(AND(I1343="Fail",T1343=""),"Write Root Cause / evidence gap",IF(AND(I1343="Fail",V1343=""),"Assign team","OK"))))))))</f>
        <v/>
      </c>
    </row>
    <row r="1344">
      <c r="A1344" s="5" t="n"/>
      <c r="B1344" s="5" t="n"/>
      <c r="C1344" s="5" t="n"/>
      <c r="D1344" s="5" t="n"/>
      <c r="E1344" s="5" t="n"/>
      <c r="F1344" s="5" t="n"/>
      <c r="G1344" s="5" t="n"/>
      <c r="H1344" s="5" t="n"/>
      <c r="I1344" s="5" t="n"/>
      <c r="J1344" s="5" t="n"/>
      <c r="K1344" s="5" t="n"/>
      <c r="L1344" s="5" t="n"/>
      <c r="M1344" s="5" t="n"/>
      <c r="N1344" s="5" t="n"/>
      <c r="O1344" s="5" t="n"/>
      <c r="P1344" s="5" t="n"/>
      <c r="Q1344" s="5" t="n"/>
      <c r="R1344" s="5" t="n"/>
      <c r="S1344" s="5" t="n"/>
      <c r="T1344" s="5" t="n"/>
      <c r="U1344" s="5" t="n"/>
      <c r="V1344" s="5" t="n"/>
      <c r="W1344" s="5" t="n"/>
      <c r="X1344" s="5" t="n"/>
      <c r="Y1344" s="5">
        <f>IF(I1344="","",IF(AND(I1344="Fail",K1344=""),"Classify Issue Source",IF(AND(I1344="Fail",W1344=""),"Set Confidence",IF(AND(K1344="Unknown",W1344&lt;&gt;"Low"),"Unknown must be Low confidence",IF(AND(OR(K1344="Backend",K1344="SAP"),N1344=""),"Add HTTP status + endpoint",IF(AND(OR(K1344="Backend",K1344="SAP",K1344="Network"),P1344=""),"Add Correlation ID",IF(AND(I1344="Fail",T1344=""),"Write Root Cause / evidence gap",IF(AND(I1344="Fail",V1344=""),"Assign team","OK"))))))))</f>
        <v/>
      </c>
    </row>
    <row r="1345">
      <c r="A1345" s="5" t="n"/>
      <c r="B1345" s="5" t="n"/>
      <c r="C1345" s="5" t="n"/>
      <c r="D1345" s="5" t="n"/>
      <c r="E1345" s="5" t="n"/>
      <c r="F1345" s="5" t="n"/>
      <c r="G1345" s="5" t="n"/>
      <c r="H1345" s="5" t="n"/>
      <c r="I1345" s="5" t="n"/>
      <c r="J1345" s="5" t="n"/>
      <c r="K1345" s="5" t="n"/>
      <c r="L1345" s="5" t="n"/>
      <c r="M1345" s="5" t="n"/>
      <c r="N1345" s="5" t="n"/>
      <c r="O1345" s="5" t="n"/>
      <c r="P1345" s="5" t="n"/>
      <c r="Q1345" s="5" t="n"/>
      <c r="R1345" s="5" t="n"/>
      <c r="S1345" s="5" t="n"/>
      <c r="T1345" s="5" t="n"/>
      <c r="U1345" s="5" t="n"/>
      <c r="V1345" s="5" t="n"/>
      <c r="W1345" s="5" t="n"/>
      <c r="X1345" s="5" t="n"/>
      <c r="Y1345" s="5">
        <f>IF(I1345="","",IF(AND(I1345="Fail",K1345=""),"Classify Issue Source",IF(AND(I1345="Fail",W1345=""),"Set Confidence",IF(AND(K1345="Unknown",W1345&lt;&gt;"Low"),"Unknown must be Low confidence",IF(AND(OR(K1345="Backend",K1345="SAP"),N1345=""),"Add HTTP status + endpoint",IF(AND(OR(K1345="Backend",K1345="SAP",K1345="Network"),P1345=""),"Add Correlation ID",IF(AND(I1345="Fail",T1345=""),"Write Root Cause / evidence gap",IF(AND(I1345="Fail",V1345=""),"Assign team","OK"))))))))</f>
        <v/>
      </c>
    </row>
    <row r="1346">
      <c r="A1346" s="5" t="n"/>
      <c r="B1346" s="5" t="n"/>
      <c r="C1346" s="5" t="n"/>
      <c r="D1346" s="5" t="n"/>
      <c r="E1346" s="5" t="n"/>
      <c r="F1346" s="5" t="n"/>
      <c r="G1346" s="5" t="n"/>
      <c r="H1346" s="5" t="n"/>
      <c r="I1346" s="5" t="n"/>
      <c r="J1346" s="5" t="n"/>
      <c r="K1346" s="5" t="n"/>
      <c r="L1346" s="5" t="n"/>
      <c r="M1346" s="5" t="n"/>
      <c r="N1346" s="5" t="n"/>
      <c r="O1346" s="5" t="n"/>
      <c r="P1346" s="5" t="n"/>
      <c r="Q1346" s="5" t="n"/>
      <c r="R1346" s="5" t="n"/>
      <c r="S1346" s="5" t="n"/>
      <c r="T1346" s="5" t="n"/>
      <c r="U1346" s="5" t="n"/>
      <c r="V1346" s="5" t="n"/>
      <c r="W1346" s="5" t="n"/>
      <c r="X1346" s="5" t="n"/>
      <c r="Y1346" s="5">
        <f>IF(I1346="","",IF(AND(I1346="Fail",K1346=""),"Classify Issue Source",IF(AND(I1346="Fail",W1346=""),"Set Confidence",IF(AND(K1346="Unknown",W1346&lt;&gt;"Low"),"Unknown must be Low confidence",IF(AND(OR(K1346="Backend",K1346="SAP"),N1346=""),"Add HTTP status + endpoint",IF(AND(OR(K1346="Backend",K1346="SAP",K1346="Network"),P1346=""),"Add Correlation ID",IF(AND(I1346="Fail",T1346=""),"Write Root Cause / evidence gap",IF(AND(I1346="Fail",V1346=""),"Assign team","OK"))))))))</f>
        <v/>
      </c>
    </row>
    <row r="1347">
      <c r="A1347" s="5" t="n"/>
      <c r="B1347" s="5" t="n"/>
      <c r="C1347" s="5" t="n"/>
      <c r="D1347" s="5" t="n"/>
      <c r="E1347" s="5" t="n"/>
      <c r="F1347" s="5" t="n"/>
      <c r="G1347" s="5" t="n"/>
      <c r="H1347" s="5" t="n"/>
      <c r="I1347" s="5" t="n"/>
      <c r="J1347" s="5" t="n"/>
      <c r="K1347" s="5" t="n"/>
      <c r="L1347" s="5" t="n"/>
      <c r="M1347" s="5" t="n"/>
      <c r="N1347" s="5" t="n"/>
      <c r="O1347" s="5" t="n"/>
      <c r="P1347" s="5" t="n"/>
      <c r="Q1347" s="5" t="n"/>
      <c r="R1347" s="5" t="n"/>
      <c r="S1347" s="5" t="n"/>
      <c r="T1347" s="5" t="n"/>
      <c r="U1347" s="5" t="n"/>
      <c r="V1347" s="5" t="n"/>
      <c r="W1347" s="5" t="n"/>
      <c r="X1347" s="5" t="n"/>
      <c r="Y1347" s="5">
        <f>IF(I1347="","",IF(AND(I1347="Fail",K1347=""),"Classify Issue Source",IF(AND(I1347="Fail",W1347=""),"Set Confidence",IF(AND(K1347="Unknown",W1347&lt;&gt;"Low"),"Unknown must be Low confidence",IF(AND(OR(K1347="Backend",K1347="SAP"),N1347=""),"Add HTTP status + endpoint",IF(AND(OR(K1347="Backend",K1347="SAP",K1347="Network"),P1347=""),"Add Correlation ID",IF(AND(I1347="Fail",T1347=""),"Write Root Cause / evidence gap",IF(AND(I1347="Fail",V1347=""),"Assign team","OK"))))))))</f>
        <v/>
      </c>
    </row>
    <row r="1348">
      <c r="A1348" s="5" t="n"/>
      <c r="B1348" s="5" t="n"/>
      <c r="C1348" s="5" t="n"/>
      <c r="D1348" s="5" t="n"/>
      <c r="E1348" s="5" t="n"/>
      <c r="F1348" s="5" t="n"/>
      <c r="G1348" s="5" t="n"/>
      <c r="H1348" s="5" t="n"/>
      <c r="I1348" s="5" t="n"/>
      <c r="J1348" s="5" t="n"/>
      <c r="K1348" s="5" t="n"/>
      <c r="L1348" s="5" t="n"/>
      <c r="M1348" s="5" t="n"/>
      <c r="N1348" s="5" t="n"/>
      <c r="O1348" s="5" t="n"/>
      <c r="P1348" s="5" t="n"/>
      <c r="Q1348" s="5" t="n"/>
      <c r="R1348" s="5" t="n"/>
      <c r="S1348" s="5" t="n"/>
      <c r="T1348" s="5" t="n"/>
      <c r="U1348" s="5" t="n"/>
      <c r="V1348" s="5" t="n"/>
      <c r="W1348" s="5" t="n"/>
      <c r="X1348" s="5" t="n"/>
      <c r="Y1348" s="5">
        <f>IF(I1348="","",IF(AND(I1348="Fail",K1348=""),"Classify Issue Source",IF(AND(I1348="Fail",W1348=""),"Set Confidence",IF(AND(K1348="Unknown",W1348&lt;&gt;"Low"),"Unknown must be Low confidence",IF(AND(OR(K1348="Backend",K1348="SAP"),N1348=""),"Add HTTP status + endpoint",IF(AND(OR(K1348="Backend",K1348="SAP",K1348="Network"),P1348=""),"Add Correlation ID",IF(AND(I1348="Fail",T1348=""),"Write Root Cause / evidence gap",IF(AND(I1348="Fail",V1348=""),"Assign team","OK"))))))))</f>
        <v/>
      </c>
    </row>
    <row r="1349">
      <c r="A1349" s="5" t="n"/>
      <c r="B1349" s="5" t="n"/>
      <c r="C1349" s="5" t="n"/>
      <c r="D1349" s="5" t="n"/>
      <c r="E1349" s="5" t="n"/>
      <c r="F1349" s="5" t="n"/>
      <c r="G1349" s="5" t="n"/>
      <c r="H1349" s="5" t="n"/>
      <c r="I1349" s="5" t="n"/>
      <c r="J1349" s="5" t="n"/>
      <c r="K1349" s="5" t="n"/>
      <c r="L1349" s="5" t="n"/>
      <c r="M1349" s="5" t="n"/>
      <c r="N1349" s="5" t="n"/>
      <c r="O1349" s="5" t="n"/>
      <c r="P1349" s="5" t="n"/>
      <c r="Q1349" s="5" t="n"/>
      <c r="R1349" s="5" t="n"/>
      <c r="S1349" s="5" t="n"/>
      <c r="T1349" s="5" t="n"/>
      <c r="U1349" s="5" t="n"/>
      <c r="V1349" s="5" t="n"/>
      <c r="W1349" s="5" t="n"/>
      <c r="X1349" s="5" t="n"/>
      <c r="Y1349" s="5">
        <f>IF(I1349="","",IF(AND(I1349="Fail",K1349=""),"Classify Issue Source",IF(AND(I1349="Fail",W1349=""),"Set Confidence",IF(AND(K1349="Unknown",W1349&lt;&gt;"Low"),"Unknown must be Low confidence",IF(AND(OR(K1349="Backend",K1349="SAP"),N1349=""),"Add HTTP status + endpoint",IF(AND(OR(K1349="Backend",K1349="SAP",K1349="Network"),P1349=""),"Add Correlation ID",IF(AND(I1349="Fail",T1349=""),"Write Root Cause / evidence gap",IF(AND(I1349="Fail",V1349=""),"Assign team","OK"))))))))</f>
        <v/>
      </c>
    </row>
    <row r="1350">
      <c r="A1350" s="5" t="n"/>
      <c r="B1350" s="5" t="n"/>
      <c r="C1350" s="5" t="n"/>
      <c r="D1350" s="5" t="n"/>
      <c r="E1350" s="5" t="n"/>
      <c r="F1350" s="5" t="n"/>
      <c r="G1350" s="5" t="n"/>
      <c r="H1350" s="5" t="n"/>
      <c r="I1350" s="5" t="n"/>
      <c r="J1350" s="5" t="n"/>
      <c r="K1350" s="5" t="n"/>
      <c r="L1350" s="5" t="n"/>
      <c r="M1350" s="5" t="n"/>
      <c r="N1350" s="5" t="n"/>
      <c r="O1350" s="5" t="n"/>
      <c r="P1350" s="5" t="n"/>
      <c r="Q1350" s="5" t="n"/>
      <c r="R1350" s="5" t="n"/>
      <c r="S1350" s="5" t="n"/>
      <c r="T1350" s="5" t="n"/>
      <c r="U1350" s="5" t="n"/>
      <c r="V1350" s="5" t="n"/>
      <c r="W1350" s="5" t="n"/>
      <c r="X1350" s="5" t="n"/>
      <c r="Y1350" s="5">
        <f>IF(I1350="","",IF(AND(I1350="Fail",K1350=""),"Classify Issue Source",IF(AND(I1350="Fail",W1350=""),"Set Confidence",IF(AND(K1350="Unknown",W1350&lt;&gt;"Low"),"Unknown must be Low confidence",IF(AND(OR(K1350="Backend",K1350="SAP"),N1350=""),"Add HTTP status + endpoint",IF(AND(OR(K1350="Backend",K1350="SAP",K1350="Network"),P1350=""),"Add Correlation ID",IF(AND(I1350="Fail",T1350=""),"Write Root Cause / evidence gap",IF(AND(I1350="Fail",V1350=""),"Assign team","OK"))))))))</f>
        <v/>
      </c>
    </row>
    <row r="1351">
      <c r="A1351" s="5" t="n"/>
      <c r="B1351" s="5" t="n"/>
      <c r="C1351" s="5" t="n"/>
      <c r="D1351" s="5" t="n"/>
      <c r="E1351" s="5" t="n"/>
      <c r="F1351" s="5" t="n"/>
      <c r="G1351" s="5" t="n"/>
      <c r="H1351" s="5" t="n"/>
      <c r="I1351" s="5" t="n"/>
      <c r="J1351" s="5" t="n"/>
      <c r="K1351" s="5" t="n"/>
      <c r="L1351" s="5" t="n"/>
      <c r="M1351" s="5" t="n"/>
      <c r="N1351" s="5" t="n"/>
      <c r="O1351" s="5" t="n"/>
      <c r="P1351" s="5" t="n"/>
      <c r="Q1351" s="5" t="n"/>
      <c r="R1351" s="5" t="n"/>
      <c r="S1351" s="5" t="n"/>
      <c r="T1351" s="5" t="n"/>
      <c r="U1351" s="5" t="n"/>
      <c r="V1351" s="5" t="n"/>
      <c r="W1351" s="5" t="n"/>
      <c r="X1351" s="5" t="n"/>
      <c r="Y1351" s="5">
        <f>IF(I1351="","",IF(AND(I1351="Fail",K1351=""),"Classify Issue Source",IF(AND(I1351="Fail",W1351=""),"Set Confidence",IF(AND(K1351="Unknown",W1351&lt;&gt;"Low"),"Unknown must be Low confidence",IF(AND(OR(K1351="Backend",K1351="SAP"),N1351=""),"Add HTTP status + endpoint",IF(AND(OR(K1351="Backend",K1351="SAP",K1351="Network"),P1351=""),"Add Correlation ID",IF(AND(I1351="Fail",T1351=""),"Write Root Cause / evidence gap",IF(AND(I1351="Fail",V1351=""),"Assign team","OK"))))))))</f>
        <v/>
      </c>
    </row>
    <row r="1352">
      <c r="A1352" s="5" t="n"/>
      <c r="B1352" s="5" t="n"/>
      <c r="C1352" s="5" t="n"/>
      <c r="D1352" s="5" t="n"/>
      <c r="E1352" s="5" t="n"/>
      <c r="F1352" s="5" t="n"/>
      <c r="G1352" s="5" t="n"/>
      <c r="H1352" s="5" t="n"/>
      <c r="I1352" s="5" t="n"/>
      <c r="J1352" s="5" t="n"/>
      <c r="K1352" s="5" t="n"/>
      <c r="L1352" s="5" t="n"/>
      <c r="M1352" s="5" t="n"/>
      <c r="N1352" s="5" t="n"/>
      <c r="O1352" s="5" t="n"/>
      <c r="P1352" s="5" t="n"/>
      <c r="Q1352" s="5" t="n"/>
      <c r="R1352" s="5" t="n"/>
      <c r="S1352" s="5" t="n"/>
      <c r="T1352" s="5" t="n"/>
      <c r="U1352" s="5" t="n"/>
      <c r="V1352" s="5" t="n"/>
      <c r="W1352" s="5" t="n"/>
      <c r="X1352" s="5" t="n"/>
      <c r="Y1352" s="5">
        <f>IF(I1352="","",IF(AND(I1352="Fail",K1352=""),"Classify Issue Source",IF(AND(I1352="Fail",W1352=""),"Set Confidence",IF(AND(K1352="Unknown",W1352&lt;&gt;"Low"),"Unknown must be Low confidence",IF(AND(OR(K1352="Backend",K1352="SAP"),N1352=""),"Add HTTP status + endpoint",IF(AND(OR(K1352="Backend",K1352="SAP",K1352="Network"),P1352=""),"Add Correlation ID",IF(AND(I1352="Fail",T1352=""),"Write Root Cause / evidence gap",IF(AND(I1352="Fail",V1352=""),"Assign team","OK"))))))))</f>
        <v/>
      </c>
    </row>
    <row r="1353">
      <c r="A1353" s="5" t="n"/>
      <c r="B1353" s="5" t="n"/>
      <c r="C1353" s="5" t="n"/>
      <c r="D1353" s="5" t="n"/>
      <c r="E1353" s="5" t="n"/>
      <c r="F1353" s="5" t="n"/>
      <c r="G1353" s="5" t="n"/>
      <c r="H1353" s="5" t="n"/>
      <c r="I1353" s="5" t="n"/>
      <c r="J1353" s="5" t="n"/>
      <c r="K1353" s="5" t="n"/>
      <c r="L1353" s="5" t="n"/>
      <c r="M1353" s="5" t="n"/>
      <c r="N1353" s="5" t="n"/>
      <c r="O1353" s="5" t="n"/>
      <c r="P1353" s="5" t="n"/>
      <c r="Q1353" s="5" t="n"/>
      <c r="R1353" s="5" t="n"/>
      <c r="S1353" s="5" t="n"/>
      <c r="T1353" s="5" t="n"/>
      <c r="U1353" s="5" t="n"/>
      <c r="V1353" s="5" t="n"/>
      <c r="W1353" s="5" t="n"/>
      <c r="X1353" s="5" t="n"/>
      <c r="Y1353" s="5">
        <f>IF(I1353="","",IF(AND(I1353="Fail",K1353=""),"Classify Issue Source",IF(AND(I1353="Fail",W1353=""),"Set Confidence",IF(AND(K1353="Unknown",W1353&lt;&gt;"Low"),"Unknown must be Low confidence",IF(AND(OR(K1353="Backend",K1353="SAP"),N1353=""),"Add HTTP status + endpoint",IF(AND(OR(K1353="Backend",K1353="SAP",K1353="Network"),P1353=""),"Add Correlation ID",IF(AND(I1353="Fail",T1353=""),"Write Root Cause / evidence gap",IF(AND(I1353="Fail",V1353=""),"Assign team","OK"))))))))</f>
        <v/>
      </c>
    </row>
    <row r="1354">
      <c r="A1354" s="5" t="n"/>
      <c r="B1354" s="5" t="n"/>
      <c r="C1354" s="5" t="n"/>
      <c r="D1354" s="5" t="n"/>
      <c r="E1354" s="5" t="n"/>
      <c r="F1354" s="5" t="n"/>
      <c r="G1354" s="5" t="n"/>
      <c r="H1354" s="5" t="n"/>
      <c r="I1354" s="5" t="n"/>
      <c r="J1354" s="5" t="n"/>
      <c r="K1354" s="5" t="n"/>
      <c r="L1354" s="5" t="n"/>
      <c r="M1354" s="5" t="n"/>
      <c r="N1354" s="5" t="n"/>
      <c r="O1354" s="5" t="n"/>
      <c r="P1354" s="5" t="n"/>
      <c r="Q1354" s="5" t="n"/>
      <c r="R1354" s="5" t="n"/>
      <c r="S1354" s="5" t="n"/>
      <c r="T1354" s="5" t="n"/>
      <c r="U1354" s="5" t="n"/>
      <c r="V1354" s="5" t="n"/>
      <c r="W1354" s="5" t="n"/>
      <c r="X1354" s="5" t="n"/>
      <c r="Y1354" s="5">
        <f>IF(I1354="","",IF(AND(I1354="Fail",K1354=""),"Classify Issue Source",IF(AND(I1354="Fail",W1354=""),"Set Confidence",IF(AND(K1354="Unknown",W1354&lt;&gt;"Low"),"Unknown must be Low confidence",IF(AND(OR(K1354="Backend",K1354="SAP"),N1354=""),"Add HTTP status + endpoint",IF(AND(OR(K1354="Backend",K1354="SAP",K1354="Network"),P1354=""),"Add Correlation ID",IF(AND(I1354="Fail",T1354=""),"Write Root Cause / evidence gap",IF(AND(I1354="Fail",V1354=""),"Assign team","OK"))))))))</f>
        <v/>
      </c>
    </row>
    <row r="1355">
      <c r="A1355" s="5" t="n"/>
      <c r="B1355" s="5" t="n"/>
      <c r="C1355" s="5" t="n"/>
      <c r="D1355" s="5" t="n"/>
      <c r="E1355" s="5" t="n"/>
      <c r="F1355" s="5" t="n"/>
      <c r="G1355" s="5" t="n"/>
      <c r="H1355" s="5" t="n"/>
      <c r="I1355" s="5" t="n"/>
      <c r="J1355" s="5" t="n"/>
      <c r="K1355" s="5" t="n"/>
      <c r="L1355" s="5" t="n"/>
      <c r="M1355" s="5" t="n"/>
      <c r="N1355" s="5" t="n"/>
      <c r="O1355" s="5" t="n"/>
      <c r="P1355" s="5" t="n"/>
      <c r="Q1355" s="5" t="n"/>
      <c r="R1355" s="5" t="n"/>
      <c r="S1355" s="5" t="n"/>
      <c r="T1355" s="5" t="n"/>
      <c r="U1355" s="5" t="n"/>
      <c r="V1355" s="5" t="n"/>
      <c r="W1355" s="5" t="n"/>
      <c r="X1355" s="5" t="n"/>
      <c r="Y1355" s="5">
        <f>IF(I1355="","",IF(AND(I1355="Fail",K1355=""),"Classify Issue Source",IF(AND(I1355="Fail",W1355=""),"Set Confidence",IF(AND(K1355="Unknown",W1355&lt;&gt;"Low"),"Unknown must be Low confidence",IF(AND(OR(K1355="Backend",K1355="SAP"),N1355=""),"Add HTTP status + endpoint",IF(AND(OR(K1355="Backend",K1355="SAP",K1355="Network"),P1355=""),"Add Correlation ID",IF(AND(I1355="Fail",T1355=""),"Write Root Cause / evidence gap",IF(AND(I1355="Fail",V1355=""),"Assign team","OK"))))))))</f>
        <v/>
      </c>
    </row>
    <row r="1356">
      <c r="A1356" s="5" t="n"/>
      <c r="B1356" s="5" t="n"/>
      <c r="C1356" s="5" t="n"/>
      <c r="D1356" s="5" t="n"/>
      <c r="E1356" s="5" t="n"/>
      <c r="F1356" s="5" t="n"/>
      <c r="G1356" s="5" t="n"/>
      <c r="H1356" s="5" t="n"/>
      <c r="I1356" s="5" t="n"/>
      <c r="J1356" s="5" t="n"/>
      <c r="K1356" s="5" t="n"/>
      <c r="L1356" s="5" t="n"/>
      <c r="M1356" s="5" t="n"/>
      <c r="N1356" s="5" t="n"/>
      <c r="O1356" s="5" t="n"/>
      <c r="P1356" s="5" t="n"/>
      <c r="Q1356" s="5" t="n"/>
      <c r="R1356" s="5" t="n"/>
      <c r="S1356" s="5" t="n"/>
      <c r="T1356" s="5" t="n"/>
      <c r="U1356" s="5" t="n"/>
      <c r="V1356" s="5" t="n"/>
      <c r="W1356" s="5" t="n"/>
      <c r="X1356" s="5" t="n"/>
      <c r="Y1356" s="5">
        <f>IF(I1356="","",IF(AND(I1356="Fail",K1356=""),"Classify Issue Source",IF(AND(I1356="Fail",W1356=""),"Set Confidence",IF(AND(K1356="Unknown",W1356&lt;&gt;"Low"),"Unknown must be Low confidence",IF(AND(OR(K1356="Backend",K1356="SAP"),N1356=""),"Add HTTP status + endpoint",IF(AND(OR(K1356="Backend",K1356="SAP",K1356="Network"),P1356=""),"Add Correlation ID",IF(AND(I1356="Fail",T1356=""),"Write Root Cause / evidence gap",IF(AND(I1356="Fail",V1356=""),"Assign team","OK"))))))))</f>
        <v/>
      </c>
    </row>
    <row r="1357">
      <c r="A1357" s="5" t="n"/>
      <c r="B1357" s="5" t="n"/>
      <c r="C1357" s="5" t="n"/>
      <c r="D1357" s="5" t="n"/>
      <c r="E1357" s="5" t="n"/>
      <c r="F1357" s="5" t="n"/>
      <c r="G1357" s="5" t="n"/>
      <c r="H1357" s="5" t="n"/>
      <c r="I1357" s="5" t="n"/>
      <c r="J1357" s="5" t="n"/>
      <c r="K1357" s="5" t="n"/>
      <c r="L1357" s="5" t="n"/>
      <c r="M1357" s="5" t="n"/>
      <c r="N1357" s="5" t="n"/>
      <c r="O1357" s="5" t="n"/>
      <c r="P1357" s="5" t="n"/>
      <c r="Q1357" s="5" t="n"/>
      <c r="R1357" s="5" t="n"/>
      <c r="S1357" s="5" t="n"/>
      <c r="T1357" s="5" t="n"/>
      <c r="U1357" s="5" t="n"/>
      <c r="V1357" s="5" t="n"/>
      <c r="W1357" s="5" t="n"/>
      <c r="X1357" s="5" t="n"/>
      <c r="Y1357" s="5">
        <f>IF(I1357="","",IF(AND(I1357="Fail",K1357=""),"Classify Issue Source",IF(AND(I1357="Fail",W1357=""),"Set Confidence",IF(AND(K1357="Unknown",W1357&lt;&gt;"Low"),"Unknown must be Low confidence",IF(AND(OR(K1357="Backend",K1357="SAP"),N1357=""),"Add HTTP status + endpoint",IF(AND(OR(K1357="Backend",K1357="SAP",K1357="Network"),P1357=""),"Add Correlation ID",IF(AND(I1357="Fail",T1357=""),"Write Root Cause / evidence gap",IF(AND(I1357="Fail",V1357=""),"Assign team","OK"))))))))</f>
        <v/>
      </c>
    </row>
    <row r="1358">
      <c r="A1358" s="5" t="n"/>
      <c r="B1358" s="5" t="n"/>
      <c r="C1358" s="5" t="n"/>
      <c r="D1358" s="5" t="n"/>
      <c r="E1358" s="5" t="n"/>
      <c r="F1358" s="5" t="n"/>
      <c r="G1358" s="5" t="n"/>
      <c r="H1358" s="5" t="n"/>
      <c r="I1358" s="5" t="n"/>
      <c r="J1358" s="5" t="n"/>
      <c r="K1358" s="5" t="n"/>
      <c r="L1358" s="5" t="n"/>
      <c r="M1358" s="5" t="n"/>
      <c r="N1358" s="5" t="n"/>
      <c r="O1358" s="5" t="n"/>
      <c r="P1358" s="5" t="n"/>
      <c r="Q1358" s="5" t="n"/>
      <c r="R1358" s="5" t="n"/>
      <c r="S1358" s="5" t="n"/>
      <c r="T1358" s="5" t="n"/>
      <c r="U1358" s="5" t="n"/>
      <c r="V1358" s="5" t="n"/>
      <c r="W1358" s="5" t="n"/>
      <c r="X1358" s="5" t="n"/>
      <c r="Y1358" s="5">
        <f>IF(I1358="","",IF(AND(I1358="Fail",K1358=""),"Classify Issue Source",IF(AND(I1358="Fail",W1358=""),"Set Confidence",IF(AND(K1358="Unknown",W1358&lt;&gt;"Low"),"Unknown must be Low confidence",IF(AND(OR(K1358="Backend",K1358="SAP"),N1358=""),"Add HTTP status + endpoint",IF(AND(OR(K1358="Backend",K1358="SAP",K1358="Network"),P1358=""),"Add Correlation ID",IF(AND(I1358="Fail",T1358=""),"Write Root Cause / evidence gap",IF(AND(I1358="Fail",V1358=""),"Assign team","OK"))))))))</f>
        <v/>
      </c>
    </row>
    <row r="1359">
      <c r="A1359" s="5" t="n"/>
      <c r="B1359" s="5" t="n"/>
      <c r="C1359" s="5" t="n"/>
      <c r="D1359" s="5" t="n"/>
      <c r="E1359" s="5" t="n"/>
      <c r="F1359" s="5" t="n"/>
      <c r="G1359" s="5" t="n"/>
      <c r="H1359" s="5" t="n"/>
      <c r="I1359" s="5" t="n"/>
      <c r="J1359" s="5" t="n"/>
      <c r="K1359" s="5" t="n"/>
      <c r="L1359" s="5" t="n"/>
      <c r="M1359" s="5" t="n"/>
      <c r="N1359" s="5" t="n"/>
      <c r="O1359" s="5" t="n"/>
      <c r="P1359" s="5" t="n"/>
      <c r="Q1359" s="5" t="n"/>
      <c r="R1359" s="5" t="n"/>
      <c r="S1359" s="5" t="n"/>
      <c r="T1359" s="5" t="n"/>
      <c r="U1359" s="5" t="n"/>
      <c r="V1359" s="5" t="n"/>
      <c r="W1359" s="5" t="n"/>
      <c r="X1359" s="5" t="n"/>
      <c r="Y1359" s="5">
        <f>IF(I1359="","",IF(AND(I1359="Fail",K1359=""),"Classify Issue Source",IF(AND(I1359="Fail",W1359=""),"Set Confidence",IF(AND(K1359="Unknown",W1359&lt;&gt;"Low"),"Unknown must be Low confidence",IF(AND(OR(K1359="Backend",K1359="SAP"),N1359=""),"Add HTTP status + endpoint",IF(AND(OR(K1359="Backend",K1359="SAP",K1359="Network"),P1359=""),"Add Correlation ID",IF(AND(I1359="Fail",T1359=""),"Write Root Cause / evidence gap",IF(AND(I1359="Fail",V1359=""),"Assign team","OK"))))))))</f>
        <v/>
      </c>
    </row>
    <row r="1360">
      <c r="A1360" s="5" t="n"/>
      <c r="B1360" s="5" t="n"/>
      <c r="C1360" s="5" t="n"/>
      <c r="D1360" s="5" t="n"/>
      <c r="E1360" s="5" t="n"/>
      <c r="F1360" s="5" t="n"/>
      <c r="G1360" s="5" t="n"/>
      <c r="H1360" s="5" t="n"/>
      <c r="I1360" s="5" t="n"/>
      <c r="J1360" s="5" t="n"/>
      <c r="K1360" s="5" t="n"/>
      <c r="L1360" s="5" t="n"/>
      <c r="M1360" s="5" t="n"/>
      <c r="N1360" s="5" t="n"/>
      <c r="O1360" s="5" t="n"/>
      <c r="P1360" s="5" t="n"/>
      <c r="Q1360" s="5" t="n"/>
      <c r="R1360" s="5" t="n"/>
      <c r="S1360" s="5" t="n"/>
      <c r="T1360" s="5" t="n"/>
      <c r="U1360" s="5" t="n"/>
      <c r="V1360" s="5" t="n"/>
      <c r="W1360" s="5" t="n"/>
      <c r="X1360" s="5" t="n"/>
      <c r="Y1360" s="5">
        <f>IF(I1360="","",IF(AND(I1360="Fail",K1360=""),"Classify Issue Source",IF(AND(I1360="Fail",W1360=""),"Set Confidence",IF(AND(K1360="Unknown",W1360&lt;&gt;"Low"),"Unknown must be Low confidence",IF(AND(OR(K1360="Backend",K1360="SAP"),N1360=""),"Add HTTP status + endpoint",IF(AND(OR(K1360="Backend",K1360="SAP",K1360="Network"),P1360=""),"Add Correlation ID",IF(AND(I1360="Fail",T1360=""),"Write Root Cause / evidence gap",IF(AND(I1360="Fail",V1360=""),"Assign team","OK"))))))))</f>
        <v/>
      </c>
    </row>
    <row r="1361">
      <c r="A1361" s="5" t="n"/>
      <c r="B1361" s="5" t="n"/>
      <c r="C1361" s="5" t="n"/>
      <c r="D1361" s="5" t="n"/>
      <c r="E1361" s="5" t="n"/>
      <c r="F1361" s="5" t="n"/>
      <c r="G1361" s="5" t="n"/>
      <c r="H1361" s="5" t="n"/>
      <c r="I1361" s="5" t="n"/>
      <c r="J1361" s="5" t="n"/>
      <c r="K1361" s="5" t="n"/>
      <c r="L1361" s="5" t="n"/>
      <c r="M1361" s="5" t="n"/>
      <c r="N1361" s="5" t="n"/>
      <c r="O1361" s="5" t="n"/>
      <c r="P1361" s="5" t="n"/>
      <c r="Q1361" s="5" t="n"/>
      <c r="R1361" s="5" t="n"/>
      <c r="S1361" s="5" t="n"/>
      <c r="T1361" s="5" t="n"/>
      <c r="U1361" s="5" t="n"/>
      <c r="V1361" s="5" t="n"/>
      <c r="W1361" s="5" t="n"/>
      <c r="X1361" s="5" t="n"/>
      <c r="Y1361" s="5">
        <f>IF(I1361="","",IF(AND(I1361="Fail",K1361=""),"Classify Issue Source",IF(AND(I1361="Fail",W1361=""),"Set Confidence",IF(AND(K1361="Unknown",W1361&lt;&gt;"Low"),"Unknown must be Low confidence",IF(AND(OR(K1361="Backend",K1361="SAP"),N1361=""),"Add HTTP status + endpoint",IF(AND(OR(K1361="Backend",K1361="SAP",K1361="Network"),P1361=""),"Add Correlation ID",IF(AND(I1361="Fail",T1361=""),"Write Root Cause / evidence gap",IF(AND(I1361="Fail",V1361=""),"Assign team","OK"))))))))</f>
        <v/>
      </c>
    </row>
    <row r="1362">
      <c r="A1362" s="5" t="n"/>
      <c r="B1362" s="5" t="n"/>
      <c r="C1362" s="5" t="n"/>
      <c r="D1362" s="5" t="n"/>
      <c r="E1362" s="5" t="n"/>
      <c r="F1362" s="5" t="n"/>
      <c r="G1362" s="5" t="n"/>
      <c r="H1362" s="5" t="n"/>
      <c r="I1362" s="5" t="n"/>
      <c r="J1362" s="5" t="n"/>
      <c r="K1362" s="5" t="n"/>
      <c r="L1362" s="5" t="n"/>
      <c r="M1362" s="5" t="n"/>
      <c r="N1362" s="5" t="n"/>
      <c r="O1362" s="5" t="n"/>
      <c r="P1362" s="5" t="n"/>
      <c r="Q1362" s="5" t="n"/>
      <c r="R1362" s="5" t="n"/>
      <c r="S1362" s="5" t="n"/>
      <c r="T1362" s="5" t="n"/>
      <c r="U1362" s="5" t="n"/>
      <c r="V1362" s="5" t="n"/>
      <c r="W1362" s="5" t="n"/>
      <c r="X1362" s="5" t="n"/>
      <c r="Y1362" s="5">
        <f>IF(I1362="","",IF(AND(I1362="Fail",K1362=""),"Classify Issue Source",IF(AND(I1362="Fail",W1362=""),"Set Confidence",IF(AND(K1362="Unknown",W1362&lt;&gt;"Low"),"Unknown must be Low confidence",IF(AND(OR(K1362="Backend",K1362="SAP"),N1362=""),"Add HTTP status + endpoint",IF(AND(OR(K1362="Backend",K1362="SAP",K1362="Network"),P1362=""),"Add Correlation ID",IF(AND(I1362="Fail",T1362=""),"Write Root Cause / evidence gap",IF(AND(I1362="Fail",V1362=""),"Assign team","OK"))))))))</f>
        <v/>
      </c>
    </row>
    <row r="1363">
      <c r="A1363" s="5" t="n"/>
      <c r="B1363" s="5" t="n"/>
      <c r="C1363" s="5" t="n"/>
      <c r="D1363" s="5" t="n"/>
      <c r="E1363" s="5" t="n"/>
      <c r="F1363" s="5" t="n"/>
      <c r="G1363" s="5" t="n"/>
      <c r="H1363" s="5" t="n"/>
      <c r="I1363" s="5" t="n"/>
      <c r="J1363" s="5" t="n"/>
      <c r="K1363" s="5" t="n"/>
      <c r="L1363" s="5" t="n"/>
      <c r="M1363" s="5" t="n"/>
      <c r="N1363" s="5" t="n"/>
      <c r="O1363" s="5" t="n"/>
      <c r="P1363" s="5" t="n"/>
      <c r="Q1363" s="5" t="n"/>
      <c r="R1363" s="5" t="n"/>
      <c r="S1363" s="5" t="n"/>
      <c r="T1363" s="5" t="n"/>
      <c r="U1363" s="5" t="n"/>
      <c r="V1363" s="5" t="n"/>
      <c r="W1363" s="5" t="n"/>
      <c r="X1363" s="5" t="n"/>
      <c r="Y1363" s="5">
        <f>IF(I1363="","",IF(AND(I1363="Fail",K1363=""),"Classify Issue Source",IF(AND(I1363="Fail",W1363=""),"Set Confidence",IF(AND(K1363="Unknown",W1363&lt;&gt;"Low"),"Unknown must be Low confidence",IF(AND(OR(K1363="Backend",K1363="SAP"),N1363=""),"Add HTTP status + endpoint",IF(AND(OR(K1363="Backend",K1363="SAP",K1363="Network"),P1363=""),"Add Correlation ID",IF(AND(I1363="Fail",T1363=""),"Write Root Cause / evidence gap",IF(AND(I1363="Fail",V1363=""),"Assign team","OK"))))))))</f>
        <v/>
      </c>
    </row>
    <row r="1364">
      <c r="A1364" s="5" t="n"/>
      <c r="B1364" s="5" t="n"/>
      <c r="C1364" s="5" t="n"/>
      <c r="D1364" s="5" t="n"/>
      <c r="E1364" s="5" t="n"/>
      <c r="F1364" s="5" t="n"/>
      <c r="G1364" s="5" t="n"/>
      <c r="H1364" s="5" t="n"/>
      <c r="I1364" s="5" t="n"/>
      <c r="J1364" s="5" t="n"/>
      <c r="K1364" s="5" t="n"/>
      <c r="L1364" s="5" t="n"/>
      <c r="M1364" s="5" t="n"/>
      <c r="N1364" s="5" t="n"/>
      <c r="O1364" s="5" t="n"/>
      <c r="P1364" s="5" t="n"/>
      <c r="Q1364" s="5" t="n"/>
      <c r="R1364" s="5" t="n"/>
      <c r="S1364" s="5" t="n"/>
      <c r="T1364" s="5" t="n"/>
      <c r="U1364" s="5" t="n"/>
      <c r="V1364" s="5" t="n"/>
      <c r="W1364" s="5" t="n"/>
      <c r="X1364" s="5" t="n"/>
      <c r="Y1364" s="5">
        <f>IF(I1364="","",IF(AND(I1364="Fail",K1364=""),"Classify Issue Source",IF(AND(I1364="Fail",W1364=""),"Set Confidence",IF(AND(K1364="Unknown",W1364&lt;&gt;"Low"),"Unknown must be Low confidence",IF(AND(OR(K1364="Backend",K1364="SAP"),N1364=""),"Add HTTP status + endpoint",IF(AND(OR(K1364="Backend",K1364="SAP",K1364="Network"),P1364=""),"Add Correlation ID",IF(AND(I1364="Fail",T1364=""),"Write Root Cause / evidence gap",IF(AND(I1364="Fail",V1364=""),"Assign team","OK"))))))))</f>
        <v/>
      </c>
    </row>
    <row r="1365">
      <c r="A1365" s="5" t="n"/>
      <c r="B1365" s="5" t="n"/>
      <c r="C1365" s="5" t="n"/>
      <c r="D1365" s="5" t="n"/>
      <c r="E1365" s="5" t="n"/>
      <c r="F1365" s="5" t="n"/>
      <c r="G1365" s="5" t="n"/>
      <c r="H1365" s="5" t="n"/>
      <c r="I1365" s="5" t="n"/>
      <c r="J1365" s="5" t="n"/>
      <c r="K1365" s="5" t="n"/>
      <c r="L1365" s="5" t="n"/>
      <c r="M1365" s="5" t="n"/>
      <c r="N1365" s="5" t="n"/>
      <c r="O1365" s="5" t="n"/>
      <c r="P1365" s="5" t="n"/>
      <c r="Q1365" s="5" t="n"/>
      <c r="R1365" s="5" t="n"/>
      <c r="S1365" s="5" t="n"/>
      <c r="T1365" s="5" t="n"/>
      <c r="U1365" s="5" t="n"/>
      <c r="V1365" s="5" t="n"/>
      <c r="W1365" s="5" t="n"/>
      <c r="X1365" s="5" t="n"/>
      <c r="Y1365" s="5">
        <f>IF(I1365="","",IF(AND(I1365="Fail",K1365=""),"Classify Issue Source",IF(AND(I1365="Fail",W1365=""),"Set Confidence",IF(AND(K1365="Unknown",W1365&lt;&gt;"Low"),"Unknown must be Low confidence",IF(AND(OR(K1365="Backend",K1365="SAP"),N1365=""),"Add HTTP status + endpoint",IF(AND(OR(K1365="Backend",K1365="SAP",K1365="Network"),P1365=""),"Add Correlation ID",IF(AND(I1365="Fail",T1365=""),"Write Root Cause / evidence gap",IF(AND(I1365="Fail",V1365=""),"Assign team","OK"))))))))</f>
        <v/>
      </c>
    </row>
    <row r="1366">
      <c r="A1366" s="5" t="n"/>
      <c r="B1366" s="5" t="n"/>
      <c r="C1366" s="5" t="n"/>
      <c r="D1366" s="5" t="n"/>
      <c r="E1366" s="5" t="n"/>
      <c r="F1366" s="5" t="n"/>
      <c r="G1366" s="5" t="n"/>
      <c r="H1366" s="5" t="n"/>
      <c r="I1366" s="5" t="n"/>
      <c r="J1366" s="5" t="n"/>
      <c r="K1366" s="5" t="n"/>
      <c r="L1366" s="5" t="n"/>
      <c r="M1366" s="5" t="n"/>
      <c r="N1366" s="5" t="n"/>
      <c r="O1366" s="5" t="n"/>
      <c r="P1366" s="5" t="n"/>
      <c r="Q1366" s="5" t="n"/>
      <c r="R1366" s="5" t="n"/>
      <c r="S1366" s="5" t="n"/>
      <c r="T1366" s="5" t="n"/>
      <c r="U1366" s="5" t="n"/>
      <c r="V1366" s="5" t="n"/>
      <c r="W1366" s="5" t="n"/>
      <c r="X1366" s="5" t="n"/>
      <c r="Y1366" s="5">
        <f>IF(I1366="","",IF(AND(I1366="Fail",K1366=""),"Classify Issue Source",IF(AND(I1366="Fail",W1366=""),"Set Confidence",IF(AND(K1366="Unknown",W1366&lt;&gt;"Low"),"Unknown must be Low confidence",IF(AND(OR(K1366="Backend",K1366="SAP"),N1366=""),"Add HTTP status + endpoint",IF(AND(OR(K1366="Backend",K1366="SAP",K1366="Network"),P1366=""),"Add Correlation ID",IF(AND(I1366="Fail",T1366=""),"Write Root Cause / evidence gap",IF(AND(I1366="Fail",V1366=""),"Assign team","OK"))))))))</f>
        <v/>
      </c>
    </row>
    <row r="1367">
      <c r="A1367" s="5" t="n"/>
      <c r="B1367" s="5" t="n"/>
      <c r="C1367" s="5" t="n"/>
      <c r="D1367" s="5" t="n"/>
      <c r="E1367" s="5" t="n"/>
      <c r="F1367" s="5" t="n"/>
      <c r="G1367" s="5" t="n"/>
      <c r="H1367" s="5" t="n"/>
      <c r="I1367" s="5" t="n"/>
      <c r="J1367" s="5" t="n"/>
      <c r="K1367" s="5" t="n"/>
      <c r="L1367" s="5" t="n"/>
      <c r="M1367" s="5" t="n"/>
      <c r="N1367" s="5" t="n"/>
      <c r="O1367" s="5" t="n"/>
      <c r="P1367" s="5" t="n"/>
      <c r="Q1367" s="5" t="n"/>
      <c r="R1367" s="5" t="n"/>
      <c r="S1367" s="5" t="n"/>
      <c r="T1367" s="5" t="n"/>
      <c r="U1367" s="5" t="n"/>
      <c r="V1367" s="5" t="n"/>
      <c r="W1367" s="5" t="n"/>
      <c r="X1367" s="5" t="n"/>
      <c r="Y1367" s="5">
        <f>IF(I1367="","",IF(AND(I1367="Fail",K1367=""),"Classify Issue Source",IF(AND(I1367="Fail",W1367=""),"Set Confidence",IF(AND(K1367="Unknown",W1367&lt;&gt;"Low"),"Unknown must be Low confidence",IF(AND(OR(K1367="Backend",K1367="SAP"),N1367=""),"Add HTTP status + endpoint",IF(AND(OR(K1367="Backend",K1367="SAP",K1367="Network"),P1367=""),"Add Correlation ID",IF(AND(I1367="Fail",T1367=""),"Write Root Cause / evidence gap",IF(AND(I1367="Fail",V1367=""),"Assign team","OK"))))))))</f>
        <v/>
      </c>
    </row>
    <row r="1368">
      <c r="A1368" s="5" t="n"/>
      <c r="B1368" s="5" t="n"/>
      <c r="C1368" s="5" t="n"/>
      <c r="D1368" s="5" t="n"/>
      <c r="E1368" s="5" t="n"/>
      <c r="F1368" s="5" t="n"/>
      <c r="G1368" s="5" t="n"/>
      <c r="H1368" s="5" t="n"/>
      <c r="I1368" s="5" t="n"/>
      <c r="J1368" s="5" t="n"/>
      <c r="K1368" s="5" t="n"/>
      <c r="L1368" s="5" t="n"/>
      <c r="M1368" s="5" t="n"/>
      <c r="N1368" s="5" t="n"/>
      <c r="O1368" s="5" t="n"/>
      <c r="P1368" s="5" t="n"/>
      <c r="Q1368" s="5" t="n"/>
      <c r="R1368" s="5" t="n"/>
      <c r="S1368" s="5" t="n"/>
      <c r="T1368" s="5" t="n"/>
      <c r="U1368" s="5" t="n"/>
      <c r="V1368" s="5" t="n"/>
      <c r="W1368" s="5" t="n"/>
      <c r="X1368" s="5" t="n"/>
      <c r="Y1368" s="5">
        <f>IF(I1368="","",IF(AND(I1368="Fail",K1368=""),"Classify Issue Source",IF(AND(I1368="Fail",W1368=""),"Set Confidence",IF(AND(K1368="Unknown",W1368&lt;&gt;"Low"),"Unknown must be Low confidence",IF(AND(OR(K1368="Backend",K1368="SAP"),N1368=""),"Add HTTP status + endpoint",IF(AND(OR(K1368="Backend",K1368="SAP",K1368="Network"),P1368=""),"Add Correlation ID",IF(AND(I1368="Fail",T1368=""),"Write Root Cause / evidence gap",IF(AND(I1368="Fail",V1368=""),"Assign team","OK"))))))))</f>
        <v/>
      </c>
    </row>
    <row r="1369">
      <c r="A1369" s="5" t="n"/>
      <c r="B1369" s="5" t="n"/>
      <c r="C1369" s="5" t="n"/>
      <c r="D1369" s="5" t="n"/>
      <c r="E1369" s="5" t="n"/>
      <c r="F1369" s="5" t="n"/>
      <c r="G1369" s="5" t="n"/>
      <c r="H1369" s="5" t="n"/>
      <c r="I1369" s="5" t="n"/>
      <c r="J1369" s="5" t="n"/>
      <c r="K1369" s="5" t="n"/>
      <c r="L1369" s="5" t="n"/>
      <c r="M1369" s="5" t="n"/>
      <c r="N1369" s="5" t="n"/>
      <c r="O1369" s="5" t="n"/>
      <c r="P1369" s="5" t="n"/>
      <c r="Q1369" s="5" t="n"/>
      <c r="R1369" s="5" t="n"/>
      <c r="S1369" s="5" t="n"/>
      <c r="T1369" s="5" t="n"/>
      <c r="U1369" s="5" t="n"/>
      <c r="V1369" s="5" t="n"/>
      <c r="W1369" s="5" t="n"/>
      <c r="X1369" s="5" t="n"/>
      <c r="Y1369" s="5">
        <f>IF(I1369="","",IF(AND(I1369="Fail",K1369=""),"Classify Issue Source",IF(AND(I1369="Fail",W1369=""),"Set Confidence",IF(AND(K1369="Unknown",W1369&lt;&gt;"Low"),"Unknown must be Low confidence",IF(AND(OR(K1369="Backend",K1369="SAP"),N1369=""),"Add HTTP status + endpoint",IF(AND(OR(K1369="Backend",K1369="SAP",K1369="Network"),P1369=""),"Add Correlation ID",IF(AND(I1369="Fail",T1369=""),"Write Root Cause / evidence gap",IF(AND(I1369="Fail",V1369=""),"Assign team","OK"))))))))</f>
        <v/>
      </c>
    </row>
    <row r="1370">
      <c r="A1370" s="5" t="n"/>
      <c r="B1370" s="5" t="n"/>
      <c r="C1370" s="5" t="n"/>
      <c r="D1370" s="5" t="n"/>
      <c r="E1370" s="5" t="n"/>
      <c r="F1370" s="5" t="n"/>
      <c r="G1370" s="5" t="n"/>
      <c r="H1370" s="5" t="n"/>
      <c r="I1370" s="5" t="n"/>
      <c r="J1370" s="5" t="n"/>
      <c r="K1370" s="5" t="n"/>
      <c r="L1370" s="5" t="n"/>
      <c r="M1370" s="5" t="n"/>
      <c r="N1370" s="5" t="n"/>
      <c r="O1370" s="5" t="n"/>
      <c r="P1370" s="5" t="n"/>
      <c r="Q1370" s="5" t="n"/>
      <c r="R1370" s="5" t="n"/>
      <c r="S1370" s="5" t="n"/>
      <c r="T1370" s="5" t="n"/>
      <c r="U1370" s="5" t="n"/>
      <c r="V1370" s="5" t="n"/>
      <c r="W1370" s="5" t="n"/>
      <c r="X1370" s="5" t="n"/>
      <c r="Y1370" s="5">
        <f>IF(I1370="","",IF(AND(I1370="Fail",K1370=""),"Classify Issue Source",IF(AND(I1370="Fail",W1370=""),"Set Confidence",IF(AND(K1370="Unknown",W1370&lt;&gt;"Low"),"Unknown must be Low confidence",IF(AND(OR(K1370="Backend",K1370="SAP"),N1370=""),"Add HTTP status + endpoint",IF(AND(OR(K1370="Backend",K1370="SAP",K1370="Network"),P1370=""),"Add Correlation ID",IF(AND(I1370="Fail",T1370=""),"Write Root Cause / evidence gap",IF(AND(I1370="Fail",V1370=""),"Assign team","OK"))))))))</f>
        <v/>
      </c>
    </row>
    <row r="1371">
      <c r="A1371" s="5" t="n"/>
      <c r="B1371" s="5" t="n"/>
      <c r="C1371" s="5" t="n"/>
      <c r="D1371" s="5" t="n"/>
      <c r="E1371" s="5" t="n"/>
      <c r="F1371" s="5" t="n"/>
      <c r="G1371" s="5" t="n"/>
      <c r="H1371" s="5" t="n"/>
      <c r="I1371" s="5" t="n"/>
      <c r="J1371" s="5" t="n"/>
      <c r="K1371" s="5" t="n"/>
      <c r="L1371" s="5" t="n"/>
      <c r="M1371" s="5" t="n"/>
      <c r="N1371" s="5" t="n"/>
      <c r="O1371" s="5" t="n"/>
      <c r="P1371" s="5" t="n"/>
      <c r="Q1371" s="5" t="n"/>
      <c r="R1371" s="5" t="n"/>
      <c r="S1371" s="5" t="n"/>
      <c r="T1371" s="5" t="n"/>
      <c r="U1371" s="5" t="n"/>
      <c r="V1371" s="5" t="n"/>
      <c r="W1371" s="5" t="n"/>
      <c r="X1371" s="5" t="n"/>
      <c r="Y1371" s="5">
        <f>IF(I1371="","",IF(AND(I1371="Fail",K1371=""),"Classify Issue Source",IF(AND(I1371="Fail",W1371=""),"Set Confidence",IF(AND(K1371="Unknown",W1371&lt;&gt;"Low"),"Unknown must be Low confidence",IF(AND(OR(K1371="Backend",K1371="SAP"),N1371=""),"Add HTTP status + endpoint",IF(AND(OR(K1371="Backend",K1371="SAP",K1371="Network"),P1371=""),"Add Correlation ID",IF(AND(I1371="Fail",T1371=""),"Write Root Cause / evidence gap",IF(AND(I1371="Fail",V1371=""),"Assign team","OK"))))))))</f>
        <v/>
      </c>
    </row>
    <row r="1372">
      <c r="A1372" s="5" t="n"/>
      <c r="B1372" s="5" t="n"/>
      <c r="C1372" s="5" t="n"/>
      <c r="D1372" s="5" t="n"/>
      <c r="E1372" s="5" t="n"/>
      <c r="F1372" s="5" t="n"/>
      <c r="G1372" s="5" t="n"/>
      <c r="H1372" s="5" t="n"/>
      <c r="I1372" s="5" t="n"/>
      <c r="J1372" s="5" t="n"/>
      <c r="K1372" s="5" t="n"/>
      <c r="L1372" s="5" t="n"/>
      <c r="M1372" s="5" t="n"/>
      <c r="N1372" s="5" t="n"/>
      <c r="O1372" s="5" t="n"/>
      <c r="P1372" s="5" t="n"/>
      <c r="Q1372" s="5" t="n"/>
      <c r="R1372" s="5" t="n"/>
      <c r="S1372" s="5" t="n"/>
      <c r="T1372" s="5" t="n"/>
      <c r="U1372" s="5" t="n"/>
      <c r="V1372" s="5" t="n"/>
      <c r="W1372" s="5" t="n"/>
      <c r="X1372" s="5" t="n"/>
      <c r="Y1372" s="5">
        <f>IF(I1372="","",IF(AND(I1372="Fail",K1372=""),"Classify Issue Source",IF(AND(I1372="Fail",W1372=""),"Set Confidence",IF(AND(K1372="Unknown",W1372&lt;&gt;"Low"),"Unknown must be Low confidence",IF(AND(OR(K1372="Backend",K1372="SAP"),N1372=""),"Add HTTP status + endpoint",IF(AND(OR(K1372="Backend",K1372="SAP",K1372="Network"),P1372=""),"Add Correlation ID",IF(AND(I1372="Fail",T1372=""),"Write Root Cause / evidence gap",IF(AND(I1372="Fail",V1372=""),"Assign team","OK"))))))))</f>
        <v/>
      </c>
    </row>
    <row r="1373">
      <c r="A1373" s="5" t="n"/>
      <c r="B1373" s="5" t="n"/>
      <c r="C1373" s="5" t="n"/>
      <c r="D1373" s="5" t="n"/>
      <c r="E1373" s="5" t="n"/>
      <c r="F1373" s="5" t="n"/>
      <c r="G1373" s="5" t="n"/>
      <c r="H1373" s="5" t="n"/>
      <c r="I1373" s="5" t="n"/>
      <c r="J1373" s="5" t="n"/>
      <c r="K1373" s="5" t="n"/>
      <c r="L1373" s="5" t="n"/>
      <c r="M1373" s="5" t="n"/>
      <c r="N1373" s="5" t="n"/>
      <c r="O1373" s="5" t="n"/>
      <c r="P1373" s="5" t="n"/>
      <c r="Q1373" s="5" t="n"/>
      <c r="R1373" s="5" t="n"/>
      <c r="S1373" s="5" t="n"/>
      <c r="T1373" s="5" t="n"/>
      <c r="U1373" s="5" t="n"/>
      <c r="V1373" s="5" t="n"/>
      <c r="W1373" s="5" t="n"/>
      <c r="X1373" s="5" t="n"/>
      <c r="Y1373" s="5">
        <f>IF(I1373="","",IF(AND(I1373="Fail",K1373=""),"Classify Issue Source",IF(AND(I1373="Fail",W1373=""),"Set Confidence",IF(AND(K1373="Unknown",W1373&lt;&gt;"Low"),"Unknown must be Low confidence",IF(AND(OR(K1373="Backend",K1373="SAP"),N1373=""),"Add HTTP status + endpoint",IF(AND(OR(K1373="Backend",K1373="SAP",K1373="Network"),P1373=""),"Add Correlation ID",IF(AND(I1373="Fail",T1373=""),"Write Root Cause / evidence gap",IF(AND(I1373="Fail",V1373=""),"Assign team","OK"))))))))</f>
        <v/>
      </c>
    </row>
    <row r="1374">
      <c r="A1374" s="5" t="n"/>
      <c r="B1374" s="5" t="n"/>
      <c r="C1374" s="5" t="n"/>
      <c r="D1374" s="5" t="n"/>
      <c r="E1374" s="5" t="n"/>
      <c r="F1374" s="5" t="n"/>
      <c r="G1374" s="5" t="n"/>
      <c r="H1374" s="5" t="n"/>
      <c r="I1374" s="5" t="n"/>
      <c r="J1374" s="5" t="n"/>
      <c r="K1374" s="5" t="n"/>
      <c r="L1374" s="5" t="n"/>
      <c r="M1374" s="5" t="n"/>
      <c r="N1374" s="5" t="n"/>
      <c r="O1374" s="5" t="n"/>
      <c r="P1374" s="5" t="n"/>
      <c r="Q1374" s="5" t="n"/>
      <c r="R1374" s="5" t="n"/>
      <c r="S1374" s="5" t="n"/>
      <c r="T1374" s="5" t="n"/>
      <c r="U1374" s="5" t="n"/>
      <c r="V1374" s="5" t="n"/>
      <c r="W1374" s="5" t="n"/>
      <c r="X1374" s="5" t="n"/>
      <c r="Y1374" s="5">
        <f>IF(I1374="","",IF(AND(I1374="Fail",K1374=""),"Classify Issue Source",IF(AND(I1374="Fail",W1374=""),"Set Confidence",IF(AND(K1374="Unknown",W1374&lt;&gt;"Low"),"Unknown must be Low confidence",IF(AND(OR(K1374="Backend",K1374="SAP"),N1374=""),"Add HTTP status + endpoint",IF(AND(OR(K1374="Backend",K1374="SAP",K1374="Network"),P1374=""),"Add Correlation ID",IF(AND(I1374="Fail",T1374=""),"Write Root Cause / evidence gap",IF(AND(I1374="Fail",V1374=""),"Assign team","OK"))))))))</f>
        <v/>
      </c>
    </row>
    <row r="1375">
      <c r="A1375" s="5" t="n"/>
      <c r="B1375" s="5" t="n"/>
      <c r="C1375" s="5" t="n"/>
      <c r="D1375" s="5" t="n"/>
      <c r="E1375" s="5" t="n"/>
      <c r="F1375" s="5" t="n"/>
      <c r="G1375" s="5" t="n"/>
      <c r="H1375" s="5" t="n"/>
      <c r="I1375" s="5" t="n"/>
      <c r="J1375" s="5" t="n"/>
      <c r="K1375" s="5" t="n"/>
      <c r="L1375" s="5" t="n"/>
      <c r="M1375" s="5" t="n"/>
      <c r="N1375" s="5" t="n"/>
      <c r="O1375" s="5" t="n"/>
      <c r="P1375" s="5" t="n"/>
      <c r="Q1375" s="5" t="n"/>
      <c r="R1375" s="5" t="n"/>
      <c r="S1375" s="5" t="n"/>
      <c r="T1375" s="5" t="n"/>
      <c r="U1375" s="5" t="n"/>
      <c r="V1375" s="5" t="n"/>
      <c r="W1375" s="5" t="n"/>
      <c r="X1375" s="5" t="n"/>
      <c r="Y1375" s="5">
        <f>IF(I1375="","",IF(AND(I1375="Fail",K1375=""),"Classify Issue Source",IF(AND(I1375="Fail",W1375=""),"Set Confidence",IF(AND(K1375="Unknown",W1375&lt;&gt;"Low"),"Unknown must be Low confidence",IF(AND(OR(K1375="Backend",K1375="SAP"),N1375=""),"Add HTTP status + endpoint",IF(AND(OR(K1375="Backend",K1375="SAP",K1375="Network"),P1375=""),"Add Correlation ID",IF(AND(I1375="Fail",T1375=""),"Write Root Cause / evidence gap",IF(AND(I1375="Fail",V1375=""),"Assign team","OK"))))))))</f>
        <v/>
      </c>
    </row>
    <row r="1376">
      <c r="A1376" s="5" t="n"/>
      <c r="B1376" s="5" t="n"/>
      <c r="C1376" s="5" t="n"/>
      <c r="D1376" s="5" t="n"/>
      <c r="E1376" s="5" t="n"/>
      <c r="F1376" s="5" t="n"/>
      <c r="G1376" s="5" t="n"/>
      <c r="H1376" s="5" t="n"/>
      <c r="I1376" s="5" t="n"/>
      <c r="J1376" s="5" t="n"/>
      <c r="K1376" s="5" t="n"/>
      <c r="L1376" s="5" t="n"/>
      <c r="M1376" s="5" t="n"/>
      <c r="N1376" s="5" t="n"/>
      <c r="O1376" s="5" t="n"/>
      <c r="P1376" s="5" t="n"/>
      <c r="Q1376" s="5" t="n"/>
      <c r="R1376" s="5" t="n"/>
      <c r="S1376" s="5" t="n"/>
      <c r="T1376" s="5" t="n"/>
      <c r="U1376" s="5" t="n"/>
      <c r="V1376" s="5" t="n"/>
      <c r="W1376" s="5" t="n"/>
      <c r="X1376" s="5" t="n"/>
      <c r="Y1376" s="5">
        <f>IF(I1376="","",IF(AND(I1376="Fail",K1376=""),"Classify Issue Source",IF(AND(I1376="Fail",W1376=""),"Set Confidence",IF(AND(K1376="Unknown",W1376&lt;&gt;"Low"),"Unknown must be Low confidence",IF(AND(OR(K1376="Backend",K1376="SAP"),N1376=""),"Add HTTP status + endpoint",IF(AND(OR(K1376="Backend",K1376="SAP",K1376="Network"),P1376=""),"Add Correlation ID",IF(AND(I1376="Fail",T1376=""),"Write Root Cause / evidence gap",IF(AND(I1376="Fail",V1376=""),"Assign team","OK"))))))))</f>
        <v/>
      </c>
    </row>
    <row r="1377">
      <c r="A1377" s="5" t="n"/>
      <c r="B1377" s="5" t="n"/>
      <c r="C1377" s="5" t="n"/>
      <c r="D1377" s="5" t="n"/>
      <c r="E1377" s="5" t="n"/>
      <c r="F1377" s="5" t="n"/>
      <c r="G1377" s="5" t="n"/>
      <c r="H1377" s="5" t="n"/>
      <c r="I1377" s="5" t="n"/>
      <c r="J1377" s="5" t="n"/>
      <c r="K1377" s="5" t="n"/>
      <c r="L1377" s="5" t="n"/>
      <c r="M1377" s="5" t="n"/>
      <c r="N1377" s="5" t="n"/>
      <c r="O1377" s="5" t="n"/>
      <c r="P1377" s="5" t="n"/>
      <c r="Q1377" s="5" t="n"/>
      <c r="R1377" s="5" t="n"/>
      <c r="S1377" s="5" t="n"/>
      <c r="T1377" s="5" t="n"/>
      <c r="U1377" s="5" t="n"/>
      <c r="V1377" s="5" t="n"/>
      <c r="W1377" s="5" t="n"/>
      <c r="X1377" s="5" t="n"/>
      <c r="Y1377" s="5">
        <f>IF(I1377="","",IF(AND(I1377="Fail",K1377=""),"Classify Issue Source",IF(AND(I1377="Fail",W1377=""),"Set Confidence",IF(AND(K1377="Unknown",W1377&lt;&gt;"Low"),"Unknown must be Low confidence",IF(AND(OR(K1377="Backend",K1377="SAP"),N1377=""),"Add HTTP status + endpoint",IF(AND(OR(K1377="Backend",K1377="SAP",K1377="Network"),P1377=""),"Add Correlation ID",IF(AND(I1377="Fail",T1377=""),"Write Root Cause / evidence gap",IF(AND(I1377="Fail",V1377=""),"Assign team","OK"))))))))</f>
        <v/>
      </c>
    </row>
    <row r="1378">
      <c r="A1378" s="5" t="n"/>
      <c r="B1378" s="5" t="n"/>
      <c r="C1378" s="5" t="n"/>
      <c r="D1378" s="5" t="n"/>
      <c r="E1378" s="5" t="n"/>
      <c r="F1378" s="5" t="n"/>
      <c r="G1378" s="5" t="n"/>
      <c r="H1378" s="5" t="n"/>
      <c r="I1378" s="5" t="n"/>
      <c r="J1378" s="5" t="n"/>
      <c r="K1378" s="5" t="n"/>
      <c r="L1378" s="5" t="n"/>
      <c r="M1378" s="5" t="n"/>
      <c r="N1378" s="5" t="n"/>
      <c r="O1378" s="5" t="n"/>
      <c r="P1378" s="5" t="n"/>
      <c r="Q1378" s="5" t="n"/>
      <c r="R1378" s="5" t="n"/>
      <c r="S1378" s="5" t="n"/>
      <c r="T1378" s="5" t="n"/>
      <c r="U1378" s="5" t="n"/>
      <c r="V1378" s="5" t="n"/>
      <c r="W1378" s="5" t="n"/>
      <c r="X1378" s="5" t="n"/>
      <c r="Y1378" s="5">
        <f>IF(I1378="","",IF(AND(I1378="Fail",K1378=""),"Classify Issue Source",IF(AND(I1378="Fail",W1378=""),"Set Confidence",IF(AND(K1378="Unknown",W1378&lt;&gt;"Low"),"Unknown must be Low confidence",IF(AND(OR(K1378="Backend",K1378="SAP"),N1378=""),"Add HTTP status + endpoint",IF(AND(OR(K1378="Backend",K1378="SAP",K1378="Network"),P1378=""),"Add Correlation ID",IF(AND(I1378="Fail",T1378=""),"Write Root Cause / evidence gap",IF(AND(I1378="Fail",V1378=""),"Assign team","OK"))))))))</f>
        <v/>
      </c>
    </row>
    <row r="1379">
      <c r="A1379" s="5" t="n"/>
      <c r="B1379" s="5" t="n"/>
      <c r="C1379" s="5" t="n"/>
      <c r="D1379" s="5" t="n"/>
      <c r="E1379" s="5" t="n"/>
      <c r="F1379" s="5" t="n"/>
      <c r="G1379" s="5" t="n"/>
      <c r="H1379" s="5" t="n"/>
      <c r="I1379" s="5" t="n"/>
      <c r="J1379" s="5" t="n"/>
      <c r="K1379" s="5" t="n"/>
      <c r="L1379" s="5" t="n"/>
      <c r="M1379" s="5" t="n"/>
      <c r="N1379" s="5" t="n"/>
      <c r="O1379" s="5" t="n"/>
      <c r="P1379" s="5" t="n"/>
      <c r="Q1379" s="5" t="n"/>
      <c r="R1379" s="5" t="n"/>
      <c r="S1379" s="5" t="n"/>
      <c r="T1379" s="5" t="n"/>
      <c r="U1379" s="5" t="n"/>
      <c r="V1379" s="5" t="n"/>
      <c r="W1379" s="5" t="n"/>
      <c r="X1379" s="5" t="n"/>
      <c r="Y1379" s="5">
        <f>IF(I1379="","",IF(AND(I1379="Fail",K1379=""),"Classify Issue Source",IF(AND(I1379="Fail",W1379=""),"Set Confidence",IF(AND(K1379="Unknown",W1379&lt;&gt;"Low"),"Unknown must be Low confidence",IF(AND(OR(K1379="Backend",K1379="SAP"),N1379=""),"Add HTTP status + endpoint",IF(AND(OR(K1379="Backend",K1379="SAP",K1379="Network"),P1379=""),"Add Correlation ID",IF(AND(I1379="Fail",T1379=""),"Write Root Cause / evidence gap",IF(AND(I1379="Fail",V1379=""),"Assign team","OK"))))))))</f>
        <v/>
      </c>
    </row>
    <row r="1380">
      <c r="A1380" s="5" t="n"/>
      <c r="B1380" s="5" t="n"/>
      <c r="C1380" s="5" t="n"/>
      <c r="D1380" s="5" t="n"/>
      <c r="E1380" s="5" t="n"/>
      <c r="F1380" s="5" t="n"/>
      <c r="G1380" s="5" t="n"/>
      <c r="H1380" s="5" t="n"/>
      <c r="I1380" s="5" t="n"/>
      <c r="J1380" s="5" t="n"/>
      <c r="K1380" s="5" t="n"/>
      <c r="L1380" s="5" t="n"/>
      <c r="M1380" s="5" t="n"/>
      <c r="N1380" s="5" t="n"/>
      <c r="O1380" s="5" t="n"/>
      <c r="P1380" s="5" t="n"/>
      <c r="Q1380" s="5" t="n"/>
      <c r="R1380" s="5" t="n"/>
      <c r="S1380" s="5" t="n"/>
      <c r="T1380" s="5" t="n"/>
      <c r="U1380" s="5" t="n"/>
      <c r="V1380" s="5" t="n"/>
      <c r="W1380" s="5" t="n"/>
      <c r="X1380" s="5" t="n"/>
      <c r="Y1380" s="5">
        <f>IF(I1380="","",IF(AND(I1380="Fail",K1380=""),"Classify Issue Source",IF(AND(I1380="Fail",W1380=""),"Set Confidence",IF(AND(K1380="Unknown",W1380&lt;&gt;"Low"),"Unknown must be Low confidence",IF(AND(OR(K1380="Backend",K1380="SAP"),N1380=""),"Add HTTP status + endpoint",IF(AND(OR(K1380="Backend",K1380="SAP",K1380="Network"),P1380=""),"Add Correlation ID",IF(AND(I1380="Fail",T1380=""),"Write Root Cause / evidence gap",IF(AND(I1380="Fail",V1380=""),"Assign team","OK"))))))))</f>
        <v/>
      </c>
    </row>
    <row r="1381">
      <c r="A1381" s="5" t="n"/>
      <c r="B1381" s="5" t="n"/>
      <c r="C1381" s="5" t="n"/>
      <c r="D1381" s="5" t="n"/>
      <c r="E1381" s="5" t="n"/>
      <c r="F1381" s="5" t="n"/>
      <c r="G1381" s="5" t="n"/>
      <c r="H1381" s="5" t="n"/>
      <c r="I1381" s="5" t="n"/>
      <c r="J1381" s="5" t="n"/>
      <c r="K1381" s="5" t="n"/>
      <c r="L1381" s="5" t="n"/>
      <c r="M1381" s="5" t="n"/>
      <c r="N1381" s="5" t="n"/>
      <c r="O1381" s="5" t="n"/>
      <c r="P1381" s="5" t="n"/>
      <c r="Q1381" s="5" t="n"/>
      <c r="R1381" s="5" t="n"/>
      <c r="S1381" s="5" t="n"/>
      <c r="T1381" s="5" t="n"/>
      <c r="U1381" s="5" t="n"/>
      <c r="V1381" s="5" t="n"/>
      <c r="W1381" s="5" t="n"/>
      <c r="X1381" s="5" t="n"/>
      <c r="Y1381" s="5">
        <f>IF(I1381="","",IF(AND(I1381="Fail",K1381=""),"Classify Issue Source",IF(AND(I1381="Fail",W1381=""),"Set Confidence",IF(AND(K1381="Unknown",W1381&lt;&gt;"Low"),"Unknown must be Low confidence",IF(AND(OR(K1381="Backend",K1381="SAP"),N1381=""),"Add HTTP status + endpoint",IF(AND(OR(K1381="Backend",K1381="SAP",K1381="Network"),P1381=""),"Add Correlation ID",IF(AND(I1381="Fail",T1381=""),"Write Root Cause / evidence gap",IF(AND(I1381="Fail",V1381=""),"Assign team","OK"))))))))</f>
        <v/>
      </c>
    </row>
    <row r="1382">
      <c r="A1382" s="5" t="n"/>
      <c r="B1382" s="5" t="n"/>
      <c r="C1382" s="5" t="n"/>
      <c r="D1382" s="5" t="n"/>
      <c r="E1382" s="5" t="n"/>
      <c r="F1382" s="5" t="n"/>
      <c r="G1382" s="5" t="n"/>
      <c r="H1382" s="5" t="n"/>
      <c r="I1382" s="5" t="n"/>
      <c r="J1382" s="5" t="n"/>
      <c r="K1382" s="5" t="n"/>
      <c r="L1382" s="5" t="n"/>
      <c r="M1382" s="5" t="n"/>
      <c r="N1382" s="5" t="n"/>
      <c r="O1382" s="5" t="n"/>
      <c r="P1382" s="5" t="n"/>
      <c r="Q1382" s="5" t="n"/>
      <c r="R1382" s="5" t="n"/>
      <c r="S1382" s="5" t="n"/>
      <c r="T1382" s="5" t="n"/>
      <c r="U1382" s="5" t="n"/>
      <c r="V1382" s="5" t="n"/>
      <c r="W1382" s="5" t="n"/>
      <c r="X1382" s="5" t="n"/>
      <c r="Y1382" s="5">
        <f>IF(I1382="","",IF(AND(I1382="Fail",K1382=""),"Classify Issue Source",IF(AND(I1382="Fail",W1382=""),"Set Confidence",IF(AND(K1382="Unknown",W1382&lt;&gt;"Low"),"Unknown must be Low confidence",IF(AND(OR(K1382="Backend",K1382="SAP"),N1382=""),"Add HTTP status + endpoint",IF(AND(OR(K1382="Backend",K1382="SAP",K1382="Network"),P1382=""),"Add Correlation ID",IF(AND(I1382="Fail",T1382=""),"Write Root Cause / evidence gap",IF(AND(I1382="Fail",V1382=""),"Assign team","OK"))))))))</f>
        <v/>
      </c>
    </row>
    <row r="1383">
      <c r="A1383" s="5" t="n"/>
      <c r="B1383" s="5" t="n"/>
      <c r="C1383" s="5" t="n"/>
      <c r="D1383" s="5" t="n"/>
      <c r="E1383" s="5" t="n"/>
      <c r="F1383" s="5" t="n"/>
      <c r="G1383" s="5" t="n"/>
      <c r="H1383" s="5" t="n"/>
      <c r="I1383" s="5" t="n"/>
      <c r="J1383" s="5" t="n"/>
      <c r="K1383" s="5" t="n"/>
      <c r="L1383" s="5" t="n"/>
      <c r="M1383" s="5" t="n"/>
      <c r="N1383" s="5" t="n"/>
      <c r="O1383" s="5" t="n"/>
      <c r="P1383" s="5" t="n"/>
      <c r="Q1383" s="5" t="n"/>
      <c r="R1383" s="5" t="n"/>
      <c r="S1383" s="5" t="n"/>
      <c r="T1383" s="5" t="n"/>
      <c r="U1383" s="5" t="n"/>
      <c r="V1383" s="5" t="n"/>
      <c r="W1383" s="5" t="n"/>
      <c r="X1383" s="5" t="n"/>
      <c r="Y1383" s="5">
        <f>IF(I1383="","",IF(AND(I1383="Fail",K1383=""),"Classify Issue Source",IF(AND(I1383="Fail",W1383=""),"Set Confidence",IF(AND(K1383="Unknown",W1383&lt;&gt;"Low"),"Unknown must be Low confidence",IF(AND(OR(K1383="Backend",K1383="SAP"),N1383=""),"Add HTTP status + endpoint",IF(AND(OR(K1383="Backend",K1383="SAP",K1383="Network"),P1383=""),"Add Correlation ID",IF(AND(I1383="Fail",T1383=""),"Write Root Cause / evidence gap",IF(AND(I1383="Fail",V1383=""),"Assign team","OK"))))))))</f>
        <v/>
      </c>
    </row>
    <row r="1384">
      <c r="A1384" s="5" t="n"/>
      <c r="B1384" s="5" t="n"/>
      <c r="C1384" s="5" t="n"/>
      <c r="D1384" s="5" t="n"/>
      <c r="E1384" s="5" t="n"/>
      <c r="F1384" s="5" t="n"/>
      <c r="G1384" s="5" t="n"/>
      <c r="H1384" s="5" t="n"/>
      <c r="I1384" s="5" t="n"/>
      <c r="J1384" s="5" t="n"/>
      <c r="K1384" s="5" t="n"/>
      <c r="L1384" s="5" t="n"/>
      <c r="M1384" s="5" t="n"/>
      <c r="N1384" s="5" t="n"/>
      <c r="O1384" s="5" t="n"/>
      <c r="P1384" s="5" t="n"/>
      <c r="Q1384" s="5" t="n"/>
      <c r="R1384" s="5" t="n"/>
      <c r="S1384" s="5" t="n"/>
      <c r="T1384" s="5" t="n"/>
      <c r="U1384" s="5" t="n"/>
      <c r="V1384" s="5" t="n"/>
      <c r="W1384" s="5" t="n"/>
      <c r="X1384" s="5" t="n"/>
      <c r="Y1384" s="5">
        <f>IF(I1384="","",IF(AND(I1384="Fail",K1384=""),"Classify Issue Source",IF(AND(I1384="Fail",W1384=""),"Set Confidence",IF(AND(K1384="Unknown",W1384&lt;&gt;"Low"),"Unknown must be Low confidence",IF(AND(OR(K1384="Backend",K1384="SAP"),N1384=""),"Add HTTP status + endpoint",IF(AND(OR(K1384="Backend",K1384="SAP",K1384="Network"),P1384=""),"Add Correlation ID",IF(AND(I1384="Fail",T1384=""),"Write Root Cause / evidence gap",IF(AND(I1384="Fail",V1384=""),"Assign team","OK"))))))))</f>
        <v/>
      </c>
    </row>
    <row r="1385">
      <c r="A1385" s="5" t="n"/>
      <c r="B1385" s="5" t="n"/>
      <c r="C1385" s="5" t="n"/>
      <c r="D1385" s="5" t="n"/>
      <c r="E1385" s="5" t="n"/>
      <c r="F1385" s="5" t="n"/>
      <c r="G1385" s="5" t="n"/>
      <c r="H1385" s="5" t="n"/>
      <c r="I1385" s="5" t="n"/>
      <c r="J1385" s="5" t="n"/>
      <c r="K1385" s="5" t="n"/>
      <c r="L1385" s="5" t="n"/>
      <c r="M1385" s="5" t="n"/>
      <c r="N1385" s="5" t="n"/>
      <c r="O1385" s="5" t="n"/>
      <c r="P1385" s="5" t="n"/>
      <c r="Q1385" s="5" t="n"/>
      <c r="R1385" s="5" t="n"/>
      <c r="S1385" s="5" t="n"/>
      <c r="T1385" s="5" t="n"/>
      <c r="U1385" s="5" t="n"/>
      <c r="V1385" s="5" t="n"/>
      <c r="W1385" s="5" t="n"/>
      <c r="X1385" s="5" t="n"/>
      <c r="Y1385" s="5">
        <f>IF(I1385="","",IF(AND(I1385="Fail",K1385=""),"Classify Issue Source",IF(AND(I1385="Fail",W1385=""),"Set Confidence",IF(AND(K1385="Unknown",W1385&lt;&gt;"Low"),"Unknown must be Low confidence",IF(AND(OR(K1385="Backend",K1385="SAP"),N1385=""),"Add HTTP status + endpoint",IF(AND(OR(K1385="Backend",K1385="SAP",K1385="Network"),P1385=""),"Add Correlation ID",IF(AND(I1385="Fail",T1385=""),"Write Root Cause / evidence gap",IF(AND(I1385="Fail",V1385=""),"Assign team","OK"))))))))</f>
        <v/>
      </c>
    </row>
    <row r="1386">
      <c r="A1386" s="5" t="n"/>
      <c r="B1386" s="5" t="n"/>
      <c r="C1386" s="5" t="n"/>
      <c r="D1386" s="5" t="n"/>
      <c r="E1386" s="5" t="n"/>
      <c r="F1386" s="5" t="n"/>
      <c r="G1386" s="5" t="n"/>
      <c r="H1386" s="5" t="n"/>
      <c r="I1386" s="5" t="n"/>
      <c r="J1386" s="5" t="n"/>
      <c r="K1386" s="5" t="n"/>
      <c r="L1386" s="5" t="n"/>
      <c r="M1386" s="5" t="n"/>
      <c r="N1386" s="5" t="n"/>
      <c r="O1386" s="5" t="n"/>
      <c r="P1386" s="5" t="n"/>
      <c r="Q1386" s="5" t="n"/>
      <c r="R1386" s="5" t="n"/>
      <c r="S1386" s="5" t="n"/>
      <c r="T1386" s="5" t="n"/>
      <c r="U1386" s="5" t="n"/>
      <c r="V1386" s="5" t="n"/>
      <c r="W1386" s="5" t="n"/>
      <c r="X1386" s="5" t="n"/>
      <c r="Y1386" s="5">
        <f>IF(I1386="","",IF(AND(I1386="Fail",K1386=""),"Classify Issue Source",IF(AND(I1386="Fail",W1386=""),"Set Confidence",IF(AND(K1386="Unknown",W1386&lt;&gt;"Low"),"Unknown must be Low confidence",IF(AND(OR(K1386="Backend",K1386="SAP"),N1386=""),"Add HTTP status + endpoint",IF(AND(OR(K1386="Backend",K1386="SAP",K1386="Network"),P1386=""),"Add Correlation ID",IF(AND(I1386="Fail",T1386=""),"Write Root Cause / evidence gap",IF(AND(I1386="Fail",V1386=""),"Assign team","OK"))))))))</f>
        <v/>
      </c>
    </row>
    <row r="1387">
      <c r="A1387" s="5" t="n"/>
      <c r="B1387" s="5" t="n"/>
      <c r="C1387" s="5" t="n"/>
      <c r="D1387" s="5" t="n"/>
      <c r="E1387" s="5" t="n"/>
      <c r="F1387" s="5" t="n"/>
      <c r="G1387" s="5" t="n"/>
      <c r="H1387" s="5" t="n"/>
      <c r="I1387" s="5" t="n"/>
      <c r="J1387" s="5" t="n"/>
      <c r="K1387" s="5" t="n"/>
      <c r="L1387" s="5" t="n"/>
      <c r="M1387" s="5" t="n"/>
      <c r="N1387" s="5" t="n"/>
      <c r="O1387" s="5" t="n"/>
      <c r="P1387" s="5" t="n"/>
      <c r="Q1387" s="5" t="n"/>
      <c r="R1387" s="5" t="n"/>
      <c r="S1387" s="5" t="n"/>
      <c r="T1387" s="5" t="n"/>
      <c r="U1387" s="5" t="n"/>
      <c r="V1387" s="5" t="n"/>
      <c r="W1387" s="5" t="n"/>
      <c r="X1387" s="5" t="n"/>
      <c r="Y1387" s="5">
        <f>IF(I1387="","",IF(AND(I1387="Fail",K1387=""),"Classify Issue Source",IF(AND(I1387="Fail",W1387=""),"Set Confidence",IF(AND(K1387="Unknown",W1387&lt;&gt;"Low"),"Unknown must be Low confidence",IF(AND(OR(K1387="Backend",K1387="SAP"),N1387=""),"Add HTTP status + endpoint",IF(AND(OR(K1387="Backend",K1387="SAP",K1387="Network"),P1387=""),"Add Correlation ID",IF(AND(I1387="Fail",T1387=""),"Write Root Cause / evidence gap",IF(AND(I1387="Fail",V1387=""),"Assign team","OK"))))))))</f>
        <v/>
      </c>
    </row>
    <row r="1388">
      <c r="A1388" s="5" t="n"/>
      <c r="B1388" s="5" t="n"/>
      <c r="C1388" s="5" t="n"/>
      <c r="D1388" s="5" t="n"/>
      <c r="E1388" s="5" t="n"/>
      <c r="F1388" s="5" t="n"/>
      <c r="G1388" s="5" t="n"/>
      <c r="H1388" s="5" t="n"/>
      <c r="I1388" s="5" t="n"/>
      <c r="J1388" s="5" t="n"/>
      <c r="K1388" s="5" t="n"/>
      <c r="L1388" s="5" t="n"/>
      <c r="M1388" s="5" t="n"/>
      <c r="N1388" s="5" t="n"/>
      <c r="O1388" s="5" t="n"/>
      <c r="P1388" s="5" t="n"/>
      <c r="Q1388" s="5" t="n"/>
      <c r="R1388" s="5" t="n"/>
      <c r="S1388" s="5" t="n"/>
      <c r="T1388" s="5" t="n"/>
      <c r="U1388" s="5" t="n"/>
      <c r="V1388" s="5" t="n"/>
      <c r="W1388" s="5" t="n"/>
      <c r="X1388" s="5" t="n"/>
      <c r="Y1388" s="5">
        <f>IF(I1388="","",IF(AND(I1388="Fail",K1388=""),"Classify Issue Source",IF(AND(I1388="Fail",W1388=""),"Set Confidence",IF(AND(K1388="Unknown",W1388&lt;&gt;"Low"),"Unknown must be Low confidence",IF(AND(OR(K1388="Backend",K1388="SAP"),N1388=""),"Add HTTP status + endpoint",IF(AND(OR(K1388="Backend",K1388="SAP",K1388="Network"),P1388=""),"Add Correlation ID",IF(AND(I1388="Fail",T1388=""),"Write Root Cause / evidence gap",IF(AND(I1388="Fail",V1388=""),"Assign team","OK"))))))))</f>
        <v/>
      </c>
    </row>
    <row r="1389">
      <c r="A1389" s="5" t="n"/>
      <c r="B1389" s="5" t="n"/>
      <c r="C1389" s="5" t="n"/>
      <c r="D1389" s="5" t="n"/>
      <c r="E1389" s="5" t="n"/>
      <c r="F1389" s="5" t="n"/>
      <c r="G1389" s="5" t="n"/>
      <c r="H1389" s="5" t="n"/>
      <c r="I1389" s="5" t="n"/>
      <c r="J1389" s="5" t="n"/>
      <c r="K1389" s="5" t="n"/>
      <c r="L1389" s="5" t="n"/>
      <c r="M1389" s="5" t="n"/>
      <c r="N1389" s="5" t="n"/>
      <c r="O1389" s="5" t="n"/>
      <c r="P1389" s="5" t="n"/>
      <c r="Q1389" s="5" t="n"/>
      <c r="R1389" s="5" t="n"/>
      <c r="S1389" s="5" t="n"/>
      <c r="T1389" s="5" t="n"/>
      <c r="U1389" s="5" t="n"/>
      <c r="V1389" s="5" t="n"/>
      <c r="W1389" s="5" t="n"/>
      <c r="X1389" s="5" t="n"/>
      <c r="Y1389" s="5">
        <f>IF(I1389="","",IF(AND(I1389="Fail",K1389=""),"Classify Issue Source",IF(AND(I1389="Fail",W1389=""),"Set Confidence",IF(AND(K1389="Unknown",W1389&lt;&gt;"Low"),"Unknown must be Low confidence",IF(AND(OR(K1389="Backend",K1389="SAP"),N1389=""),"Add HTTP status + endpoint",IF(AND(OR(K1389="Backend",K1389="SAP",K1389="Network"),P1389=""),"Add Correlation ID",IF(AND(I1389="Fail",T1389=""),"Write Root Cause / evidence gap",IF(AND(I1389="Fail",V1389=""),"Assign team","OK"))))))))</f>
        <v/>
      </c>
    </row>
    <row r="1390">
      <c r="A1390" s="5" t="n"/>
      <c r="B1390" s="5" t="n"/>
      <c r="C1390" s="5" t="n"/>
      <c r="D1390" s="5" t="n"/>
      <c r="E1390" s="5" t="n"/>
      <c r="F1390" s="5" t="n"/>
      <c r="G1390" s="5" t="n"/>
      <c r="H1390" s="5" t="n"/>
      <c r="I1390" s="5" t="n"/>
      <c r="J1390" s="5" t="n"/>
      <c r="K1390" s="5" t="n"/>
      <c r="L1390" s="5" t="n"/>
      <c r="M1390" s="5" t="n"/>
      <c r="N1390" s="5" t="n"/>
      <c r="O1390" s="5" t="n"/>
      <c r="P1390" s="5" t="n"/>
      <c r="Q1390" s="5" t="n"/>
      <c r="R1390" s="5" t="n"/>
      <c r="S1390" s="5" t="n"/>
      <c r="T1390" s="5" t="n"/>
      <c r="U1390" s="5" t="n"/>
      <c r="V1390" s="5" t="n"/>
      <c r="W1390" s="5" t="n"/>
      <c r="X1390" s="5" t="n"/>
      <c r="Y1390" s="5">
        <f>IF(I1390="","",IF(AND(I1390="Fail",K1390=""),"Classify Issue Source",IF(AND(I1390="Fail",W1390=""),"Set Confidence",IF(AND(K1390="Unknown",W1390&lt;&gt;"Low"),"Unknown must be Low confidence",IF(AND(OR(K1390="Backend",K1390="SAP"),N1390=""),"Add HTTP status + endpoint",IF(AND(OR(K1390="Backend",K1390="SAP",K1390="Network"),P1390=""),"Add Correlation ID",IF(AND(I1390="Fail",T1390=""),"Write Root Cause / evidence gap",IF(AND(I1390="Fail",V1390=""),"Assign team","OK"))))))))</f>
        <v/>
      </c>
    </row>
    <row r="1391">
      <c r="A1391" s="5" t="n"/>
      <c r="B1391" s="5" t="n"/>
      <c r="C1391" s="5" t="n"/>
      <c r="D1391" s="5" t="n"/>
      <c r="E1391" s="5" t="n"/>
      <c r="F1391" s="5" t="n"/>
      <c r="G1391" s="5" t="n"/>
      <c r="H1391" s="5" t="n"/>
      <c r="I1391" s="5" t="n"/>
      <c r="J1391" s="5" t="n"/>
      <c r="K1391" s="5" t="n"/>
      <c r="L1391" s="5" t="n"/>
      <c r="M1391" s="5" t="n"/>
      <c r="N1391" s="5" t="n"/>
      <c r="O1391" s="5" t="n"/>
      <c r="P1391" s="5" t="n"/>
      <c r="Q1391" s="5" t="n"/>
      <c r="R1391" s="5" t="n"/>
      <c r="S1391" s="5" t="n"/>
      <c r="T1391" s="5" t="n"/>
      <c r="U1391" s="5" t="n"/>
      <c r="V1391" s="5" t="n"/>
      <c r="W1391" s="5" t="n"/>
      <c r="X1391" s="5" t="n"/>
      <c r="Y1391" s="5">
        <f>IF(I1391="","",IF(AND(I1391="Fail",K1391=""),"Classify Issue Source",IF(AND(I1391="Fail",W1391=""),"Set Confidence",IF(AND(K1391="Unknown",W1391&lt;&gt;"Low"),"Unknown must be Low confidence",IF(AND(OR(K1391="Backend",K1391="SAP"),N1391=""),"Add HTTP status + endpoint",IF(AND(OR(K1391="Backend",K1391="SAP",K1391="Network"),P1391=""),"Add Correlation ID",IF(AND(I1391="Fail",T1391=""),"Write Root Cause / evidence gap",IF(AND(I1391="Fail",V1391=""),"Assign team","OK"))))))))</f>
        <v/>
      </c>
    </row>
    <row r="1392">
      <c r="A1392" s="5" t="n"/>
      <c r="B1392" s="5" t="n"/>
      <c r="C1392" s="5" t="n"/>
      <c r="D1392" s="5" t="n"/>
      <c r="E1392" s="5" t="n"/>
      <c r="F1392" s="5" t="n"/>
      <c r="G1392" s="5" t="n"/>
      <c r="H1392" s="5" t="n"/>
      <c r="I1392" s="5" t="n"/>
      <c r="J1392" s="5" t="n"/>
      <c r="K1392" s="5" t="n"/>
      <c r="L1392" s="5" t="n"/>
      <c r="M1392" s="5" t="n"/>
      <c r="N1392" s="5" t="n"/>
      <c r="O1392" s="5" t="n"/>
      <c r="P1392" s="5" t="n"/>
      <c r="Q1392" s="5" t="n"/>
      <c r="R1392" s="5" t="n"/>
      <c r="S1392" s="5" t="n"/>
      <c r="T1392" s="5" t="n"/>
      <c r="U1392" s="5" t="n"/>
      <c r="V1392" s="5" t="n"/>
      <c r="W1392" s="5" t="n"/>
      <c r="X1392" s="5" t="n"/>
      <c r="Y1392" s="5">
        <f>IF(I1392="","",IF(AND(I1392="Fail",K1392=""),"Classify Issue Source",IF(AND(I1392="Fail",W1392=""),"Set Confidence",IF(AND(K1392="Unknown",W1392&lt;&gt;"Low"),"Unknown must be Low confidence",IF(AND(OR(K1392="Backend",K1392="SAP"),N1392=""),"Add HTTP status + endpoint",IF(AND(OR(K1392="Backend",K1392="SAP",K1392="Network"),P1392=""),"Add Correlation ID",IF(AND(I1392="Fail",T1392=""),"Write Root Cause / evidence gap",IF(AND(I1392="Fail",V1392=""),"Assign team","OK"))))))))</f>
        <v/>
      </c>
    </row>
    <row r="1393">
      <c r="A1393" s="5" t="n"/>
      <c r="B1393" s="5" t="n"/>
      <c r="C1393" s="5" t="n"/>
      <c r="D1393" s="5" t="n"/>
      <c r="E1393" s="5" t="n"/>
      <c r="F1393" s="5" t="n"/>
      <c r="G1393" s="5" t="n"/>
      <c r="H1393" s="5" t="n"/>
      <c r="I1393" s="5" t="n"/>
      <c r="J1393" s="5" t="n"/>
      <c r="K1393" s="5" t="n"/>
      <c r="L1393" s="5" t="n"/>
      <c r="M1393" s="5" t="n"/>
      <c r="N1393" s="5" t="n"/>
      <c r="O1393" s="5" t="n"/>
      <c r="P1393" s="5" t="n"/>
      <c r="Q1393" s="5" t="n"/>
      <c r="R1393" s="5" t="n"/>
      <c r="S1393" s="5" t="n"/>
      <c r="T1393" s="5" t="n"/>
      <c r="U1393" s="5" t="n"/>
      <c r="V1393" s="5" t="n"/>
      <c r="W1393" s="5" t="n"/>
      <c r="X1393" s="5" t="n"/>
      <c r="Y1393" s="5">
        <f>IF(I1393="","",IF(AND(I1393="Fail",K1393=""),"Classify Issue Source",IF(AND(I1393="Fail",W1393=""),"Set Confidence",IF(AND(K1393="Unknown",W1393&lt;&gt;"Low"),"Unknown must be Low confidence",IF(AND(OR(K1393="Backend",K1393="SAP"),N1393=""),"Add HTTP status + endpoint",IF(AND(OR(K1393="Backend",K1393="SAP",K1393="Network"),P1393=""),"Add Correlation ID",IF(AND(I1393="Fail",T1393=""),"Write Root Cause / evidence gap",IF(AND(I1393="Fail",V1393=""),"Assign team","OK"))))))))</f>
        <v/>
      </c>
    </row>
    <row r="1394">
      <c r="A1394" s="5" t="n"/>
      <c r="B1394" s="5" t="n"/>
      <c r="C1394" s="5" t="n"/>
      <c r="D1394" s="5" t="n"/>
      <c r="E1394" s="5" t="n"/>
      <c r="F1394" s="5" t="n"/>
      <c r="G1394" s="5" t="n"/>
      <c r="H1394" s="5" t="n"/>
      <c r="I1394" s="5" t="n"/>
      <c r="J1394" s="5" t="n"/>
      <c r="K1394" s="5" t="n"/>
      <c r="L1394" s="5" t="n"/>
      <c r="M1394" s="5" t="n"/>
      <c r="N1394" s="5" t="n"/>
      <c r="O1394" s="5" t="n"/>
      <c r="P1394" s="5" t="n"/>
      <c r="Q1394" s="5" t="n"/>
      <c r="R1394" s="5" t="n"/>
      <c r="S1394" s="5" t="n"/>
      <c r="T1394" s="5" t="n"/>
      <c r="U1394" s="5" t="n"/>
      <c r="V1394" s="5" t="n"/>
      <c r="W1394" s="5" t="n"/>
      <c r="X1394" s="5" t="n"/>
      <c r="Y1394" s="5">
        <f>IF(I1394="","",IF(AND(I1394="Fail",K1394=""),"Classify Issue Source",IF(AND(I1394="Fail",W1394=""),"Set Confidence",IF(AND(K1394="Unknown",W1394&lt;&gt;"Low"),"Unknown must be Low confidence",IF(AND(OR(K1394="Backend",K1394="SAP"),N1394=""),"Add HTTP status + endpoint",IF(AND(OR(K1394="Backend",K1394="SAP",K1394="Network"),P1394=""),"Add Correlation ID",IF(AND(I1394="Fail",T1394=""),"Write Root Cause / evidence gap",IF(AND(I1394="Fail",V1394=""),"Assign team","OK"))))))))</f>
        <v/>
      </c>
    </row>
    <row r="1395">
      <c r="A1395" s="5" t="n"/>
      <c r="B1395" s="5" t="n"/>
      <c r="C1395" s="5" t="n"/>
      <c r="D1395" s="5" t="n"/>
      <c r="E1395" s="5" t="n"/>
      <c r="F1395" s="5" t="n"/>
      <c r="G1395" s="5" t="n"/>
      <c r="H1395" s="5" t="n"/>
      <c r="I1395" s="5" t="n"/>
      <c r="J1395" s="5" t="n"/>
      <c r="K1395" s="5" t="n"/>
      <c r="L1395" s="5" t="n"/>
      <c r="M1395" s="5" t="n"/>
      <c r="N1395" s="5" t="n"/>
      <c r="O1395" s="5" t="n"/>
      <c r="P1395" s="5" t="n"/>
      <c r="Q1395" s="5" t="n"/>
      <c r="R1395" s="5" t="n"/>
      <c r="S1395" s="5" t="n"/>
      <c r="T1395" s="5" t="n"/>
      <c r="U1395" s="5" t="n"/>
      <c r="V1395" s="5" t="n"/>
      <c r="W1395" s="5" t="n"/>
      <c r="X1395" s="5" t="n"/>
      <c r="Y1395" s="5">
        <f>IF(I1395="","",IF(AND(I1395="Fail",K1395=""),"Classify Issue Source",IF(AND(I1395="Fail",W1395=""),"Set Confidence",IF(AND(K1395="Unknown",W1395&lt;&gt;"Low"),"Unknown must be Low confidence",IF(AND(OR(K1395="Backend",K1395="SAP"),N1395=""),"Add HTTP status + endpoint",IF(AND(OR(K1395="Backend",K1395="SAP",K1395="Network"),P1395=""),"Add Correlation ID",IF(AND(I1395="Fail",T1395=""),"Write Root Cause / evidence gap",IF(AND(I1395="Fail",V1395=""),"Assign team","OK"))))))))</f>
        <v/>
      </c>
    </row>
    <row r="1396">
      <c r="A1396" s="5" t="n"/>
      <c r="B1396" s="5" t="n"/>
      <c r="C1396" s="5" t="n"/>
      <c r="D1396" s="5" t="n"/>
      <c r="E1396" s="5" t="n"/>
      <c r="F1396" s="5" t="n"/>
      <c r="G1396" s="5" t="n"/>
      <c r="H1396" s="5" t="n"/>
      <c r="I1396" s="5" t="n"/>
      <c r="J1396" s="5" t="n"/>
      <c r="K1396" s="5" t="n"/>
      <c r="L1396" s="5" t="n"/>
      <c r="M1396" s="5" t="n"/>
      <c r="N1396" s="5" t="n"/>
      <c r="O1396" s="5" t="n"/>
      <c r="P1396" s="5" t="n"/>
      <c r="Q1396" s="5" t="n"/>
      <c r="R1396" s="5" t="n"/>
      <c r="S1396" s="5" t="n"/>
      <c r="T1396" s="5" t="n"/>
      <c r="U1396" s="5" t="n"/>
      <c r="V1396" s="5" t="n"/>
      <c r="W1396" s="5" t="n"/>
      <c r="X1396" s="5" t="n"/>
      <c r="Y1396" s="5">
        <f>IF(I1396="","",IF(AND(I1396="Fail",K1396=""),"Classify Issue Source",IF(AND(I1396="Fail",W1396=""),"Set Confidence",IF(AND(K1396="Unknown",W1396&lt;&gt;"Low"),"Unknown must be Low confidence",IF(AND(OR(K1396="Backend",K1396="SAP"),N1396=""),"Add HTTP status + endpoint",IF(AND(OR(K1396="Backend",K1396="SAP",K1396="Network"),P1396=""),"Add Correlation ID",IF(AND(I1396="Fail",T1396=""),"Write Root Cause / evidence gap",IF(AND(I1396="Fail",V1396=""),"Assign team","OK"))))))))</f>
        <v/>
      </c>
    </row>
    <row r="1397">
      <c r="A1397" s="5" t="n"/>
      <c r="B1397" s="5" t="n"/>
      <c r="C1397" s="5" t="n"/>
      <c r="D1397" s="5" t="n"/>
      <c r="E1397" s="5" t="n"/>
      <c r="F1397" s="5" t="n"/>
      <c r="G1397" s="5" t="n"/>
      <c r="H1397" s="5" t="n"/>
      <c r="I1397" s="5" t="n"/>
      <c r="J1397" s="5" t="n"/>
      <c r="K1397" s="5" t="n"/>
      <c r="L1397" s="5" t="n"/>
      <c r="M1397" s="5" t="n"/>
      <c r="N1397" s="5" t="n"/>
      <c r="O1397" s="5" t="n"/>
      <c r="P1397" s="5" t="n"/>
      <c r="Q1397" s="5" t="n"/>
      <c r="R1397" s="5" t="n"/>
      <c r="S1397" s="5" t="n"/>
      <c r="T1397" s="5" t="n"/>
      <c r="U1397" s="5" t="n"/>
      <c r="V1397" s="5" t="n"/>
      <c r="W1397" s="5" t="n"/>
      <c r="X1397" s="5" t="n"/>
      <c r="Y1397" s="5">
        <f>IF(I1397="","",IF(AND(I1397="Fail",K1397=""),"Classify Issue Source",IF(AND(I1397="Fail",W1397=""),"Set Confidence",IF(AND(K1397="Unknown",W1397&lt;&gt;"Low"),"Unknown must be Low confidence",IF(AND(OR(K1397="Backend",K1397="SAP"),N1397=""),"Add HTTP status + endpoint",IF(AND(OR(K1397="Backend",K1397="SAP",K1397="Network"),P1397=""),"Add Correlation ID",IF(AND(I1397="Fail",T1397=""),"Write Root Cause / evidence gap",IF(AND(I1397="Fail",V1397=""),"Assign team","OK"))))))))</f>
        <v/>
      </c>
    </row>
    <row r="1398">
      <c r="A1398" s="5" t="n"/>
      <c r="B1398" s="5" t="n"/>
      <c r="C1398" s="5" t="n"/>
      <c r="D1398" s="5" t="n"/>
      <c r="E1398" s="5" t="n"/>
      <c r="F1398" s="5" t="n"/>
      <c r="G1398" s="5" t="n"/>
      <c r="H1398" s="5" t="n"/>
      <c r="I1398" s="5" t="n"/>
      <c r="J1398" s="5" t="n"/>
      <c r="K1398" s="5" t="n"/>
      <c r="L1398" s="5" t="n"/>
      <c r="M1398" s="5" t="n"/>
      <c r="N1398" s="5" t="n"/>
      <c r="O1398" s="5" t="n"/>
      <c r="P1398" s="5" t="n"/>
      <c r="Q1398" s="5" t="n"/>
      <c r="R1398" s="5" t="n"/>
      <c r="S1398" s="5" t="n"/>
      <c r="T1398" s="5" t="n"/>
      <c r="U1398" s="5" t="n"/>
      <c r="V1398" s="5" t="n"/>
      <c r="W1398" s="5" t="n"/>
      <c r="X1398" s="5" t="n"/>
      <c r="Y1398" s="5">
        <f>IF(I1398="","",IF(AND(I1398="Fail",K1398=""),"Classify Issue Source",IF(AND(I1398="Fail",W1398=""),"Set Confidence",IF(AND(K1398="Unknown",W1398&lt;&gt;"Low"),"Unknown must be Low confidence",IF(AND(OR(K1398="Backend",K1398="SAP"),N1398=""),"Add HTTP status + endpoint",IF(AND(OR(K1398="Backend",K1398="SAP",K1398="Network"),P1398=""),"Add Correlation ID",IF(AND(I1398="Fail",T1398=""),"Write Root Cause / evidence gap",IF(AND(I1398="Fail",V1398=""),"Assign team","OK"))))))))</f>
        <v/>
      </c>
    </row>
    <row r="1399">
      <c r="A1399" s="5" t="n"/>
      <c r="B1399" s="5" t="n"/>
      <c r="C1399" s="5" t="n"/>
      <c r="D1399" s="5" t="n"/>
      <c r="E1399" s="5" t="n"/>
      <c r="F1399" s="5" t="n"/>
      <c r="G1399" s="5" t="n"/>
      <c r="H1399" s="5" t="n"/>
      <c r="I1399" s="5" t="n"/>
      <c r="J1399" s="5" t="n"/>
      <c r="K1399" s="5" t="n"/>
      <c r="L1399" s="5" t="n"/>
      <c r="M1399" s="5" t="n"/>
      <c r="N1399" s="5" t="n"/>
      <c r="O1399" s="5" t="n"/>
      <c r="P1399" s="5" t="n"/>
      <c r="Q1399" s="5" t="n"/>
      <c r="R1399" s="5" t="n"/>
      <c r="S1399" s="5" t="n"/>
      <c r="T1399" s="5" t="n"/>
      <c r="U1399" s="5" t="n"/>
      <c r="V1399" s="5" t="n"/>
      <c r="W1399" s="5" t="n"/>
      <c r="X1399" s="5" t="n"/>
      <c r="Y1399" s="5">
        <f>IF(I1399="","",IF(AND(I1399="Fail",K1399=""),"Classify Issue Source",IF(AND(I1399="Fail",W1399=""),"Set Confidence",IF(AND(K1399="Unknown",W1399&lt;&gt;"Low"),"Unknown must be Low confidence",IF(AND(OR(K1399="Backend",K1399="SAP"),N1399=""),"Add HTTP status + endpoint",IF(AND(OR(K1399="Backend",K1399="SAP",K1399="Network"),P1399=""),"Add Correlation ID",IF(AND(I1399="Fail",T1399=""),"Write Root Cause / evidence gap",IF(AND(I1399="Fail",V1399=""),"Assign team","OK"))))))))</f>
        <v/>
      </c>
    </row>
    <row r="1400">
      <c r="A1400" s="5" t="n"/>
      <c r="B1400" s="5" t="n"/>
      <c r="C1400" s="5" t="n"/>
      <c r="D1400" s="5" t="n"/>
      <c r="E1400" s="5" t="n"/>
      <c r="F1400" s="5" t="n"/>
      <c r="G1400" s="5" t="n"/>
      <c r="H1400" s="5" t="n"/>
      <c r="I1400" s="5" t="n"/>
      <c r="J1400" s="5" t="n"/>
      <c r="K1400" s="5" t="n"/>
      <c r="L1400" s="5" t="n"/>
      <c r="M1400" s="5" t="n"/>
      <c r="N1400" s="5" t="n"/>
      <c r="O1400" s="5" t="n"/>
      <c r="P1400" s="5" t="n"/>
      <c r="Q1400" s="5" t="n"/>
      <c r="R1400" s="5" t="n"/>
      <c r="S1400" s="5" t="n"/>
      <c r="T1400" s="5" t="n"/>
      <c r="U1400" s="5" t="n"/>
      <c r="V1400" s="5" t="n"/>
      <c r="W1400" s="5" t="n"/>
      <c r="X1400" s="5" t="n"/>
      <c r="Y1400" s="5">
        <f>IF(I1400="","",IF(AND(I1400="Fail",K1400=""),"Classify Issue Source",IF(AND(I1400="Fail",W1400=""),"Set Confidence",IF(AND(K1400="Unknown",W1400&lt;&gt;"Low"),"Unknown must be Low confidence",IF(AND(OR(K1400="Backend",K1400="SAP"),N1400=""),"Add HTTP status + endpoint",IF(AND(OR(K1400="Backend",K1400="SAP",K1400="Network"),P1400=""),"Add Correlation ID",IF(AND(I1400="Fail",T1400=""),"Write Root Cause / evidence gap",IF(AND(I1400="Fail",V1400=""),"Assign team","OK"))))))))</f>
        <v/>
      </c>
    </row>
    <row r="1401">
      <c r="A1401" s="5" t="n"/>
      <c r="B1401" s="5" t="n"/>
      <c r="C1401" s="5" t="n"/>
      <c r="D1401" s="5" t="n"/>
      <c r="E1401" s="5" t="n"/>
      <c r="F1401" s="5" t="n"/>
      <c r="G1401" s="5" t="n"/>
      <c r="H1401" s="5" t="n"/>
      <c r="I1401" s="5" t="n"/>
      <c r="J1401" s="5" t="n"/>
      <c r="K1401" s="5" t="n"/>
      <c r="L1401" s="5" t="n"/>
      <c r="M1401" s="5" t="n"/>
      <c r="N1401" s="5" t="n"/>
      <c r="O1401" s="5" t="n"/>
      <c r="P1401" s="5" t="n"/>
      <c r="Q1401" s="5" t="n"/>
      <c r="R1401" s="5" t="n"/>
      <c r="S1401" s="5" t="n"/>
      <c r="T1401" s="5" t="n"/>
      <c r="U1401" s="5" t="n"/>
      <c r="V1401" s="5" t="n"/>
      <c r="W1401" s="5" t="n"/>
      <c r="X1401" s="5" t="n"/>
      <c r="Y1401" s="5">
        <f>IF(I1401="","",IF(AND(I1401="Fail",K1401=""),"Classify Issue Source",IF(AND(I1401="Fail",W1401=""),"Set Confidence",IF(AND(K1401="Unknown",W1401&lt;&gt;"Low"),"Unknown must be Low confidence",IF(AND(OR(K1401="Backend",K1401="SAP"),N1401=""),"Add HTTP status + endpoint",IF(AND(OR(K1401="Backend",K1401="SAP",K1401="Network"),P1401=""),"Add Correlation ID",IF(AND(I1401="Fail",T1401=""),"Write Root Cause / evidence gap",IF(AND(I1401="Fail",V1401=""),"Assign team","OK"))))))))</f>
        <v/>
      </c>
    </row>
    <row r="1402">
      <c r="A1402" s="5" t="n"/>
      <c r="B1402" s="5" t="n"/>
      <c r="C1402" s="5" t="n"/>
      <c r="D1402" s="5" t="n"/>
      <c r="E1402" s="5" t="n"/>
      <c r="F1402" s="5" t="n"/>
      <c r="G1402" s="5" t="n"/>
      <c r="H1402" s="5" t="n"/>
      <c r="I1402" s="5" t="n"/>
      <c r="J1402" s="5" t="n"/>
      <c r="K1402" s="5" t="n"/>
      <c r="L1402" s="5" t="n"/>
      <c r="M1402" s="5" t="n"/>
      <c r="N1402" s="5" t="n"/>
      <c r="O1402" s="5" t="n"/>
      <c r="P1402" s="5" t="n"/>
      <c r="Q1402" s="5" t="n"/>
      <c r="R1402" s="5" t="n"/>
      <c r="S1402" s="5" t="n"/>
      <c r="T1402" s="5" t="n"/>
      <c r="U1402" s="5" t="n"/>
      <c r="V1402" s="5" t="n"/>
      <c r="W1402" s="5" t="n"/>
      <c r="X1402" s="5" t="n"/>
      <c r="Y1402" s="5">
        <f>IF(I1402="","",IF(AND(I1402="Fail",K1402=""),"Classify Issue Source",IF(AND(I1402="Fail",W1402=""),"Set Confidence",IF(AND(K1402="Unknown",W1402&lt;&gt;"Low"),"Unknown must be Low confidence",IF(AND(OR(K1402="Backend",K1402="SAP"),N1402=""),"Add HTTP status + endpoint",IF(AND(OR(K1402="Backend",K1402="SAP",K1402="Network"),P1402=""),"Add Correlation ID",IF(AND(I1402="Fail",T1402=""),"Write Root Cause / evidence gap",IF(AND(I1402="Fail",V1402=""),"Assign team","OK"))))))))</f>
        <v/>
      </c>
    </row>
    <row r="1403">
      <c r="A1403" s="5" t="n"/>
      <c r="B1403" s="5" t="n"/>
      <c r="C1403" s="5" t="n"/>
      <c r="D1403" s="5" t="n"/>
      <c r="E1403" s="5" t="n"/>
      <c r="F1403" s="5" t="n"/>
      <c r="G1403" s="5" t="n"/>
      <c r="H1403" s="5" t="n"/>
      <c r="I1403" s="5" t="n"/>
      <c r="J1403" s="5" t="n"/>
      <c r="K1403" s="5" t="n"/>
      <c r="L1403" s="5" t="n"/>
      <c r="M1403" s="5" t="n"/>
      <c r="N1403" s="5" t="n"/>
      <c r="O1403" s="5" t="n"/>
      <c r="P1403" s="5" t="n"/>
      <c r="Q1403" s="5" t="n"/>
      <c r="R1403" s="5" t="n"/>
      <c r="S1403" s="5" t="n"/>
      <c r="T1403" s="5" t="n"/>
      <c r="U1403" s="5" t="n"/>
      <c r="V1403" s="5" t="n"/>
      <c r="W1403" s="5" t="n"/>
      <c r="X1403" s="5" t="n"/>
      <c r="Y1403" s="5">
        <f>IF(I1403="","",IF(AND(I1403="Fail",K1403=""),"Classify Issue Source",IF(AND(I1403="Fail",W1403=""),"Set Confidence",IF(AND(K1403="Unknown",W1403&lt;&gt;"Low"),"Unknown must be Low confidence",IF(AND(OR(K1403="Backend",K1403="SAP"),N1403=""),"Add HTTP status + endpoint",IF(AND(OR(K1403="Backend",K1403="SAP",K1403="Network"),P1403=""),"Add Correlation ID",IF(AND(I1403="Fail",T1403=""),"Write Root Cause / evidence gap",IF(AND(I1403="Fail",V1403=""),"Assign team","OK"))))))))</f>
        <v/>
      </c>
    </row>
    <row r="1404">
      <c r="A1404" s="5" t="n"/>
      <c r="B1404" s="5" t="n"/>
      <c r="C1404" s="5" t="n"/>
      <c r="D1404" s="5" t="n"/>
      <c r="E1404" s="5" t="n"/>
      <c r="F1404" s="5" t="n"/>
      <c r="G1404" s="5" t="n"/>
      <c r="H1404" s="5" t="n"/>
      <c r="I1404" s="5" t="n"/>
      <c r="J1404" s="5" t="n"/>
      <c r="K1404" s="5" t="n"/>
      <c r="L1404" s="5" t="n"/>
      <c r="M1404" s="5" t="n"/>
      <c r="N1404" s="5" t="n"/>
      <c r="O1404" s="5" t="n"/>
      <c r="P1404" s="5" t="n"/>
      <c r="Q1404" s="5" t="n"/>
      <c r="R1404" s="5" t="n"/>
      <c r="S1404" s="5" t="n"/>
      <c r="T1404" s="5" t="n"/>
      <c r="U1404" s="5" t="n"/>
      <c r="V1404" s="5" t="n"/>
      <c r="W1404" s="5" t="n"/>
      <c r="X1404" s="5" t="n"/>
      <c r="Y1404" s="5">
        <f>IF(I1404="","",IF(AND(I1404="Fail",K1404=""),"Classify Issue Source",IF(AND(I1404="Fail",W1404=""),"Set Confidence",IF(AND(K1404="Unknown",W1404&lt;&gt;"Low"),"Unknown must be Low confidence",IF(AND(OR(K1404="Backend",K1404="SAP"),N1404=""),"Add HTTP status + endpoint",IF(AND(OR(K1404="Backend",K1404="SAP",K1404="Network"),P1404=""),"Add Correlation ID",IF(AND(I1404="Fail",T1404=""),"Write Root Cause / evidence gap",IF(AND(I1404="Fail",V1404=""),"Assign team","OK"))))))))</f>
        <v/>
      </c>
    </row>
    <row r="1405">
      <c r="A1405" s="5" t="n"/>
      <c r="B1405" s="5" t="n"/>
      <c r="C1405" s="5" t="n"/>
      <c r="D1405" s="5" t="n"/>
      <c r="E1405" s="5" t="n"/>
      <c r="F1405" s="5" t="n"/>
      <c r="G1405" s="5" t="n"/>
      <c r="H1405" s="5" t="n"/>
      <c r="I1405" s="5" t="n"/>
      <c r="J1405" s="5" t="n"/>
      <c r="K1405" s="5" t="n"/>
      <c r="L1405" s="5" t="n"/>
      <c r="M1405" s="5" t="n"/>
      <c r="N1405" s="5" t="n"/>
      <c r="O1405" s="5" t="n"/>
      <c r="P1405" s="5" t="n"/>
      <c r="Q1405" s="5" t="n"/>
      <c r="R1405" s="5" t="n"/>
      <c r="S1405" s="5" t="n"/>
      <c r="T1405" s="5" t="n"/>
      <c r="U1405" s="5" t="n"/>
      <c r="V1405" s="5" t="n"/>
      <c r="W1405" s="5" t="n"/>
      <c r="X1405" s="5" t="n"/>
      <c r="Y1405" s="5">
        <f>IF(I1405="","",IF(AND(I1405="Fail",K1405=""),"Classify Issue Source",IF(AND(I1405="Fail",W1405=""),"Set Confidence",IF(AND(K1405="Unknown",W1405&lt;&gt;"Low"),"Unknown must be Low confidence",IF(AND(OR(K1405="Backend",K1405="SAP"),N1405=""),"Add HTTP status + endpoint",IF(AND(OR(K1405="Backend",K1405="SAP",K1405="Network"),P1405=""),"Add Correlation ID",IF(AND(I1405="Fail",T1405=""),"Write Root Cause / evidence gap",IF(AND(I1405="Fail",V1405=""),"Assign team","OK"))))))))</f>
        <v/>
      </c>
    </row>
    <row r="1406">
      <c r="A1406" s="5" t="n"/>
      <c r="B1406" s="5" t="n"/>
      <c r="C1406" s="5" t="n"/>
      <c r="D1406" s="5" t="n"/>
      <c r="E1406" s="5" t="n"/>
      <c r="F1406" s="5" t="n"/>
      <c r="G1406" s="5" t="n"/>
      <c r="H1406" s="5" t="n"/>
      <c r="I1406" s="5" t="n"/>
      <c r="J1406" s="5" t="n"/>
      <c r="K1406" s="5" t="n"/>
      <c r="L1406" s="5" t="n"/>
      <c r="M1406" s="5" t="n"/>
      <c r="N1406" s="5" t="n"/>
      <c r="O1406" s="5" t="n"/>
      <c r="P1406" s="5" t="n"/>
      <c r="Q1406" s="5" t="n"/>
      <c r="R1406" s="5" t="n"/>
      <c r="S1406" s="5" t="n"/>
      <c r="T1406" s="5" t="n"/>
      <c r="U1406" s="5" t="n"/>
      <c r="V1406" s="5" t="n"/>
      <c r="W1406" s="5" t="n"/>
      <c r="X1406" s="5" t="n"/>
      <c r="Y1406" s="5">
        <f>IF(I1406="","",IF(AND(I1406="Fail",K1406=""),"Classify Issue Source",IF(AND(I1406="Fail",W1406=""),"Set Confidence",IF(AND(K1406="Unknown",W1406&lt;&gt;"Low"),"Unknown must be Low confidence",IF(AND(OR(K1406="Backend",K1406="SAP"),N1406=""),"Add HTTP status + endpoint",IF(AND(OR(K1406="Backend",K1406="SAP",K1406="Network"),P1406=""),"Add Correlation ID",IF(AND(I1406="Fail",T1406=""),"Write Root Cause / evidence gap",IF(AND(I1406="Fail",V1406=""),"Assign team","OK"))))))))</f>
        <v/>
      </c>
    </row>
    <row r="1407">
      <c r="A1407" s="5" t="n"/>
      <c r="B1407" s="5" t="n"/>
      <c r="C1407" s="5" t="n"/>
      <c r="D1407" s="5" t="n"/>
      <c r="E1407" s="5" t="n"/>
      <c r="F1407" s="5" t="n"/>
      <c r="G1407" s="5" t="n"/>
      <c r="H1407" s="5" t="n"/>
      <c r="I1407" s="5" t="n"/>
      <c r="J1407" s="5" t="n"/>
      <c r="K1407" s="5" t="n"/>
      <c r="L1407" s="5" t="n"/>
      <c r="M1407" s="5" t="n"/>
      <c r="N1407" s="5" t="n"/>
      <c r="O1407" s="5" t="n"/>
      <c r="P1407" s="5" t="n"/>
      <c r="Q1407" s="5" t="n"/>
      <c r="R1407" s="5" t="n"/>
      <c r="S1407" s="5" t="n"/>
      <c r="T1407" s="5" t="n"/>
      <c r="U1407" s="5" t="n"/>
      <c r="V1407" s="5" t="n"/>
      <c r="W1407" s="5" t="n"/>
      <c r="X1407" s="5" t="n"/>
      <c r="Y1407" s="5">
        <f>IF(I1407="","",IF(AND(I1407="Fail",K1407=""),"Classify Issue Source",IF(AND(I1407="Fail",W1407=""),"Set Confidence",IF(AND(K1407="Unknown",W1407&lt;&gt;"Low"),"Unknown must be Low confidence",IF(AND(OR(K1407="Backend",K1407="SAP"),N1407=""),"Add HTTP status + endpoint",IF(AND(OR(K1407="Backend",K1407="SAP",K1407="Network"),P1407=""),"Add Correlation ID",IF(AND(I1407="Fail",T1407=""),"Write Root Cause / evidence gap",IF(AND(I1407="Fail",V1407=""),"Assign team","OK"))))))))</f>
        <v/>
      </c>
    </row>
    <row r="1408">
      <c r="A1408" s="5" t="n"/>
      <c r="B1408" s="5" t="n"/>
      <c r="C1408" s="5" t="n"/>
      <c r="D1408" s="5" t="n"/>
      <c r="E1408" s="5" t="n"/>
      <c r="F1408" s="5" t="n"/>
      <c r="G1408" s="5" t="n"/>
      <c r="H1408" s="5" t="n"/>
      <c r="I1408" s="5" t="n"/>
      <c r="J1408" s="5" t="n"/>
      <c r="K1408" s="5" t="n"/>
      <c r="L1408" s="5" t="n"/>
      <c r="M1408" s="5" t="n"/>
      <c r="N1408" s="5" t="n"/>
      <c r="O1408" s="5" t="n"/>
      <c r="P1408" s="5" t="n"/>
      <c r="Q1408" s="5" t="n"/>
      <c r="R1408" s="5" t="n"/>
      <c r="S1408" s="5" t="n"/>
      <c r="T1408" s="5" t="n"/>
      <c r="U1408" s="5" t="n"/>
      <c r="V1408" s="5" t="n"/>
      <c r="W1408" s="5" t="n"/>
      <c r="X1408" s="5" t="n"/>
      <c r="Y1408" s="5">
        <f>IF(I1408="","",IF(AND(I1408="Fail",K1408=""),"Classify Issue Source",IF(AND(I1408="Fail",W1408=""),"Set Confidence",IF(AND(K1408="Unknown",W1408&lt;&gt;"Low"),"Unknown must be Low confidence",IF(AND(OR(K1408="Backend",K1408="SAP"),N1408=""),"Add HTTP status + endpoint",IF(AND(OR(K1408="Backend",K1408="SAP",K1408="Network"),P1408=""),"Add Correlation ID",IF(AND(I1408="Fail",T1408=""),"Write Root Cause / evidence gap",IF(AND(I1408="Fail",V1408=""),"Assign team","OK"))))))))</f>
        <v/>
      </c>
    </row>
    <row r="1409">
      <c r="A1409" s="5" t="n"/>
      <c r="B1409" s="5" t="n"/>
      <c r="C1409" s="5" t="n"/>
      <c r="D1409" s="5" t="n"/>
      <c r="E1409" s="5" t="n"/>
      <c r="F1409" s="5" t="n"/>
      <c r="G1409" s="5" t="n"/>
      <c r="H1409" s="5" t="n"/>
      <c r="I1409" s="5" t="n"/>
      <c r="J1409" s="5" t="n"/>
      <c r="K1409" s="5" t="n"/>
      <c r="L1409" s="5" t="n"/>
      <c r="M1409" s="5" t="n"/>
      <c r="N1409" s="5" t="n"/>
      <c r="O1409" s="5" t="n"/>
      <c r="P1409" s="5" t="n"/>
      <c r="Q1409" s="5" t="n"/>
      <c r="R1409" s="5" t="n"/>
      <c r="S1409" s="5" t="n"/>
      <c r="T1409" s="5" t="n"/>
      <c r="U1409" s="5" t="n"/>
      <c r="V1409" s="5" t="n"/>
      <c r="W1409" s="5" t="n"/>
      <c r="X1409" s="5" t="n"/>
      <c r="Y1409" s="5">
        <f>IF(I1409="","",IF(AND(I1409="Fail",K1409=""),"Classify Issue Source",IF(AND(I1409="Fail",W1409=""),"Set Confidence",IF(AND(K1409="Unknown",W1409&lt;&gt;"Low"),"Unknown must be Low confidence",IF(AND(OR(K1409="Backend",K1409="SAP"),N1409=""),"Add HTTP status + endpoint",IF(AND(OR(K1409="Backend",K1409="SAP",K1409="Network"),P1409=""),"Add Correlation ID",IF(AND(I1409="Fail",T1409=""),"Write Root Cause / evidence gap",IF(AND(I1409="Fail",V1409=""),"Assign team","OK"))))))))</f>
        <v/>
      </c>
    </row>
    <row r="1410">
      <c r="A1410" s="5" t="n"/>
      <c r="B1410" s="5" t="n"/>
      <c r="C1410" s="5" t="n"/>
      <c r="D1410" s="5" t="n"/>
      <c r="E1410" s="5" t="n"/>
      <c r="F1410" s="5" t="n"/>
      <c r="G1410" s="5" t="n"/>
      <c r="H1410" s="5" t="n"/>
      <c r="I1410" s="5" t="n"/>
      <c r="J1410" s="5" t="n"/>
      <c r="K1410" s="5" t="n"/>
      <c r="L1410" s="5" t="n"/>
      <c r="M1410" s="5" t="n"/>
      <c r="N1410" s="5" t="n"/>
      <c r="O1410" s="5" t="n"/>
      <c r="P1410" s="5" t="n"/>
      <c r="Q1410" s="5" t="n"/>
      <c r="R1410" s="5" t="n"/>
      <c r="S1410" s="5" t="n"/>
      <c r="T1410" s="5" t="n"/>
      <c r="U1410" s="5" t="n"/>
      <c r="V1410" s="5" t="n"/>
      <c r="W1410" s="5" t="n"/>
      <c r="X1410" s="5" t="n"/>
      <c r="Y1410" s="5">
        <f>IF(I1410="","",IF(AND(I1410="Fail",K1410=""),"Classify Issue Source",IF(AND(I1410="Fail",W1410=""),"Set Confidence",IF(AND(K1410="Unknown",W1410&lt;&gt;"Low"),"Unknown must be Low confidence",IF(AND(OR(K1410="Backend",K1410="SAP"),N1410=""),"Add HTTP status + endpoint",IF(AND(OR(K1410="Backend",K1410="SAP",K1410="Network"),P1410=""),"Add Correlation ID",IF(AND(I1410="Fail",T1410=""),"Write Root Cause / evidence gap",IF(AND(I1410="Fail",V1410=""),"Assign team","OK"))))))))</f>
        <v/>
      </c>
    </row>
    <row r="1411">
      <c r="A1411" s="5" t="n"/>
      <c r="B1411" s="5" t="n"/>
      <c r="C1411" s="5" t="n"/>
      <c r="D1411" s="5" t="n"/>
      <c r="E1411" s="5" t="n"/>
      <c r="F1411" s="5" t="n"/>
      <c r="G1411" s="5" t="n"/>
      <c r="H1411" s="5" t="n"/>
      <c r="I1411" s="5" t="n"/>
      <c r="J1411" s="5" t="n"/>
      <c r="K1411" s="5" t="n"/>
      <c r="L1411" s="5" t="n"/>
      <c r="M1411" s="5" t="n"/>
      <c r="N1411" s="5" t="n"/>
      <c r="O1411" s="5" t="n"/>
      <c r="P1411" s="5" t="n"/>
      <c r="Q1411" s="5" t="n"/>
      <c r="R1411" s="5" t="n"/>
      <c r="S1411" s="5" t="n"/>
      <c r="T1411" s="5" t="n"/>
      <c r="U1411" s="5" t="n"/>
      <c r="V1411" s="5" t="n"/>
      <c r="W1411" s="5" t="n"/>
      <c r="X1411" s="5" t="n"/>
      <c r="Y1411" s="5">
        <f>IF(I1411="","",IF(AND(I1411="Fail",K1411=""),"Classify Issue Source",IF(AND(I1411="Fail",W1411=""),"Set Confidence",IF(AND(K1411="Unknown",W1411&lt;&gt;"Low"),"Unknown must be Low confidence",IF(AND(OR(K1411="Backend",K1411="SAP"),N1411=""),"Add HTTP status + endpoint",IF(AND(OR(K1411="Backend",K1411="SAP",K1411="Network"),P1411=""),"Add Correlation ID",IF(AND(I1411="Fail",T1411=""),"Write Root Cause / evidence gap",IF(AND(I1411="Fail",V1411=""),"Assign team","OK"))))))))</f>
        <v/>
      </c>
    </row>
    <row r="1412">
      <c r="A1412" s="5" t="n"/>
      <c r="B1412" s="5" t="n"/>
      <c r="C1412" s="5" t="n"/>
      <c r="D1412" s="5" t="n"/>
      <c r="E1412" s="5" t="n"/>
      <c r="F1412" s="5" t="n"/>
      <c r="G1412" s="5" t="n"/>
      <c r="H1412" s="5" t="n"/>
      <c r="I1412" s="5" t="n"/>
      <c r="J1412" s="5" t="n"/>
      <c r="K1412" s="5" t="n"/>
      <c r="L1412" s="5" t="n"/>
      <c r="M1412" s="5" t="n"/>
      <c r="N1412" s="5" t="n"/>
      <c r="O1412" s="5" t="n"/>
      <c r="P1412" s="5" t="n"/>
      <c r="Q1412" s="5" t="n"/>
      <c r="R1412" s="5" t="n"/>
      <c r="S1412" s="5" t="n"/>
      <c r="T1412" s="5" t="n"/>
      <c r="U1412" s="5" t="n"/>
      <c r="V1412" s="5" t="n"/>
      <c r="W1412" s="5" t="n"/>
      <c r="X1412" s="5" t="n"/>
      <c r="Y1412" s="5">
        <f>IF(I1412="","",IF(AND(I1412="Fail",K1412=""),"Classify Issue Source",IF(AND(I1412="Fail",W1412=""),"Set Confidence",IF(AND(K1412="Unknown",W1412&lt;&gt;"Low"),"Unknown must be Low confidence",IF(AND(OR(K1412="Backend",K1412="SAP"),N1412=""),"Add HTTP status + endpoint",IF(AND(OR(K1412="Backend",K1412="SAP",K1412="Network"),P1412=""),"Add Correlation ID",IF(AND(I1412="Fail",T1412=""),"Write Root Cause / evidence gap",IF(AND(I1412="Fail",V1412=""),"Assign team","OK"))))))))</f>
        <v/>
      </c>
    </row>
    <row r="1413">
      <c r="A1413" s="5" t="n"/>
      <c r="B1413" s="5" t="n"/>
      <c r="C1413" s="5" t="n"/>
      <c r="D1413" s="5" t="n"/>
      <c r="E1413" s="5" t="n"/>
      <c r="F1413" s="5" t="n"/>
      <c r="G1413" s="5" t="n"/>
      <c r="H1413" s="5" t="n"/>
      <c r="I1413" s="5" t="n"/>
      <c r="J1413" s="5" t="n"/>
      <c r="K1413" s="5" t="n"/>
      <c r="L1413" s="5" t="n"/>
      <c r="M1413" s="5" t="n"/>
      <c r="N1413" s="5" t="n"/>
      <c r="O1413" s="5" t="n"/>
      <c r="P1413" s="5" t="n"/>
      <c r="Q1413" s="5" t="n"/>
      <c r="R1413" s="5" t="n"/>
      <c r="S1413" s="5" t="n"/>
      <c r="T1413" s="5" t="n"/>
      <c r="U1413" s="5" t="n"/>
      <c r="V1413" s="5" t="n"/>
      <c r="W1413" s="5" t="n"/>
      <c r="X1413" s="5" t="n"/>
      <c r="Y1413" s="5">
        <f>IF(I1413="","",IF(AND(I1413="Fail",K1413=""),"Classify Issue Source",IF(AND(I1413="Fail",W1413=""),"Set Confidence",IF(AND(K1413="Unknown",W1413&lt;&gt;"Low"),"Unknown must be Low confidence",IF(AND(OR(K1413="Backend",K1413="SAP"),N1413=""),"Add HTTP status + endpoint",IF(AND(OR(K1413="Backend",K1413="SAP",K1413="Network"),P1413=""),"Add Correlation ID",IF(AND(I1413="Fail",T1413=""),"Write Root Cause / evidence gap",IF(AND(I1413="Fail",V1413=""),"Assign team","OK"))))))))</f>
        <v/>
      </c>
    </row>
    <row r="1414">
      <c r="A1414" s="5" t="n"/>
      <c r="B1414" s="5" t="n"/>
      <c r="C1414" s="5" t="n"/>
      <c r="D1414" s="5" t="n"/>
      <c r="E1414" s="5" t="n"/>
      <c r="F1414" s="5" t="n"/>
      <c r="G1414" s="5" t="n"/>
      <c r="H1414" s="5" t="n"/>
      <c r="I1414" s="5" t="n"/>
      <c r="J1414" s="5" t="n"/>
      <c r="K1414" s="5" t="n"/>
      <c r="L1414" s="5" t="n"/>
      <c r="M1414" s="5" t="n"/>
      <c r="N1414" s="5" t="n"/>
      <c r="O1414" s="5" t="n"/>
      <c r="P1414" s="5" t="n"/>
      <c r="Q1414" s="5" t="n"/>
      <c r="R1414" s="5" t="n"/>
      <c r="S1414" s="5" t="n"/>
      <c r="T1414" s="5" t="n"/>
      <c r="U1414" s="5" t="n"/>
      <c r="V1414" s="5" t="n"/>
      <c r="W1414" s="5" t="n"/>
      <c r="X1414" s="5" t="n"/>
      <c r="Y1414" s="5">
        <f>IF(I1414="","",IF(AND(I1414="Fail",K1414=""),"Classify Issue Source",IF(AND(I1414="Fail",W1414=""),"Set Confidence",IF(AND(K1414="Unknown",W1414&lt;&gt;"Low"),"Unknown must be Low confidence",IF(AND(OR(K1414="Backend",K1414="SAP"),N1414=""),"Add HTTP status + endpoint",IF(AND(OR(K1414="Backend",K1414="SAP",K1414="Network"),P1414=""),"Add Correlation ID",IF(AND(I1414="Fail",T1414=""),"Write Root Cause / evidence gap",IF(AND(I1414="Fail",V1414=""),"Assign team","OK"))))))))</f>
        <v/>
      </c>
    </row>
    <row r="1415">
      <c r="A1415" s="5" t="n"/>
      <c r="B1415" s="5" t="n"/>
      <c r="C1415" s="5" t="n"/>
      <c r="D1415" s="5" t="n"/>
      <c r="E1415" s="5" t="n"/>
      <c r="F1415" s="5" t="n"/>
      <c r="G1415" s="5" t="n"/>
      <c r="H1415" s="5" t="n"/>
      <c r="I1415" s="5" t="n"/>
      <c r="J1415" s="5" t="n"/>
      <c r="K1415" s="5" t="n"/>
      <c r="L1415" s="5" t="n"/>
      <c r="M1415" s="5" t="n"/>
      <c r="N1415" s="5" t="n"/>
      <c r="O1415" s="5" t="n"/>
      <c r="P1415" s="5" t="n"/>
      <c r="Q1415" s="5" t="n"/>
      <c r="R1415" s="5" t="n"/>
      <c r="S1415" s="5" t="n"/>
      <c r="T1415" s="5" t="n"/>
      <c r="U1415" s="5" t="n"/>
      <c r="V1415" s="5" t="n"/>
      <c r="W1415" s="5" t="n"/>
      <c r="X1415" s="5" t="n"/>
      <c r="Y1415" s="5">
        <f>IF(I1415="","",IF(AND(I1415="Fail",K1415=""),"Classify Issue Source",IF(AND(I1415="Fail",W1415=""),"Set Confidence",IF(AND(K1415="Unknown",W1415&lt;&gt;"Low"),"Unknown must be Low confidence",IF(AND(OR(K1415="Backend",K1415="SAP"),N1415=""),"Add HTTP status + endpoint",IF(AND(OR(K1415="Backend",K1415="SAP",K1415="Network"),P1415=""),"Add Correlation ID",IF(AND(I1415="Fail",T1415=""),"Write Root Cause / evidence gap",IF(AND(I1415="Fail",V1415=""),"Assign team","OK"))))))))</f>
        <v/>
      </c>
    </row>
    <row r="1416">
      <c r="A1416" s="5" t="n"/>
      <c r="B1416" s="5" t="n"/>
      <c r="C1416" s="5" t="n"/>
      <c r="D1416" s="5" t="n"/>
      <c r="E1416" s="5" t="n"/>
      <c r="F1416" s="5" t="n"/>
      <c r="G1416" s="5" t="n"/>
      <c r="H1416" s="5" t="n"/>
      <c r="I1416" s="5" t="n"/>
      <c r="J1416" s="5" t="n"/>
      <c r="K1416" s="5" t="n"/>
      <c r="L1416" s="5" t="n"/>
      <c r="M1416" s="5" t="n"/>
      <c r="N1416" s="5" t="n"/>
      <c r="O1416" s="5" t="n"/>
      <c r="P1416" s="5" t="n"/>
      <c r="Q1416" s="5" t="n"/>
      <c r="R1416" s="5" t="n"/>
      <c r="S1416" s="5" t="n"/>
      <c r="T1416" s="5" t="n"/>
      <c r="U1416" s="5" t="n"/>
      <c r="V1416" s="5" t="n"/>
      <c r="W1416" s="5" t="n"/>
      <c r="X1416" s="5" t="n"/>
      <c r="Y1416" s="5">
        <f>IF(I1416="","",IF(AND(I1416="Fail",K1416=""),"Classify Issue Source",IF(AND(I1416="Fail",W1416=""),"Set Confidence",IF(AND(K1416="Unknown",W1416&lt;&gt;"Low"),"Unknown must be Low confidence",IF(AND(OR(K1416="Backend",K1416="SAP"),N1416=""),"Add HTTP status + endpoint",IF(AND(OR(K1416="Backend",K1416="SAP",K1416="Network"),P1416=""),"Add Correlation ID",IF(AND(I1416="Fail",T1416=""),"Write Root Cause / evidence gap",IF(AND(I1416="Fail",V1416=""),"Assign team","OK"))))))))</f>
        <v/>
      </c>
    </row>
    <row r="1417">
      <c r="A1417" s="5" t="n"/>
      <c r="B1417" s="5" t="n"/>
      <c r="C1417" s="5" t="n"/>
      <c r="D1417" s="5" t="n"/>
      <c r="E1417" s="5" t="n"/>
      <c r="F1417" s="5" t="n"/>
      <c r="G1417" s="5" t="n"/>
      <c r="H1417" s="5" t="n"/>
      <c r="I1417" s="5" t="n"/>
      <c r="J1417" s="5" t="n"/>
      <c r="K1417" s="5" t="n"/>
      <c r="L1417" s="5" t="n"/>
      <c r="M1417" s="5" t="n"/>
      <c r="N1417" s="5" t="n"/>
      <c r="O1417" s="5" t="n"/>
      <c r="P1417" s="5" t="n"/>
      <c r="Q1417" s="5" t="n"/>
      <c r="R1417" s="5" t="n"/>
      <c r="S1417" s="5" t="n"/>
      <c r="T1417" s="5" t="n"/>
      <c r="U1417" s="5" t="n"/>
      <c r="V1417" s="5" t="n"/>
      <c r="W1417" s="5" t="n"/>
      <c r="X1417" s="5" t="n"/>
      <c r="Y1417" s="5">
        <f>IF(I1417="","",IF(AND(I1417="Fail",K1417=""),"Classify Issue Source",IF(AND(I1417="Fail",W1417=""),"Set Confidence",IF(AND(K1417="Unknown",W1417&lt;&gt;"Low"),"Unknown must be Low confidence",IF(AND(OR(K1417="Backend",K1417="SAP"),N1417=""),"Add HTTP status + endpoint",IF(AND(OR(K1417="Backend",K1417="SAP",K1417="Network"),P1417=""),"Add Correlation ID",IF(AND(I1417="Fail",T1417=""),"Write Root Cause / evidence gap",IF(AND(I1417="Fail",V1417=""),"Assign team","OK"))))))))</f>
        <v/>
      </c>
    </row>
    <row r="1418">
      <c r="A1418" s="5" t="n"/>
      <c r="B1418" s="5" t="n"/>
      <c r="C1418" s="5" t="n"/>
      <c r="D1418" s="5" t="n"/>
      <c r="E1418" s="5" t="n"/>
      <c r="F1418" s="5" t="n"/>
      <c r="G1418" s="5" t="n"/>
      <c r="H1418" s="5" t="n"/>
      <c r="I1418" s="5" t="n"/>
      <c r="J1418" s="5" t="n"/>
      <c r="K1418" s="5" t="n"/>
      <c r="L1418" s="5" t="n"/>
      <c r="M1418" s="5" t="n"/>
      <c r="N1418" s="5" t="n"/>
      <c r="O1418" s="5" t="n"/>
      <c r="P1418" s="5" t="n"/>
      <c r="Q1418" s="5" t="n"/>
      <c r="R1418" s="5" t="n"/>
      <c r="S1418" s="5" t="n"/>
      <c r="T1418" s="5" t="n"/>
      <c r="U1418" s="5" t="n"/>
      <c r="V1418" s="5" t="n"/>
      <c r="W1418" s="5" t="n"/>
      <c r="X1418" s="5" t="n"/>
      <c r="Y1418" s="5">
        <f>IF(I1418="","",IF(AND(I1418="Fail",K1418=""),"Classify Issue Source",IF(AND(I1418="Fail",W1418=""),"Set Confidence",IF(AND(K1418="Unknown",W1418&lt;&gt;"Low"),"Unknown must be Low confidence",IF(AND(OR(K1418="Backend",K1418="SAP"),N1418=""),"Add HTTP status + endpoint",IF(AND(OR(K1418="Backend",K1418="SAP",K1418="Network"),P1418=""),"Add Correlation ID",IF(AND(I1418="Fail",T1418=""),"Write Root Cause / evidence gap",IF(AND(I1418="Fail",V1418=""),"Assign team","OK"))))))))</f>
        <v/>
      </c>
    </row>
    <row r="1419">
      <c r="A1419" s="5" t="n"/>
      <c r="B1419" s="5" t="n"/>
      <c r="C1419" s="5" t="n"/>
      <c r="D1419" s="5" t="n"/>
      <c r="E1419" s="5" t="n"/>
      <c r="F1419" s="5" t="n"/>
      <c r="G1419" s="5" t="n"/>
      <c r="H1419" s="5" t="n"/>
      <c r="I1419" s="5" t="n"/>
      <c r="J1419" s="5" t="n"/>
      <c r="K1419" s="5" t="n"/>
      <c r="L1419" s="5" t="n"/>
      <c r="M1419" s="5" t="n"/>
      <c r="N1419" s="5" t="n"/>
      <c r="O1419" s="5" t="n"/>
      <c r="P1419" s="5" t="n"/>
      <c r="Q1419" s="5" t="n"/>
      <c r="R1419" s="5" t="n"/>
      <c r="S1419" s="5" t="n"/>
      <c r="T1419" s="5" t="n"/>
      <c r="U1419" s="5" t="n"/>
      <c r="V1419" s="5" t="n"/>
      <c r="W1419" s="5" t="n"/>
      <c r="X1419" s="5" t="n"/>
      <c r="Y1419" s="5">
        <f>IF(I1419="","",IF(AND(I1419="Fail",K1419=""),"Classify Issue Source",IF(AND(I1419="Fail",W1419=""),"Set Confidence",IF(AND(K1419="Unknown",W1419&lt;&gt;"Low"),"Unknown must be Low confidence",IF(AND(OR(K1419="Backend",K1419="SAP"),N1419=""),"Add HTTP status + endpoint",IF(AND(OR(K1419="Backend",K1419="SAP",K1419="Network"),P1419=""),"Add Correlation ID",IF(AND(I1419="Fail",T1419=""),"Write Root Cause / evidence gap",IF(AND(I1419="Fail",V1419=""),"Assign team","OK"))))))))</f>
        <v/>
      </c>
    </row>
    <row r="1420">
      <c r="A1420" s="5" t="n"/>
      <c r="B1420" s="5" t="n"/>
      <c r="C1420" s="5" t="n"/>
      <c r="D1420" s="5" t="n"/>
      <c r="E1420" s="5" t="n"/>
      <c r="F1420" s="5" t="n"/>
      <c r="G1420" s="5" t="n"/>
      <c r="H1420" s="5" t="n"/>
      <c r="I1420" s="5" t="n"/>
      <c r="J1420" s="5" t="n"/>
      <c r="K1420" s="5" t="n"/>
      <c r="L1420" s="5" t="n"/>
      <c r="M1420" s="5" t="n"/>
      <c r="N1420" s="5" t="n"/>
      <c r="O1420" s="5" t="n"/>
      <c r="P1420" s="5" t="n"/>
      <c r="Q1420" s="5" t="n"/>
      <c r="R1420" s="5" t="n"/>
      <c r="S1420" s="5" t="n"/>
      <c r="T1420" s="5" t="n"/>
      <c r="U1420" s="5" t="n"/>
      <c r="V1420" s="5" t="n"/>
      <c r="W1420" s="5" t="n"/>
      <c r="X1420" s="5" t="n"/>
      <c r="Y1420" s="5">
        <f>IF(I1420="","",IF(AND(I1420="Fail",K1420=""),"Classify Issue Source",IF(AND(I1420="Fail",W1420=""),"Set Confidence",IF(AND(K1420="Unknown",W1420&lt;&gt;"Low"),"Unknown must be Low confidence",IF(AND(OR(K1420="Backend",K1420="SAP"),N1420=""),"Add HTTP status + endpoint",IF(AND(OR(K1420="Backend",K1420="SAP",K1420="Network"),P1420=""),"Add Correlation ID",IF(AND(I1420="Fail",T1420=""),"Write Root Cause / evidence gap",IF(AND(I1420="Fail",V1420=""),"Assign team","OK"))))))))</f>
        <v/>
      </c>
    </row>
    <row r="1421">
      <c r="A1421" s="5" t="n"/>
      <c r="B1421" s="5" t="n"/>
      <c r="C1421" s="5" t="n"/>
      <c r="D1421" s="5" t="n"/>
      <c r="E1421" s="5" t="n"/>
      <c r="F1421" s="5" t="n"/>
      <c r="G1421" s="5" t="n"/>
      <c r="H1421" s="5" t="n"/>
      <c r="I1421" s="5" t="n"/>
      <c r="J1421" s="5" t="n"/>
      <c r="K1421" s="5" t="n"/>
      <c r="L1421" s="5" t="n"/>
      <c r="M1421" s="5" t="n"/>
      <c r="N1421" s="5" t="n"/>
      <c r="O1421" s="5" t="n"/>
      <c r="P1421" s="5" t="n"/>
      <c r="Q1421" s="5" t="n"/>
      <c r="R1421" s="5" t="n"/>
      <c r="S1421" s="5" t="n"/>
      <c r="T1421" s="5" t="n"/>
      <c r="U1421" s="5" t="n"/>
      <c r="V1421" s="5" t="n"/>
      <c r="W1421" s="5" t="n"/>
      <c r="X1421" s="5" t="n"/>
      <c r="Y1421" s="5">
        <f>IF(I1421="","",IF(AND(I1421="Fail",K1421=""),"Classify Issue Source",IF(AND(I1421="Fail",W1421=""),"Set Confidence",IF(AND(K1421="Unknown",W1421&lt;&gt;"Low"),"Unknown must be Low confidence",IF(AND(OR(K1421="Backend",K1421="SAP"),N1421=""),"Add HTTP status + endpoint",IF(AND(OR(K1421="Backend",K1421="SAP",K1421="Network"),P1421=""),"Add Correlation ID",IF(AND(I1421="Fail",T1421=""),"Write Root Cause / evidence gap",IF(AND(I1421="Fail",V1421=""),"Assign team","OK"))))))))</f>
        <v/>
      </c>
    </row>
    <row r="1422">
      <c r="A1422" s="5" t="n"/>
      <c r="B1422" s="5" t="n"/>
      <c r="C1422" s="5" t="n"/>
      <c r="D1422" s="5" t="n"/>
      <c r="E1422" s="5" t="n"/>
      <c r="F1422" s="5" t="n"/>
      <c r="G1422" s="5" t="n"/>
      <c r="H1422" s="5" t="n"/>
      <c r="I1422" s="5" t="n"/>
      <c r="J1422" s="5" t="n"/>
      <c r="K1422" s="5" t="n"/>
      <c r="L1422" s="5" t="n"/>
      <c r="M1422" s="5" t="n"/>
      <c r="N1422" s="5" t="n"/>
      <c r="O1422" s="5" t="n"/>
      <c r="P1422" s="5" t="n"/>
      <c r="Q1422" s="5" t="n"/>
      <c r="R1422" s="5" t="n"/>
      <c r="S1422" s="5" t="n"/>
      <c r="T1422" s="5" t="n"/>
      <c r="U1422" s="5" t="n"/>
      <c r="V1422" s="5" t="n"/>
      <c r="W1422" s="5" t="n"/>
      <c r="X1422" s="5" t="n"/>
      <c r="Y1422" s="5">
        <f>IF(I1422="","",IF(AND(I1422="Fail",K1422=""),"Classify Issue Source",IF(AND(I1422="Fail",W1422=""),"Set Confidence",IF(AND(K1422="Unknown",W1422&lt;&gt;"Low"),"Unknown must be Low confidence",IF(AND(OR(K1422="Backend",K1422="SAP"),N1422=""),"Add HTTP status + endpoint",IF(AND(OR(K1422="Backend",K1422="SAP",K1422="Network"),P1422=""),"Add Correlation ID",IF(AND(I1422="Fail",T1422=""),"Write Root Cause / evidence gap",IF(AND(I1422="Fail",V1422=""),"Assign team","OK"))))))))</f>
        <v/>
      </c>
    </row>
    <row r="1423">
      <c r="A1423" s="5" t="n"/>
      <c r="B1423" s="5" t="n"/>
      <c r="C1423" s="5" t="n"/>
      <c r="D1423" s="5" t="n"/>
      <c r="E1423" s="5" t="n"/>
      <c r="F1423" s="5" t="n"/>
      <c r="G1423" s="5" t="n"/>
      <c r="H1423" s="5" t="n"/>
      <c r="I1423" s="5" t="n"/>
      <c r="J1423" s="5" t="n"/>
      <c r="K1423" s="5" t="n"/>
      <c r="L1423" s="5" t="n"/>
      <c r="M1423" s="5" t="n"/>
      <c r="N1423" s="5" t="n"/>
      <c r="O1423" s="5" t="n"/>
      <c r="P1423" s="5" t="n"/>
      <c r="Q1423" s="5" t="n"/>
      <c r="R1423" s="5" t="n"/>
      <c r="S1423" s="5" t="n"/>
      <c r="T1423" s="5" t="n"/>
      <c r="U1423" s="5" t="n"/>
      <c r="V1423" s="5" t="n"/>
      <c r="W1423" s="5" t="n"/>
      <c r="X1423" s="5" t="n"/>
      <c r="Y1423" s="5">
        <f>IF(I1423="","",IF(AND(I1423="Fail",K1423=""),"Classify Issue Source",IF(AND(I1423="Fail",W1423=""),"Set Confidence",IF(AND(K1423="Unknown",W1423&lt;&gt;"Low"),"Unknown must be Low confidence",IF(AND(OR(K1423="Backend",K1423="SAP"),N1423=""),"Add HTTP status + endpoint",IF(AND(OR(K1423="Backend",K1423="SAP",K1423="Network"),P1423=""),"Add Correlation ID",IF(AND(I1423="Fail",T1423=""),"Write Root Cause / evidence gap",IF(AND(I1423="Fail",V1423=""),"Assign team","OK"))))))))</f>
        <v/>
      </c>
    </row>
    <row r="1424">
      <c r="A1424" s="5" t="n"/>
      <c r="B1424" s="5" t="n"/>
      <c r="C1424" s="5" t="n"/>
      <c r="D1424" s="5" t="n"/>
      <c r="E1424" s="5" t="n"/>
      <c r="F1424" s="5" t="n"/>
      <c r="G1424" s="5" t="n"/>
      <c r="H1424" s="5" t="n"/>
      <c r="I1424" s="5" t="n"/>
      <c r="J1424" s="5" t="n"/>
      <c r="K1424" s="5" t="n"/>
      <c r="L1424" s="5" t="n"/>
      <c r="M1424" s="5" t="n"/>
      <c r="N1424" s="5" t="n"/>
      <c r="O1424" s="5" t="n"/>
      <c r="P1424" s="5" t="n"/>
      <c r="Q1424" s="5" t="n"/>
      <c r="R1424" s="5" t="n"/>
      <c r="S1424" s="5" t="n"/>
      <c r="T1424" s="5" t="n"/>
      <c r="U1424" s="5" t="n"/>
      <c r="V1424" s="5" t="n"/>
      <c r="W1424" s="5" t="n"/>
      <c r="X1424" s="5" t="n"/>
      <c r="Y1424" s="5">
        <f>IF(I1424="","",IF(AND(I1424="Fail",K1424=""),"Classify Issue Source",IF(AND(I1424="Fail",W1424=""),"Set Confidence",IF(AND(K1424="Unknown",W1424&lt;&gt;"Low"),"Unknown must be Low confidence",IF(AND(OR(K1424="Backend",K1424="SAP"),N1424=""),"Add HTTP status + endpoint",IF(AND(OR(K1424="Backend",K1424="SAP",K1424="Network"),P1424=""),"Add Correlation ID",IF(AND(I1424="Fail",T1424=""),"Write Root Cause / evidence gap",IF(AND(I1424="Fail",V1424=""),"Assign team","OK"))))))))</f>
        <v/>
      </c>
    </row>
    <row r="1425">
      <c r="A1425" s="5" t="n"/>
      <c r="B1425" s="5" t="n"/>
      <c r="C1425" s="5" t="n"/>
      <c r="D1425" s="5" t="n"/>
      <c r="E1425" s="5" t="n"/>
      <c r="F1425" s="5" t="n"/>
      <c r="G1425" s="5" t="n"/>
      <c r="H1425" s="5" t="n"/>
      <c r="I1425" s="5" t="n"/>
      <c r="J1425" s="5" t="n"/>
      <c r="K1425" s="5" t="n"/>
      <c r="L1425" s="5" t="n"/>
      <c r="M1425" s="5" t="n"/>
      <c r="N1425" s="5" t="n"/>
      <c r="O1425" s="5" t="n"/>
      <c r="P1425" s="5" t="n"/>
      <c r="Q1425" s="5" t="n"/>
      <c r="R1425" s="5" t="n"/>
      <c r="S1425" s="5" t="n"/>
      <c r="T1425" s="5" t="n"/>
      <c r="U1425" s="5" t="n"/>
      <c r="V1425" s="5" t="n"/>
      <c r="W1425" s="5" t="n"/>
      <c r="X1425" s="5" t="n"/>
      <c r="Y1425" s="5">
        <f>IF(I1425="","",IF(AND(I1425="Fail",K1425=""),"Classify Issue Source",IF(AND(I1425="Fail",W1425=""),"Set Confidence",IF(AND(K1425="Unknown",W1425&lt;&gt;"Low"),"Unknown must be Low confidence",IF(AND(OR(K1425="Backend",K1425="SAP"),N1425=""),"Add HTTP status + endpoint",IF(AND(OR(K1425="Backend",K1425="SAP",K1425="Network"),P1425=""),"Add Correlation ID",IF(AND(I1425="Fail",T1425=""),"Write Root Cause / evidence gap",IF(AND(I1425="Fail",V1425=""),"Assign team","OK"))))))))</f>
        <v/>
      </c>
    </row>
    <row r="1426">
      <c r="A1426" s="5" t="n"/>
      <c r="B1426" s="5" t="n"/>
      <c r="C1426" s="5" t="n"/>
      <c r="D1426" s="5" t="n"/>
      <c r="E1426" s="5" t="n"/>
      <c r="F1426" s="5" t="n"/>
      <c r="G1426" s="5" t="n"/>
      <c r="H1426" s="5" t="n"/>
      <c r="I1426" s="5" t="n"/>
      <c r="J1426" s="5" t="n"/>
      <c r="K1426" s="5" t="n"/>
      <c r="L1426" s="5" t="n"/>
      <c r="M1426" s="5" t="n"/>
      <c r="N1426" s="5" t="n"/>
      <c r="O1426" s="5" t="n"/>
      <c r="P1426" s="5" t="n"/>
      <c r="Q1426" s="5" t="n"/>
      <c r="R1426" s="5" t="n"/>
      <c r="S1426" s="5" t="n"/>
      <c r="T1426" s="5" t="n"/>
      <c r="U1426" s="5" t="n"/>
      <c r="V1426" s="5" t="n"/>
      <c r="W1426" s="5" t="n"/>
      <c r="X1426" s="5" t="n"/>
      <c r="Y1426" s="5">
        <f>IF(I1426="","",IF(AND(I1426="Fail",K1426=""),"Classify Issue Source",IF(AND(I1426="Fail",W1426=""),"Set Confidence",IF(AND(K1426="Unknown",W1426&lt;&gt;"Low"),"Unknown must be Low confidence",IF(AND(OR(K1426="Backend",K1426="SAP"),N1426=""),"Add HTTP status + endpoint",IF(AND(OR(K1426="Backend",K1426="SAP",K1426="Network"),P1426=""),"Add Correlation ID",IF(AND(I1426="Fail",T1426=""),"Write Root Cause / evidence gap",IF(AND(I1426="Fail",V1426=""),"Assign team","OK"))))))))</f>
        <v/>
      </c>
    </row>
    <row r="1427">
      <c r="A1427" s="5" t="n"/>
      <c r="B1427" s="5" t="n"/>
      <c r="C1427" s="5" t="n"/>
      <c r="D1427" s="5" t="n"/>
      <c r="E1427" s="5" t="n"/>
      <c r="F1427" s="5" t="n"/>
      <c r="G1427" s="5" t="n"/>
      <c r="H1427" s="5" t="n"/>
      <c r="I1427" s="5" t="n"/>
      <c r="J1427" s="5" t="n"/>
      <c r="K1427" s="5" t="n"/>
      <c r="L1427" s="5" t="n"/>
      <c r="M1427" s="5" t="n"/>
      <c r="N1427" s="5" t="n"/>
      <c r="O1427" s="5" t="n"/>
      <c r="P1427" s="5" t="n"/>
      <c r="Q1427" s="5" t="n"/>
      <c r="R1427" s="5" t="n"/>
      <c r="S1427" s="5" t="n"/>
      <c r="T1427" s="5" t="n"/>
      <c r="U1427" s="5" t="n"/>
      <c r="V1427" s="5" t="n"/>
      <c r="W1427" s="5" t="n"/>
      <c r="X1427" s="5" t="n"/>
      <c r="Y1427" s="5">
        <f>IF(I1427="","",IF(AND(I1427="Fail",K1427=""),"Classify Issue Source",IF(AND(I1427="Fail",W1427=""),"Set Confidence",IF(AND(K1427="Unknown",W1427&lt;&gt;"Low"),"Unknown must be Low confidence",IF(AND(OR(K1427="Backend",K1427="SAP"),N1427=""),"Add HTTP status + endpoint",IF(AND(OR(K1427="Backend",K1427="SAP",K1427="Network"),P1427=""),"Add Correlation ID",IF(AND(I1427="Fail",T1427=""),"Write Root Cause / evidence gap",IF(AND(I1427="Fail",V1427=""),"Assign team","OK"))))))))</f>
        <v/>
      </c>
    </row>
    <row r="1428">
      <c r="A1428" s="5" t="n"/>
      <c r="B1428" s="5" t="n"/>
      <c r="C1428" s="5" t="n"/>
      <c r="D1428" s="5" t="n"/>
      <c r="E1428" s="5" t="n"/>
      <c r="F1428" s="5" t="n"/>
      <c r="G1428" s="5" t="n"/>
      <c r="H1428" s="5" t="n"/>
      <c r="I1428" s="5" t="n"/>
      <c r="J1428" s="5" t="n"/>
      <c r="K1428" s="5" t="n"/>
      <c r="L1428" s="5" t="n"/>
      <c r="M1428" s="5" t="n"/>
      <c r="N1428" s="5" t="n"/>
      <c r="O1428" s="5" t="n"/>
      <c r="P1428" s="5" t="n"/>
      <c r="Q1428" s="5" t="n"/>
      <c r="R1428" s="5" t="n"/>
      <c r="S1428" s="5" t="n"/>
      <c r="T1428" s="5" t="n"/>
      <c r="U1428" s="5" t="n"/>
      <c r="V1428" s="5" t="n"/>
      <c r="W1428" s="5" t="n"/>
      <c r="X1428" s="5" t="n"/>
      <c r="Y1428" s="5">
        <f>IF(I1428="","",IF(AND(I1428="Fail",K1428=""),"Classify Issue Source",IF(AND(I1428="Fail",W1428=""),"Set Confidence",IF(AND(K1428="Unknown",W1428&lt;&gt;"Low"),"Unknown must be Low confidence",IF(AND(OR(K1428="Backend",K1428="SAP"),N1428=""),"Add HTTP status + endpoint",IF(AND(OR(K1428="Backend",K1428="SAP",K1428="Network"),P1428=""),"Add Correlation ID",IF(AND(I1428="Fail",T1428=""),"Write Root Cause / evidence gap",IF(AND(I1428="Fail",V1428=""),"Assign team","OK"))))))))</f>
        <v/>
      </c>
    </row>
    <row r="1429">
      <c r="A1429" s="5" t="n"/>
      <c r="B1429" s="5" t="n"/>
      <c r="C1429" s="5" t="n"/>
      <c r="D1429" s="5" t="n"/>
      <c r="E1429" s="5" t="n"/>
      <c r="F1429" s="5" t="n"/>
      <c r="G1429" s="5" t="n"/>
      <c r="H1429" s="5" t="n"/>
      <c r="I1429" s="5" t="n"/>
      <c r="J1429" s="5" t="n"/>
      <c r="K1429" s="5" t="n"/>
      <c r="L1429" s="5" t="n"/>
      <c r="M1429" s="5" t="n"/>
      <c r="N1429" s="5" t="n"/>
      <c r="O1429" s="5" t="n"/>
      <c r="P1429" s="5" t="n"/>
      <c r="Q1429" s="5" t="n"/>
      <c r="R1429" s="5" t="n"/>
      <c r="S1429" s="5" t="n"/>
      <c r="T1429" s="5" t="n"/>
      <c r="U1429" s="5" t="n"/>
      <c r="V1429" s="5" t="n"/>
      <c r="W1429" s="5" t="n"/>
      <c r="X1429" s="5" t="n"/>
      <c r="Y1429" s="5">
        <f>IF(I1429="","",IF(AND(I1429="Fail",K1429=""),"Classify Issue Source",IF(AND(I1429="Fail",W1429=""),"Set Confidence",IF(AND(K1429="Unknown",W1429&lt;&gt;"Low"),"Unknown must be Low confidence",IF(AND(OR(K1429="Backend",K1429="SAP"),N1429=""),"Add HTTP status + endpoint",IF(AND(OR(K1429="Backend",K1429="SAP",K1429="Network"),P1429=""),"Add Correlation ID",IF(AND(I1429="Fail",T1429=""),"Write Root Cause / evidence gap",IF(AND(I1429="Fail",V1429=""),"Assign team","OK"))))))))</f>
        <v/>
      </c>
    </row>
    <row r="1430">
      <c r="A1430" s="5" t="n"/>
      <c r="B1430" s="5" t="n"/>
      <c r="C1430" s="5" t="n"/>
      <c r="D1430" s="5" t="n"/>
      <c r="E1430" s="5" t="n"/>
      <c r="F1430" s="5" t="n"/>
      <c r="G1430" s="5" t="n"/>
      <c r="H1430" s="5" t="n"/>
      <c r="I1430" s="5" t="n"/>
      <c r="J1430" s="5" t="n"/>
      <c r="K1430" s="5" t="n"/>
      <c r="L1430" s="5" t="n"/>
      <c r="M1430" s="5" t="n"/>
      <c r="N1430" s="5" t="n"/>
      <c r="O1430" s="5" t="n"/>
      <c r="P1430" s="5" t="n"/>
      <c r="Q1430" s="5" t="n"/>
      <c r="R1430" s="5" t="n"/>
      <c r="S1430" s="5" t="n"/>
      <c r="T1430" s="5" t="n"/>
      <c r="U1430" s="5" t="n"/>
      <c r="V1430" s="5" t="n"/>
      <c r="W1430" s="5" t="n"/>
      <c r="X1430" s="5" t="n"/>
      <c r="Y1430" s="5">
        <f>IF(I1430="","",IF(AND(I1430="Fail",K1430=""),"Classify Issue Source",IF(AND(I1430="Fail",W1430=""),"Set Confidence",IF(AND(K1430="Unknown",W1430&lt;&gt;"Low"),"Unknown must be Low confidence",IF(AND(OR(K1430="Backend",K1430="SAP"),N1430=""),"Add HTTP status + endpoint",IF(AND(OR(K1430="Backend",K1430="SAP",K1430="Network"),P1430=""),"Add Correlation ID",IF(AND(I1430="Fail",T1430=""),"Write Root Cause / evidence gap",IF(AND(I1430="Fail",V1430=""),"Assign team","OK"))))))))</f>
        <v/>
      </c>
    </row>
    <row r="1431">
      <c r="A1431" s="5" t="n"/>
      <c r="B1431" s="5" t="n"/>
      <c r="C1431" s="5" t="n"/>
      <c r="D1431" s="5" t="n"/>
      <c r="E1431" s="5" t="n"/>
      <c r="F1431" s="5" t="n"/>
      <c r="G1431" s="5" t="n"/>
      <c r="H1431" s="5" t="n"/>
      <c r="I1431" s="5" t="n"/>
      <c r="J1431" s="5" t="n"/>
      <c r="K1431" s="5" t="n"/>
      <c r="L1431" s="5" t="n"/>
      <c r="M1431" s="5" t="n"/>
      <c r="N1431" s="5" t="n"/>
      <c r="O1431" s="5" t="n"/>
      <c r="P1431" s="5" t="n"/>
      <c r="Q1431" s="5" t="n"/>
      <c r="R1431" s="5" t="n"/>
      <c r="S1431" s="5" t="n"/>
      <c r="T1431" s="5" t="n"/>
      <c r="U1431" s="5" t="n"/>
      <c r="V1431" s="5" t="n"/>
      <c r="W1431" s="5" t="n"/>
      <c r="X1431" s="5" t="n"/>
      <c r="Y1431" s="5">
        <f>IF(I1431="","",IF(AND(I1431="Fail",K1431=""),"Classify Issue Source",IF(AND(I1431="Fail",W1431=""),"Set Confidence",IF(AND(K1431="Unknown",W1431&lt;&gt;"Low"),"Unknown must be Low confidence",IF(AND(OR(K1431="Backend",K1431="SAP"),N1431=""),"Add HTTP status + endpoint",IF(AND(OR(K1431="Backend",K1431="SAP",K1431="Network"),P1431=""),"Add Correlation ID",IF(AND(I1431="Fail",T1431=""),"Write Root Cause / evidence gap",IF(AND(I1431="Fail",V1431=""),"Assign team","OK"))))))))</f>
        <v/>
      </c>
    </row>
    <row r="1432">
      <c r="A1432" s="5" t="n"/>
      <c r="B1432" s="5" t="n"/>
      <c r="C1432" s="5" t="n"/>
      <c r="D1432" s="5" t="n"/>
      <c r="E1432" s="5" t="n"/>
      <c r="F1432" s="5" t="n"/>
      <c r="G1432" s="5" t="n"/>
      <c r="H1432" s="5" t="n"/>
      <c r="I1432" s="5" t="n"/>
      <c r="J1432" s="5" t="n"/>
      <c r="K1432" s="5" t="n"/>
      <c r="L1432" s="5" t="n"/>
      <c r="M1432" s="5" t="n"/>
      <c r="N1432" s="5" t="n"/>
      <c r="O1432" s="5" t="n"/>
      <c r="P1432" s="5" t="n"/>
      <c r="Q1432" s="5" t="n"/>
      <c r="R1432" s="5" t="n"/>
      <c r="S1432" s="5" t="n"/>
      <c r="T1432" s="5" t="n"/>
      <c r="U1432" s="5" t="n"/>
      <c r="V1432" s="5" t="n"/>
      <c r="W1432" s="5" t="n"/>
      <c r="X1432" s="5" t="n"/>
      <c r="Y1432" s="5">
        <f>IF(I1432="","",IF(AND(I1432="Fail",K1432=""),"Classify Issue Source",IF(AND(I1432="Fail",W1432=""),"Set Confidence",IF(AND(K1432="Unknown",W1432&lt;&gt;"Low"),"Unknown must be Low confidence",IF(AND(OR(K1432="Backend",K1432="SAP"),N1432=""),"Add HTTP status + endpoint",IF(AND(OR(K1432="Backend",K1432="SAP",K1432="Network"),P1432=""),"Add Correlation ID",IF(AND(I1432="Fail",T1432=""),"Write Root Cause / evidence gap",IF(AND(I1432="Fail",V1432=""),"Assign team","OK"))))))))</f>
        <v/>
      </c>
    </row>
    <row r="1433">
      <c r="A1433" s="5" t="n"/>
      <c r="B1433" s="5" t="n"/>
      <c r="C1433" s="5" t="n"/>
      <c r="D1433" s="5" t="n"/>
      <c r="E1433" s="5" t="n"/>
      <c r="F1433" s="5" t="n"/>
      <c r="G1433" s="5" t="n"/>
      <c r="H1433" s="5" t="n"/>
      <c r="I1433" s="5" t="n"/>
      <c r="J1433" s="5" t="n"/>
      <c r="K1433" s="5" t="n"/>
      <c r="L1433" s="5" t="n"/>
      <c r="M1433" s="5" t="n"/>
      <c r="N1433" s="5" t="n"/>
      <c r="O1433" s="5" t="n"/>
      <c r="P1433" s="5" t="n"/>
      <c r="Q1433" s="5" t="n"/>
      <c r="R1433" s="5" t="n"/>
      <c r="S1433" s="5" t="n"/>
      <c r="T1433" s="5" t="n"/>
      <c r="U1433" s="5" t="n"/>
      <c r="V1433" s="5" t="n"/>
      <c r="W1433" s="5" t="n"/>
      <c r="X1433" s="5" t="n"/>
      <c r="Y1433" s="5">
        <f>IF(I1433="","",IF(AND(I1433="Fail",K1433=""),"Classify Issue Source",IF(AND(I1433="Fail",W1433=""),"Set Confidence",IF(AND(K1433="Unknown",W1433&lt;&gt;"Low"),"Unknown must be Low confidence",IF(AND(OR(K1433="Backend",K1433="SAP"),N1433=""),"Add HTTP status + endpoint",IF(AND(OR(K1433="Backend",K1433="SAP",K1433="Network"),P1433=""),"Add Correlation ID",IF(AND(I1433="Fail",T1433=""),"Write Root Cause / evidence gap",IF(AND(I1433="Fail",V1433=""),"Assign team","OK"))))))))</f>
        <v/>
      </c>
    </row>
    <row r="1434">
      <c r="A1434" s="5" t="n"/>
      <c r="B1434" s="5" t="n"/>
      <c r="C1434" s="5" t="n"/>
      <c r="D1434" s="5" t="n"/>
      <c r="E1434" s="5" t="n"/>
      <c r="F1434" s="5" t="n"/>
      <c r="G1434" s="5" t="n"/>
      <c r="H1434" s="5" t="n"/>
      <c r="I1434" s="5" t="n"/>
      <c r="J1434" s="5" t="n"/>
      <c r="K1434" s="5" t="n"/>
      <c r="L1434" s="5" t="n"/>
      <c r="M1434" s="5" t="n"/>
      <c r="N1434" s="5" t="n"/>
      <c r="O1434" s="5" t="n"/>
      <c r="P1434" s="5" t="n"/>
      <c r="Q1434" s="5" t="n"/>
      <c r="R1434" s="5" t="n"/>
      <c r="S1434" s="5" t="n"/>
      <c r="T1434" s="5" t="n"/>
      <c r="U1434" s="5" t="n"/>
      <c r="V1434" s="5" t="n"/>
      <c r="W1434" s="5" t="n"/>
      <c r="X1434" s="5" t="n"/>
      <c r="Y1434" s="5">
        <f>IF(I1434="","",IF(AND(I1434="Fail",K1434=""),"Classify Issue Source",IF(AND(I1434="Fail",W1434=""),"Set Confidence",IF(AND(K1434="Unknown",W1434&lt;&gt;"Low"),"Unknown must be Low confidence",IF(AND(OR(K1434="Backend",K1434="SAP"),N1434=""),"Add HTTP status + endpoint",IF(AND(OR(K1434="Backend",K1434="SAP",K1434="Network"),P1434=""),"Add Correlation ID",IF(AND(I1434="Fail",T1434=""),"Write Root Cause / evidence gap",IF(AND(I1434="Fail",V1434=""),"Assign team","OK"))))))))</f>
        <v/>
      </c>
    </row>
    <row r="1435">
      <c r="A1435" s="5" t="n"/>
      <c r="B1435" s="5" t="n"/>
      <c r="C1435" s="5" t="n"/>
      <c r="D1435" s="5" t="n"/>
      <c r="E1435" s="5" t="n"/>
      <c r="F1435" s="5" t="n"/>
      <c r="G1435" s="5" t="n"/>
      <c r="H1435" s="5" t="n"/>
      <c r="I1435" s="5" t="n"/>
      <c r="J1435" s="5" t="n"/>
      <c r="K1435" s="5" t="n"/>
      <c r="L1435" s="5" t="n"/>
      <c r="M1435" s="5" t="n"/>
      <c r="N1435" s="5" t="n"/>
      <c r="O1435" s="5" t="n"/>
      <c r="P1435" s="5" t="n"/>
      <c r="Q1435" s="5" t="n"/>
      <c r="R1435" s="5" t="n"/>
      <c r="S1435" s="5" t="n"/>
      <c r="T1435" s="5" t="n"/>
      <c r="U1435" s="5" t="n"/>
      <c r="V1435" s="5" t="n"/>
      <c r="W1435" s="5" t="n"/>
      <c r="X1435" s="5" t="n"/>
      <c r="Y1435" s="5">
        <f>IF(I1435="","",IF(AND(I1435="Fail",K1435=""),"Classify Issue Source",IF(AND(I1435="Fail",W1435=""),"Set Confidence",IF(AND(K1435="Unknown",W1435&lt;&gt;"Low"),"Unknown must be Low confidence",IF(AND(OR(K1435="Backend",K1435="SAP"),N1435=""),"Add HTTP status + endpoint",IF(AND(OR(K1435="Backend",K1435="SAP",K1435="Network"),P1435=""),"Add Correlation ID",IF(AND(I1435="Fail",T1435=""),"Write Root Cause / evidence gap",IF(AND(I1435="Fail",V1435=""),"Assign team","OK"))))))))</f>
        <v/>
      </c>
    </row>
    <row r="1436">
      <c r="A1436" s="5" t="n"/>
      <c r="B1436" s="5" t="n"/>
      <c r="C1436" s="5" t="n"/>
      <c r="D1436" s="5" t="n"/>
      <c r="E1436" s="5" t="n"/>
      <c r="F1436" s="5" t="n"/>
      <c r="G1436" s="5" t="n"/>
      <c r="H1436" s="5" t="n"/>
      <c r="I1436" s="5" t="n"/>
      <c r="J1436" s="5" t="n"/>
      <c r="K1436" s="5" t="n"/>
      <c r="L1436" s="5" t="n"/>
      <c r="M1436" s="5" t="n"/>
      <c r="N1436" s="5" t="n"/>
      <c r="O1436" s="5" t="n"/>
      <c r="P1436" s="5" t="n"/>
      <c r="Q1436" s="5" t="n"/>
      <c r="R1436" s="5" t="n"/>
      <c r="S1436" s="5" t="n"/>
      <c r="T1436" s="5" t="n"/>
      <c r="U1436" s="5" t="n"/>
      <c r="V1436" s="5" t="n"/>
      <c r="W1436" s="5" t="n"/>
      <c r="X1436" s="5" t="n"/>
      <c r="Y1436" s="5">
        <f>IF(I1436="","",IF(AND(I1436="Fail",K1436=""),"Classify Issue Source",IF(AND(I1436="Fail",W1436=""),"Set Confidence",IF(AND(K1436="Unknown",W1436&lt;&gt;"Low"),"Unknown must be Low confidence",IF(AND(OR(K1436="Backend",K1436="SAP"),N1436=""),"Add HTTP status + endpoint",IF(AND(OR(K1436="Backend",K1436="SAP",K1436="Network"),P1436=""),"Add Correlation ID",IF(AND(I1436="Fail",T1436=""),"Write Root Cause / evidence gap",IF(AND(I1436="Fail",V1436=""),"Assign team","OK"))))))))</f>
        <v/>
      </c>
    </row>
    <row r="1437">
      <c r="A1437" s="5" t="n"/>
      <c r="B1437" s="5" t="n"/>
      <c r="C1437" s="5" t="n"/>
      <c r="D1437" s="5" t="n"/>
      <c r="E1437" s="5" t="n"/>
      <c r="F1437" s="5" t="n"/>
      <c r="G1437" s="5" t="n"/>
      <c r="H1437" s="5" t="n"/>
      <c r="I1437" s="5" t="n"/>
      <c r="J1437" s="5" t="n"/>
      <c r="K1437" s="5" t="n"/>
      <c r="L1437" s="5" t="n"/>
      <c r="M1437" s="5" t="n"/>
      <c r="N1437" s="5" t="n"/>
      <c r="O1437" s="5" t="n"/>
      <c r="P1437" s="5" t="n"/>
      <c r="Q1437" s="5" t="n"/>
      <c r="R1437" s="5" t="n"/>
      <c r="S1437" s="5" t="n"/>
      <c r="T1437" s="5" t="n"/>
      <c r="U1437" s="5" t="n"/>
      <c r="V1437" s="5" t="n"/>
      <c r="W1437" s="5" t="n"/>
      <c r="X1437" s="5" t="n"/>
      <c r="Y1437" s="5">
        <f>IF(I1437="","",IF(AND(I1437="Fail",K1437=""),"Classify Issue Source",IF(AND(I1437="Fail",W1437=""),"Set Confidence",IF(AND(K1437="Unknown",W1437&lt;&gt;"Low"),"Unknown must be Low confidence",IF(AND(OR(K1437="Backend",K1437="SAP"),N1437=""),"Add HTTP status + endpoint",IF(AND(OR(K1437="Backend",K1437="SAP",K1437="Network"),P1437=""),"Add Correlation ID",IF(AND(I1437="Fail",T1437=""),"Write Root Cause / evidence gap",IF(AND(I1437="Fail",V1437=""),"Assign team","OK"))))))))</f>
        <v/>
      </c>
    </row>
    <row r="1438">
      <c r="A1438" s="5" t="n"/>
      <c r="B1438" s="5" t="n"/>
      <c r="C1438" s="5" t="n"/>
      <c r="D1438" s="5" t="n"/>
      <c r="E1438" s="5" t="n"/>
      <c r="F1438" s="5" t="n"/>
      <c r="G1438" s="5" t="n"/>
      <c r="H1438" s="5" t="n"/>
      <c r="I1438" s="5" t="n"/>
      <c r="J1438" s="5" t="n"/>
      <c r="K1438" s="5" t="n"/>
      <c r="L1438" s="5" t="n"/>
      <c r="M1438" s="5" t="n"/>
      <c r="N1438" s="5" t="n"/>
      <c r="O1438" s="5" t="n"/>
      <c r="P1438" s="5" t="n"/>
      <c r="Q1438" s="5" t="n"/>
      <c r="R1438" s="5" t="n"/>
      <c r="S1438" s="5" t="n"/>
      <c r="T1438" s="5" t="n"/>
      <c r="U1438" s="5" t="n"/>
      <c r="V1438" s="5" t="n"/>
      <c r="W1438" s="5" t="n"/>
      <c r="X1438" s="5" t="n"/>
      <c r="Y1438" s="5">
        <f>IF(I1438="","",IF(AND(I1438="Fail",K1438=""),"Classify Issue Source",IF(AND(I1438="Fail",W1438=""),"Set Confidence",IF(AND(K1438="Unknown",W1438&lt;&gt;"Low"),"Unknown must be Low confidence",IF(AND(OR(K1438="Backend",K1438="SAP"),N1438=""),"Add HTTP status + endpoint",IF(AND(OR(K1438="Backend",K1438="SAP",K1438="Network"),P1438=""),"Add Correlation ID",IF(AND(I1438="Fail",T1438=""),"Write Root Cause / evidence gap",IF(AND(I1438="Fail",V1438=""),"Assign team","OK"))))))))</f>
        <v/>
      </c>
    </row>
    <row r="1439">
      <c r="A1439" s="5" t="n"/>
      <c r="B1439" s="5" t="n"/>
      <c r="C1439" s="5" t="n"/>
      <c r="D1439" s="5" t="n"/>
      <c r="E1439" s="5" t="n"/>
      <c r="F1439" s="5" t="n"/>
      <c r="G1439" s="5" t="n"/>
      <c r="H1439" s="5" t="n"/>
      <c r="I1439" s="5" t="n"/>
      <c r="J1439" s="5" t="n"/>
      <c r="K1439" s="5" t="n"/>
      <c r="L1439" s="5" t="n"/>
      <c r="M1439" s="5" t="n"/>
      <c r="N1439" s="5" t="n"/>
      <c r="O1439" s="5" t="n"/>
      <c r="P1439" s="5" t="n"/>
      <c r="Q1439" s="5" t="n"/>
      <c r="R1439" s="5" t="n"/>
      <c r="S1439" s="5" t="n"/>
      <c r="T1439" s="5" t="n"/>
      <c r="U1439" s="5" t="n"/>
      <c r="V1439" s="5" t="n"/>
      <c r="W1439" s="5" t="n"/>
      <c r="X1439" s="5" t="n"/>
      <c r="Y1439" s="5">
        <f>IF(I1439="","",IF(AND(I1439="Fail",K1439=""),"Classify Issue Source",IF(AND(I1439="Fail",W1439=""),"Set Confidence",IF(AND(K1439="Unknown",W1439&lt;&gt;"Low"),"Unknown must be Low confidence",IF(AND(OR(K1439="Backend",K1439="SAP"),N1439=""),"Add HTTP status + endpoint",IF(AND(OR(K1439="Backend",K1439="SAP",K1439="Network"),P1439=""),"Add Correlation ID",IF(AND(I1439="Fail",T1439=""),"Write Root Cause / evidence gap",IF(AND(I1439="Fail",V1439=""),"Assign team","OK"))))))))</f>
        <v/>
      </c>
    </row>
    <row r="1440">
      <c r="A1440" s="5" t="n"/>
      <c r="B1440" s="5" t="n"/>
      <c r="C1440" s="5" t="n"/>
      <c r="D1440" s="5" t="n"/>
      <c r="E1440" s="5" t="n"/>
      <c r="F1440" s="5" t="n"/>
      <c r="G1440" s="5" t="n"/>
      <c r="H1440" s="5" t="n"/>
      <c r="I1440" s="5" t="n"/>
      <c r="J1440" s="5" t="n"/>
      <c r="K1440" s="5" t="n"/>
      <c r="L1440" s="5" t="n"/>
      <c r="M1440" s="5" t="n"/>
      <c r="N1440" s="5" t="n"/>
      <c r="O1440" s="5" t="n"/>
      <c r="P1440" s="5" t="n"/>
      <c r="Q1440" s="5" t="n"/>
      <c r="R1440" s="5" t="n"/>
      <c r="S1440" s="5" t="n"/>
      <c r="T1440" s="5" t="n"/>
      <c r="U1440" s="5" t="n"/>
      <c r="V1440" s="5" t="n"/>
      <c r="W1440" s="5" t="n"/>
      <c r="X1440" s="5" t="n"/>
      <c r="Y1440" s="5">
        <f>IF(I1440="","",IF(AND(I1440="Fail",K1440=""),"Classify Issue Source",IF(AND(I1440="Fail",W1440=""),"Set Confidence",IF(AND(K1440="Unknown",W1440&lt;&gt;"Low"),"Unknown must be Low confidence",IF(AND(OR(K1440="Backend",K1440="SAP"),N1440=""),"Add HTTP status + endpoint",IF(AND(OR(K1440="Backend",K1440="SAP",K1440="Network"),P1440=""),"Add Correlation ID",IF(AND(I1440="Fail",T1440=""),"Write Root Cause / evidence gap",IF(AND(I1440="Fail",V1440=""),"Assign team","OK"))))))))</f>
        <v/>
      </c>
    </row>
    <row r="1441">
      <c r="A1441" s="5" t="n"/>
      <c r="B1441" s="5" t="n"/>
      <c r="C1441" s="5" t="n"/>
      <c r="D1441" s="5" t="n"/>
      <c r="E1441" s="5" t="n"/>
      <c r="F1441" s="5" t="n"/>
      <c r="G1441" s="5" t="n"/>
      <c r="H1441" s="5" t="n"/>
      <c r="I1441" s="5" t="n"/>
      <c r="J1441" s="5" t="n"/>
      <c r="K1441" s="5" t="n"/>
      <c r="L1441" s="5" t="n"/>
      <c r="M1441" s="5" t="n"/>
      <c r="N1441" s="5" t="n"/>
      <c r="O1441" s="5" t="n"/>
      <c r="P1441" s="5" t="n"/>
      <c r="Q1441" s="5" t="n"/>
      <c r="R1441" s="5" t="n"/>
      <c r="S1441" s="5" t="n"/>
      <c r="T1441" s="5" t="n"/>
      <c r="U1441" s="5" t="n"/>
      <c r="V1441" s="5" t="n"/>
      <c r="W1441" s="5" t="n"/>
      <c r="X1441" s="5" t="n"/>
      <c r="Y1441" s="5">
        <f>IF(I1441="","",IF(AND(I1441="Fail",K1441=""),"Classify Issue Source",IF(AND(I1441="Fail",W1441=""),"Set Confidence",IF(AND(K1441="Unknown",W1441&lt;&gt;"Low"),"Unknown must be Low confidence",IF(AND(OR(K1441="Backend",K1441="SAP"),N1441=""),"Add HTTP status + endpoint",IF(AND(OR(K1441="Backend",K1441="SAP",K1441="Network"),P1441=""),"Add Correlation ID",IF(AND(I1441="Fail",T1441=""),"Write Root Cause / evidence gap",IF(AND(I1441="Fail",V1441=""),"Assign team","OK"))))))))</f>
        <v/>
      </c>
    </row>
    <row r="1442">
      <c r="A1442" s="5" t="n"/>
      <c r="B1442" s="5" t="n"/>
      <c r="C1442" s="5" t="n"/>
      <c r="D1442" s="5" t="n"/>
      <c r="E1442" s="5" t="n"/>
      <c r="F1442" s="5" t="n"/>
      <c r="G1442" s="5" t="n"/>
      <c r="H1442" s="5" t="n"/>
      <c r="I1442" s="5" t="n"/>
      <c r="J1442" s="5" t="n"/>
      <c r="K1442" s="5" t="n"/>
      <c r="L1442" s="5" t="n"/>
      <c r="M1442" s="5" t="n"/>
      <c r="N1442" s="5" t="n"/>
      <c r="O1442" s="5" t="n"/>
      <c r="P1442" s="5" t="n"/>
      <c r="Q1442" s="5" t="n"/>
      <c r="R1442" s="5" t="n"/>
      <c r="S1442" s="5" t="n"/>
      <c r="T1442" s="5" t="n"/>
      <c r="U1442" s="5" t="n"/>
      <c r="V1442" s="5" t="n"/>
      <c r="W1442" s="5" t="n"/>
      <c r="X1442" s="5" t="n"/>
      <c r="Y1442" s="5">
        <f>IF(I1442="","",IF(AND(I1442="Fail",K1442=""),"Classify Issue Source",IF(AND(I1442="Fail",W1442=""),"Set Confidence",IF(AND(K1442="Unknown",W1442&lt;&gt;"Low"),"Unknown must be Low confidence",IF(AND(OR(K1442="Backend",K1442="SAP"),N1442=""),"Add HTTP status + endpoint",IF(AND(OR(K1442="Backend",K1442="SAP",K1442="Network"),P1442=""),"Add Correlation ID",IF(AND(I1442="Fail",T1442=""),"Write Root Cause / evidence gap",IF(AND(I1442="Fail",V1442=""),"Assign team","OK"))))))))</f>
        <v/>
      </c>
    </row>
    <row r="1443">
      <c r="A1443" s="5" t="n"/>
      <c r="B1443" s="5" t="n"/>
      <c r="C1443" s="5" t="n"/>
      <c r="D1443" s="5" t="n"/>
      <c r="E1443" s="5" t="n"/>
      <c r="F1443" s="5" t="n"/>
      <c r="G1443" s="5" t="n"/>
      <c r="H1443" s="5" t="n"/>
      <c r="I1443" s="5" t="n"/>
      <c r="J1443" s="5" t="n"/>
      <c r="K1443" s="5" t="n"/>
      <c r="L1443" s="5" t="n"/>
      <c r="M1443" s="5" t="n"/>
      <c r="N1443" s="5" t="n"/>
      <c r="O1443" s="5" t="n"/>
      <c r="P1443" s="5" t="n"/>
      <c r="Q1443" s="5" t="n"/>
      <c r="R1443" s="5" t="n"/>
      <c r="S1443" s="5" t="n"/>
      <c r="T1443" s="5" t="n"/>
      <c r="U1443" s="5" t="n"/>
      <c r="V1443" s="5" t="n"/>
      <c r="W1443" s="5" t="n"/>
      <c r="X1443" s="5" t="n"/>
      <c r="Y1443" s="5">
        <f>IF(I1443="","",IF(AND(I1443="Fail",K1443=""),"Classify Issue Source",IF(AND(I1443="Fail",W1443=""),"Set Confidence",IF(AND(K1443="Unknown",W1443&lt;&gt;"Low"),"Unknown must be Low confidence",IF(AND(OR(K1443="Backend",K1443="SAP"),N1443=""),"Add HTTP status + endpoint",IF(AND(OR(K1443="Backend",K1443="SAP",K1443="Network"),P1443=""),"Add Correlation ID",IF(AND(I1443="Fail",T1443=""),"Write Root Cause / evidence gap",IF(AND(I1443="Fail",V1443=""),"Assign team","OK"))))))))</f>
        <v/>
      </c>
    </row>
    <row r="1444">
      <c r="A1444" s="5" t="n"/>
      <c r="B1444" s="5" t="n"/>
      <c r="C1444" s="5" t="n"/>
      <c r="D1444" s="5" t="n"/>
      <c r="E1444" s="5" t="n"/>
      <c r="F1444" s="5" t="n"/>
      <c r="G1444" s="5" t="n"/>
      <c r="H1444" s="5" t="n"/>
      <c r="I1444" s="5" t="n"/>
      <c r="J1444" s="5" t="n"/>
      <c r="K1444" s="5" t="n"/>
      <c r="L1444" s="5" t="n"/>
      <c r="M1444" s="5" t="n"/>
      <c r="N1444" s="5" t="n"/>
      <c r="O1444" s="5" t="n"/>
      <c r="P1444" s="5" t="n"/>
      <c r="Q1444" s="5" t="n"/>
      <c r="R1444" s="5" t="n"/>
      <c r="S1444" s="5" t="n"/>
      <c r="T1444" s="5" t="n"/>
      <c r="U1444" s="5" t="n"/>
      <c r="V1444" s="5" t="n"/>
      <c r="W1444" s="5" t="n"/>
      <c r="X1444" s="5" t="n"/>
      <c r="Y1444" s="5">
        <f>IF(I1444="","",IF(AND(I1444="Fail",K1444=""),"Classify Issue Source",IF(AND(I1444="Fail",W1444=""),"Set Confidence",IF(AND(K1444="Unknown",W1444&lt;&gt;"Low"),"Unknown must be Low confidence",IF(AND(OR(K1444="Backend",K1444="SAP"),N1444=""),"Add HTTP status + endpoint",IF(AND(OR(K1444="Backend",K1444="SAP",K1444="Network"),P1444=""),"Add Correlation ID",IF(AND(I1444="Fail",T1444=""),"Write Root Cause / evidence gap",IF(AND(I1444="Fail",V1444=""),"Assign team","OK"))))))))</f>
        <v/>
      </c>
    </row>
    <row r="1445">
      <c r="A1445" s="5" t="n"/>
      <c r="B1445" s="5" t="n"/>
      <c r="C1445" s="5" t="n"/>
      <c r="D1445" s="5" t="n"/>
      <c r="E1445" s="5" t="n"/>
      <c r="F1445" s="5" t="n"/>
      <c r="G1445" s="5" t="n"/>
      <c r="H1445" s="5" t="n"/>
      <c r="I1445" s="5" t="n"/>
      <c r="J1445" s="5" t="n"/>
      <c r="K1445" s="5" t="n"/>
      <c r="L1445" s="5" t="n"/>
      <c r="M1445" s="5" t="n"/>
      <c r="N1445" s="5" t="n"/>
      <c r="O1445" s="5" t="n"/>
      <c r="P1445" s="5" t="n"/>
      <c r="Q1445" s="5" t="n"/>
      <c r="R1445" s="5" t="n"/>
      <c r="S1445" s="5" t="n"/>
      <c r="T1445" s="5" t="n"/>
      <c r="U1445" s="5" t="n"/>
      <c r="V1445" s="5" t="n"/>
      <c r="W1445" s="5" t="n"/>
      <c r="X1445" s="5" t="n"/>
      <c r="Y1445" s="5">
        <f>IF(I1445="","",IF(AND(I1445="Fail",K1445=""),"Classify Issue Source",IF(AND(I1445="Fail",W1445=""),"Set Confidence",IF(AND(K1445="Unknown",W1445&lt;&gt;"Low"),"Unknown must be Low confidence",IF(AND(OR(K1445="Backend",K1445="SAP"),N1445=""),"Add HTTP status + endpoint",IF(AND(OR(K1445="Backend",K1445="SAP",K1445="Network"),P1445=""),"Add Correlation ID",IF(AND(I1445="Fail",T1445=""),"Write Root Cause / evidence gap",IF(AND(I1445="Fail",V1445=""),"Assign team","OK"))))))))</f>
        <v/>
      </c>
    </row>
    <row r="1446">
      <c r="A1446" s="5" t="n"/>
      <c r="B1446" s="5" t="n"/>
      <c r="C1446" s="5" t="n"/>
      <c r="D1446" s="5" t="n"/>
      <c r="E1446" s="5" t="n"/>
      <c r="F1446" s="5" t="n"/>
      <c r="G1446" s="5" t="n"/>
      <c r="H1446" s="5" t="n"/>
      <c r="I1446" s="5" t="n"/>
      <c r="J1446" s="5" t="n"/>
      <c r="K1446" s="5" t="n"/>
      <c r="L1446" s="5" t="n"/>
      <c r="M1446" s="5" t="n"/>
      <c r="N1446" s="5" t="n"/>
      <c r="O1446" s="5" t="n"/>
      <c r="P1446" s="5" t="n"/>
      <c r="Q1446" s="5" t="n"/>
      <c r="R1446" s="5" t="n"/>
      <c r="S1446" s="5" t="n"/>
      <c r="T1446" s="5" t="n"/>
      <c r="U1446" s="5" t="n"/>
      <c r="V1446" s="5" t="n"/>
      <c r="W1446" s="5" t="n"/>
      <c r="X1446" s="5" t="n"/>
      <c r="Y1446" s="5">
        <f>IF(I1446="","",IF(AND(I1446="Fail",K1446=""),"Classify Issue Source",IF(AND(I1446="Fail",W1446=""),"Set Confidence",IF(AND(K1446="Unknown",W1446&lt;&gt;"Low"),"Unknown must be Low confidence",IF(AND(OR(K1446="Backend",K1446="SAP"),N1446=""),"Add HTTP status + endpoint",IF(AND(OR(K1446="Backend",K1446="SAP",K1446="Network"),P1446=""),"Add Correlation ID",IF(AND(I1446="Fail",T1446=""),"Write Root Cause / evidence gap",IF(AND(I1446="Fail",V1446=""),"Assign team","OK"))))))))</f>
        <v/>
      </c>
    </row>
    <row r="1447">
      <c r="A1447" s="5" t="n"/>
      <c r="B1447" s="5" t="n"/>
      <c r="C1447" s="5" t="n"/>
      <c r="D1447" s="5" t="n"/>
      <c r="E1447" s="5" t="n"/>
      <c r="F1447" s="5" t="n"/>
      <c r="G1447" s="5" t="n"/>
      <c r="H1447" s="5" t="n"/>
      <c r="I1447" s="5" t="n"/>
      <c r="J1447" s="5" t="n"/>
      <c r="K1447" s="5" t="n"/>
      <c r="L1447" s="5" t="n"/>
      <c r="M1447" s="5" t="n"/>
      <c r="N1447" s="5" t="n"/>
      <c r="O1447" s="5" t="n"/>
      <c r="P1447" s="5" t="n"/>
      <c r="Q1447" s="5" t="n"/>
      <c r="R1447" s="5" t="n"/>
      <c r="S1447" s="5" t="n"/>
      <c r="T1447" s="5" t="n"/>
      <c r="U1447" s="5" t="n"/>
      <c r="V1447" s="5" t="n"/>
      <c r="W1447" s="5" t="n"/>
      <c r="X1447" s="5" t="n"/>
      <c r="Y1447" s="5">
        <f>IF(I1447="","",IF(AND(I1447="Fail",K1447=""),"Classify Issue Source",IF(AND(I1447="Fail",W1447=""),"Set Confidence",IF(AND(K1447="Unknown",W1447&lt;&gt;"Low"),"Unknown must be Low confidence",IF(AND(OR(K1447="Backend",K1447="SAP"),N1447=""),"Add HTTP status + endpoint",IF(AND(OR(K1447="Backend",K1447="SAP",K1447="Network"),P1447=""),"Add Correlation ID",IF(AND(I1447="Fail",T1447=""),"Write Root Cause / evidence gap",IF(AND(I1447="Fail",V1447=""),"Assign team","OK"))))))))</f>
        <v/>
      </c>
    </row>
    <row r="1448">
      <c r="A1448" s="5" t="n"/>
      <c r="B1448" s="5" t="n"/>
      <c r="C1448" s="5" t="n"/>
      <c r="D1448" s="5" t="n"/>
      <c r="E1448" s="5" t="n"/>
      <c r="F1448" s="5" t="n"/>
      <c r="G1448" s="5" t="n"/>
      <c r="H1448" s="5" t="n"/>
      <c r="I1448" s="5" t="n"/>
      <c r="J1448" s="5" t="n"/>
      <c r="K1448" s="5" t="n"/>
      <c r="L1448" s="5" t="n"/>
      <c r="M1448" s="5" t="n"/>
      <c r="N1448" s="5" t="n"/>
      <c r="O1448" s="5" t="n"/>
      <c r="P1448" s="5" t="n"/>
      <c r="Q1448" s="5" t="n"/>
      <c r="R1448" s="5" t="n"/>
      <c r="S1448" s="5" t="n"/>
      <c r="T1448" s="5" t="n"/>
      <c r="U1448" s="5" t="n"/>
      <c r="V1448" s="5" t="n"/>
      <c r="W1448" s="5" t="n"/>
      <c r="X1448" s="5" t="n"/>
      <c r="Y1448" s="5">
        <f>IF(I1448="","",IF(AND(I1448="Fail",K1448=""),"Classify Issue Source",IF(AND(I1448="Fail",W1448=""),"Set Confidence",IF(AND(K1448="Unknown",W1448&lt;&gt;"Low"),"Unknown must be Low confidence",IF(AND(OR(K1448="Backend",K1448="SAP"),N1448=""),"Add HTTP status + endpoint",IF(AND(OR(K1448="Backend",K1448="SAP",K1448="Network"),P1448=""),"Add Correlation ID",IF(AND(I1448="Fail",T1448=""),"Write Root Cause / evidence gap",IF(AND(I1448="Fail",V1448=""),"Assign team","OK"))))))))</f>
        <v/>
      </c>
    </row>
    <row r="1449">
      <c r="A1449" s="5" t="n"/>
      <c r="B1449" s="5" t="n"/>
      <c r="C1449" s="5" t="n"/>
      <c r="D1449" s="5" t="n"/>
      <c r="E1449" s="5" t="n"/>
      <c r="F1449" s="5" t="n"/>
      <c r="G1449" s="5" t="n"/>
      <c r="H1449" s="5" t="n"/>
      <c r="I1449" s="5" t="n"/>
      <c r="J1449" s="5" t="n"/>
      <c r="K1449" s="5" t="n"/>
      <c r="L1449" s="5" t="n"/>
      <c r="M1449" s="5" t="n"/>
      <c r="N1449" s="5" t="n"/>
      <c r="O1449" s="5" t="n"/>
      <c r="P1449" s="5" t="n"/>
      <c r="Q1449" s="5" t="n"/>
      <c r="R1449" s="5" t="n"/>
      <c r="S1449" s="5" t="n"/>
      <c r="T1449" s="5" t="n"/>
      <c r="U1449" s="5" t="n"/>
      <c r="V1449" s="5" t="n"/>
      <c r="W1449" s="5" t="n"/>
      <c r="X1449" s="5" t="n"/>
      <c r="Y1449" s="5">
        <f>IF(I1449="","",IF(AND(I1449="Fail",K1449=""),"Classify Issue Source",IF(AND(I1449="Fail",W1449=""),"Set Confidence",IF(AND(K1449="Unknown",W1449&lt;&gt;"Low"),"Unknown must be Low confidence",IF(AND(OR(K1449="Backend",K1449="SAP"),N1449=""),"Add HTTP status + endpoint",IF(AND(OR(K1449="Backend",K1449="SAP",K1449="Network"),P1449=""),"Add Correlation ID",IF(AND(I1449="Fail",T1449=""),"Write Root Cause / evidence gap",IF(AND(I1449="Fail",V1449=""),"Assign team","OK"))))))))</f>
        <v/>
      </c>
    </row>
    <row r="1450">
      <c r="A1450" s="5" t="n"/>
      <c r="B1450" s="5" t="n"/>
      <c r="C1450" s="5" t="n"/>
      <c r="D1450" s="5" t="n"/>
      <c r="E1450" s="5" t="n"/>
      <c r="F1450" s="5" t="n"/>
      <c r="G1450" s="5" t="n"/>
      <c r="H1450" s="5" t="n"/>
      <c r="I1450" s="5" t="n"/>
      <c r="J1450" s="5" t="n"/>
      <c r="K1450" s="5" t="n"/>
      <c r="L1450" s="5" t="n"/>
      <c r="M1450" s="5" t="n"/>
      <c r="N1450" s="5" t="n"/>
      <c r="O1450" s="5" t="n"/>
      <c r="P1450" s="5" t="n"/>
      <c r="Q1450" s="5" t="n"/>
      <c r="R1450" s="5" t="n"/>
      <c r="S1450" s="5" t="n"/>
      <c r="T1450" s="5" t="n"/>
      <c r="U1450" s="5" t="n"/>
      <c r="V1450" s="5" t="n"/>
      <c r="W1450" s="5" t="n"/>
      <c r="X1450" s="5" t="n"/>
      <c r="Y1450" s="5">
        <f>IF(I1450="","",IF(AND(I1450="Fail",K1450=""),"Classify Issue Source",IF(AND(I1450="Fail",W1450=""),"Set Confidence",IF(AND(K1450="Unknown",W1450&lt;&gt;"Low"),"Unknown must be Low confidence",IF(AND(OR(K1450="Backend",K1450="SAP"),N1450=""),"Add HTTP status + endpoint",IF(AND(OR(K1450="Backend",K1450="SAP",K1450="Network"),P1450=""),"Add Correlation ID",IF(AND(I1450="Fail",T1450=""),"Write Root Cause / evidence gap",IF(AND(I1450="Fail",V1450=""),"Assign team","OK"))))))))</f>
        <v/>
      </c>
    </row>
    <row r="1451">
      <c r="A1451" s="5" t="n"/>
      <c r="B1451" s="5" t="n"/>
      <c r="C1451" s="5" t="n"/>
      <c r="D1451" s="5" t="n"/>
      <c r="E1451" s="5" t="n"/>
      <c r="F1451" s="5" t="n"/>
      <c r="G1451" s="5" t="n"/>
      <c r="H1451" s="5" t="n"/>
      <c r="I1451" s="5" t="n"/>
      <c r="J1451" s="5" t="n"/>
      <c r="K1451" s="5" t="n"/>
      <c r="L1451" s="5" t="n"/>
      <c r="M1451" s="5" t="n"/>
      <c r="N1451" s="5" t="n"/>
      <c r="O1451" s="5" t="n"/>
      <c r="P1451" s="5" t="n"/>
      <c r="Q1451" s="5" t="n"/>
      <c r="R1451" s="5" t="n"/>
      <c r="S1451" s="5" t="n"/>
      <c r="T1451" s="5" t="n"/>
      <c r="U1451" s="5" t="n"/>
      <c r="V1451" s="5" t="n"/>
      <c r="W1451" s="5" t="n"/>
      <c r="X1451" s="5" t="n"/>
      <c r="Y1451" s="5">
        <f>IF(I1451="","",IF(AND(I1451="Fail",K1451=""),"Classify Issue Source",IF(AND(I1451="Fail",W1451=""),"Set Confidence",IF(AND(K1451="Unknown",W1451&lt;&gt;"Low"),"Unknown must be Low confidence",IF(AND(OR(K1451="Backend",K1451="SAP"),N1451=""),"Add HTTP status + endpoint",IF(AND(OR(K1451="Backend",K1451="SAP",K1451="Network"),P1451=""),"Add Correlation ID",IF(AND(I1451="Fail",T1451=""),"Write Root Cause / evidence gap",IF(AND(I1451="Fail",V1451=""),"Assign team","OK"))))))))</f>
        <v/>
      </c>
    </row>
    <row r="1452">
      <c r="A1452" s="5" t="n"/>
      <c r="B1452" s="5" t="n"/>
      <c r="C1452" s="5" t="n"/>
      <c r="D1452" s="5" t="n"/>
      <c r="E1452" s="5" t="n"/>
      <c r="F1452" s="5" t="n"/>
      <c r="G1452" s="5" t="n"/>
      <c r="H1452" s="5" t="n"/>
      <c r="I1452" s="5" t="n"/>
      <c r="J1452" s="5" t="n"/>
      <c r="K1452" s="5" t="n"/>
      <c r="L1452" s="5" t="n"/>
      <c r="M1452" s="5" t="n"/>
      <c r="N1452" s="5" t="n"/>
      <c r="O1452" s="5" t="n"/>
      <c r="P1452" s="5" t="n"/>
      <c r="Q1452" s="5" t="n"/>
      <c r="R1452" s="5" t="n"/>
      <c r="S1452" s="5" t="n"/>
      <c r="T1452" s="5" t="n"/>
      <c r="U1452" s="5" t="n"/>
      <c r="V1452" s="5" t="n"/>
      <c r="W1452" s="5" t="n"/>
      <c r="X1452" s="5" t="n"/>
      <c r="Y1452" s="5">
        <f>IF(I1452="","",IF(AND(I1452="Fail",K1452=""),"Classify Issue Source",IF(AND(I1452="Fail",W1452=""),"Set Confidence",IF(AND(K1452="Unknown",W1452&lt;&gt;"Low"),"Unknown must be Low confidence",IF(AND(OR(K1452="Backend",K1452="SAP"),N1452=""),"Add HTTP status + endpoint",IF(AND(OR(K1452="Backend",K1452="SAP",K1452="Network"),P1452=""),"Add Correlation ID",IF(AND(I1452="Fail",T1452=""),"Write Root Cause / evidence gap",IF(AND(I1452="Fail",V1452=""),"Assign team","OK"))))))))</f>
        <v/>
      </c>
    </row>
    <row r="1453">
      <c r="A1453" s="5" t="n"/>
      <c r="B1453" s="5" t="n"/>
      <c r="C1453" s="5" t="n"/>
      <c r="D1453" s="5" t="n"/>
      <c r="E1453" s="5" t="n"/>
      <c r="F1453" s="5" t="n"/>
      <c r="G1453" s="5" t="n"/>
      <c r="H1453" s="5" t="n"/>
      <c r="I1453" s="5" t="n"/>
      <c r="J1453" s="5" t="n"/>
      <c r="K1453" s="5" t="n"/>
      <c r="L1453" s="5" t="n"/>
      <c r="M1453" s="5" t="n"/>
      <c r="N1453" s="5" t="n"/>
      <c r="O1453" s="5" t="n"/>
      <c r="P1453" s="5" t="n"/>
      <c r="Q1453" s="5" t="n"/>
      <c r="R1453" s="5" t="n"/>
      <c r="S1453" s="5" t="n"/>
      <c r="T1453" s="5" t="n"/>
      <c r="U1453" s="5" t="n"/>
      <c r="V1453" s="5" t="n"/>
      <c r="W1453" s="5" t="n"/>
      <c r="X1453" s="5" t="n"/>
      <c r="Y1453" s="5">
        <f>IF(I1453="","",IF(AND(I1453="Fail",K1453=""),"Classify Issue Source",IF(AND(I1453="Fail",W1453=""),"Set Confidence",IF(AND(K1453="Unknown",W1453&lt;&gt;"Low"),"Unknown must be Low confidence",IF(AND(OR(K1453="Backend",K1453="SAP"),N1453=""),"Add HTTP status + endpoint",IF(AND(OR(K1453="Backend",K1453="SAP",K1453="Network"),P1453=""),"Add Correlation ID",IF(AND(I1453="Fail",T1453=""),"Write Root Cause / evidence gap",IF(AND(I1453="Fail",V1453=""),"Assign team","OK"))))))))</f>
        <v/>
      </c>
    </row>
    <row r="1454">
      <c r="A1454" s="5" t="n"/>
      <c r="B1454" s="5" t="n"/>
      <c r="C1454" s="5" t="n"/>
      <c r="D1454" s="5" t="n"/>
      <c r="E1454" s="5" t="n"/>
      <c r="F1454" s="5" t="n"/>
      <c r="G1454" s="5" t="n"/>
      <c r="H1454" s="5" t="n"/>
      <c r="I1454" s="5" t="n"/>
      <c r="J1454" s="5" t="n"/>
      <c r="K1454" s="5" t="n"/>
      <c r="L1454" s="5" t="n"/>
      <c r="M1454" s="5" t="n"/>
      <c r="N1454" s="5" t="n"/>
      <c r="O1454" s="5" t="n"/>
      <c r="P1454" s="5" t="n"/>
      <c r="Q1454" s="5" t="n"/>
      <c r="R1454" s="5" t="n"/>
      <c r="S1454" s="5" t="n"/>
      <c r="T1454" s="5" t="n"/>
      <c r="U1454" s="5" t="n"/>
      <c r="V1454" s="5" t="n"/>
      <c r="W1454" s="5" t="n"/>
      <c r="X1454" s="5" t="n"/>
      <c r="Y1454" s="5">
        <f>IF(I1454="","",IF(AND(I1454="Fail",K1454=""),"Classify Issue Source",IF(AND(I1454="Fail",W1454=""),"Set Confidence",IF(AND(K1454="Unknown",W1454&lt;&gt;"Low"),"Unknown must be Low confidence",IF(AND(OR(K1454="Backend",K1454="SAP"),N1454=""),"Add HTTP status + endpoint",IF(AND(OR(K1454="Backend",K1454="SAP",K1454="Network"),P1454=""),"Add Correlation ID",IF(AND(I1454="Fail",T1454=""),"Write Root Cause / evidence gap",IF(AND(I1454="Fail",V1454=""),"Assign team","OK"))))))))</f>
        <v/>
      </c>
    </row>
    <row r="1455">
      <c r="A1455" s="5" t="n"/>
      <c r="B1455" s="5" t="n"/>
      <c r="C1455" s="5" t="n"/>
      <c r="D1455" s="5" t="n"/>
      <c r="E1455" s="5" t="n"/>
      <c r="F1455" s="5" t="n"/>
      <c r="G1455" s="5" t="n"/>
      <c r="H1455" s="5" t="n"/>
      <c r="I1455" s="5" t="n"/>
      <c r="J1455" s="5" t="n"/>
      <c r="K1455" s="5" t="n"/>
      <c r="L1455" s="5" t="n"/>
      <c r="M1455" s="5" t="n"/>
      <c r="N1455" s="5" t="n"/>
      <c r="O1455" s="5" t="n"/>
      <c r="P1455" s="5" t="n"/>
      <c r="Q1455" s="5" t="n"/>
      <c r="R1455" s="5" t="n"/>
      <c r="S1455" s="5" t="n"/>
      <c r="T1455" s="5" t="n"/>
      <c r="U1455" s="5" t="n"/>
      <c r="V1455" s="5" t="n"/>
      <c r="W1455" s="5" t="n"/>
      <c r="X1455" s="5" t="n"/>
      <c r="Y1455" s="5">
        <f>IF(I1455="","",IF(AND(I1455="Fail",K1455=""),"Classify Issue Source",IF(AND(I1455="Fail",W1455=""),"Set Confidence",IF(AND(K1455="Unknown",W1455&lt;&gt;"Low"),"Unknown must be Low confidence",IF(AND(OR(K1455="Backend",K1455="SAP"),N1455=""),"Add HTTP status + endpoint",IF(AND(OR(K1455="Backend",K1455="SAP",K1455="Network"),P1455=""),"Add Correlation ID",IF(AND(I1455="Fail",T1455=""),"Write Root Cause / evidence gap",IF(AND(I1455="Fail",V1455=""),"Assign team","OK"))))))))</f>
        <v/>
      </c>
    </row>
    <row r="1456">
      <c r="A1456" s="5" t="n"/>
      <c r="B1456" s="5" t="n"/>
      <c r="C1456" s="5" t="n"/>
      <c r="D1456" s="5" t="n"/>
      <c r="E1456" s="5" t="n"/>
      <c r="F1456" s="5" t="n"/>
      <c r="G1456" s="5" t="n"/>
      <c r="H1456" s="5" t="n"/>
      <c r="I1456" s="5" t="n"/>
      <c r="J1456" s="5" t="n"/>
      <c r="K1456" s="5" t="n"/>
      <c r="L1456" s="5" t="n"/>
      <c r="M1456" s="5" t="n"/>
      <c r="N1456" s="5" t="n"/>
      <c r="O1456" s="5" t="n"/>
      <c r="P1456" s="5" t="n"/>
      <c r="Q1456" s="5" t="n"/>
      <c r="R1456" s="5" t="n"/>
      <c r="S1456" s="5" t="n"/>
      <c r="T1456" s="5" t="n"/>
      <c r="U1456" s="5" t="n"/>
      <c r="V1456" s="5" t="n"/>
      <c r="W1456" s="5" t="n"/>
      <c r="X1456" s="5" t="n"/>
      <c r="Y1456" s="5">
        <f>IF(I1456="","",IF(AND(I1456="Fail",K1456=""),"Classify Issue Source",IF(AND(I1456="Fail",W1456=""),"Set Confidence",IF(AND(K1456="Unknown",W1456&lt;&gt;"Low"),"Unknown must be Low confidence",IF(AND(OR(K1456="Backend",K1456="SAP"),N1456=""),"Add HTTP status + endpoint",IF(AND(OR(K1456="Backend",K1456="SAP",K1456="Network"),P1456=""),"Add Correlation ID",IF(AND(I1456="Fail",T1456=""),"Write Root Cause / evidence gap",IF(AND(I1456="Fail",V1456=""),"Assign team","OK"))))))))</f>
        <v/>
      </c>
    </row>
    <row r="1457">
      <c r="A1457" s="5" t="n"/>
      <c r="B1457" s="5" t="n"/>
      <c r="C1457" s="5" t="n"/>
      <c r="D1457" s="5" t="n"/>
      <c r="E1457" s="5" t="n"/>
      <c r="F1457" s="5" t="n"/>
      <c r="G1457" s="5" t="n"/>
      <c r="H1457" s="5" t="n"/>
      <c r="I1457" s="5" t="n"/>
      <c r="J1457" s="5" t="n"/>
      <c r="K1457" s="5" t="n"/>
      <c r="L1457" s="5" t="n"/>
      <c r="M1457" s="5" t="n"/>
      <c r="N1457" s="5" t="n"/>
      <c r="O1457" s="5" t="n"/>
      <c r="P1457" s="5" t="n"/>
      <c r="Q1457" s="5" t="n"/>
      <c r="R1457" s="5" t="n"/>
      <c r="S1457" s="5" t="n"/>
      <c r="T1457" s="5" t="n"/>
      <c r="U1457" s="5" t="n"/>
      <c r="V1457" s="5" t="n"/>
      <c r="W1457" s="5" t="n"/>
      <c r="X1457" s="5" t="n"/>
      <c r="Y1457" s="5">
        <f>IF(I1457="","",IF(AND(I1457="Fail",K1457=""),"Classify Issue Source",IF(AND(I1457="Fail",W1457=""),"Set Confidence",IF(AND(K1457="Unknown",W1457&lt;&gt;"Low"),"Unknown must be Low confidence",IF(AND(OR(K1457="Backend",K1457="SAP"),N1457=""),"Add HTTP status + endpoint",IF(AND(OR(K1457="Backend",K1457="SAP",K1457="Network"),P1457=""),"Add Correlation ID",IF(AND(I1457="Fail",T1457=""),"Write Root Cause / evidence gap",IF(AND(I1457="Fail",V1457=""),"Assign team","OK"))))))))</f>
        <v/>
      </c>
    </row>
    <row r="1458">
      <c r="A1458" s="5" t="n"/>
      <c r="B1458" s="5" t="n"/>
      <c r="C1458" s="5" t="n"/>
      <c r="D1458" s="5" t="n"/>
      <c r="E1458" s="5" t="n"/>
      <c r="F1458" s="5" t="n"/>
      <c r="G1458" s="5" t="n"/>
      <c r="H1458" s="5" t="n"/>
      <c r="I1458" s="5" t="n"/>
      <c r="J1458" s="5" t="n"/>
      <c r="K1458" s="5" t="n"/>
      <c r="L1458" s="5" t="n"/>
      <c r="M1458" s="5" t="n"/>
      <c r="N1458" s="5" t="n"/>
      <c r="O1458" s="5" t="n"/>
      <c r="P1458" s="5" t="n"/>
      <c r="Q1458" s="5" t="n"/>
      <c r="R1458" s="5" t="n"/>
      <c r="S1458" s="5" t="n"/>
      <c r="T1458" s="5" t="n"/>
      <c r="U1458" s="5" t="n"/>
      <c r="V1458" s="5" t="n"/>
      <c r="W1458" s="5" t="n"/>
      <c r="X1458" s="5" t="n"/>
      <c r="Y1458" s="5">
        <f>IF(I1458="","",IF(AND(I1458="Fail",K1458=""),"Classify Issue Source",IF(AND(I1458="Fail",W1458=""),"Set Confidence",IF(AND(K1458="Unknown",W1458&lt;&gt;"Low"),"Unknown must be Low confidence",IF(AND(OR(K1458="Backend",K1458="SAP"),N1458=""),"Add HTTP status + endpoint",IF(AND(OR(K1458="Backend",K1458="SAP",K1458="Network"),P1458=""),"Add Correlation ID",IF(AND(I1458="Fail",T1458=""),"Write Root Cause / evidence gap",IF(AND(I1458="Fail",V1458=""),"Assign team","OK"))))))))</f>
        <v/>
      </c>
    </row>
    <row r="1459">
      <c r="A1459" s="5" t="n"/>
      <c r="B1459" s="5" t="n"/>
      <c r="C1459" s="5" t="n"/>
      <c r="D1459" s="5" t="n"/>
      <c r="E1459" s="5" t="n"/>
      <c r="F1459" s="5" t="n"/>
      <c r="G1459" s="5" t="n"/>
      <c r="H1459" s="5" t="n"/>
      <c r="I1459" s="5" t="n"/>
      <c r="J1459" s="5" t="n"/>
      <c r="K1459" s="5" t="n"/>
      <c r="L1459" s="5" t="n"/>
      <c r="M1459" s="5" t="n"/>
      <c r="N1459" s="5" t="n"/>
      <c r="O1459" s="5" t="n"/>
      <c r="P1459" s="5" t="n"/>
      <c r="Q1459" s="5" t="n"/>
      <c r="R1459" s="5" t="n"/>
      <c r="S1459" s="5" t="n"/>
      <c r="T1459" s="5" t="n"/>
      <c r="U1459" s="5" t="n"/>
      <c r="V1459" s="5" t="n"/>
      <c r="W1459" s="5" t="n"/>
      <c r="X1459" s="5" t="n"/>
      <c r="Y1459" s="5">
        <f>IF(I1459="","",IF(AND(I1459="Fail",K1459=""),"Classify Issue Source",IF(AND(I1459="Fail",W1459=""),"Set Confidence",IF(AND(K1459="Unknown",W1459&lt;&gt;"Low"),"Unknown must be Low confidence",IF(AND(OR(K1459="Backend",K1459="SAP"),N1459=""),"Add HTTP status + endpoint",IF(AND(OR(K1459="Backend",K1459="SAP",K1459="Network"),P1459=""),"Add Correlation ID",IF(AND(I1459="Fail",T1459=""),"Write Root Cause / evidence gap",IF(AND(I1459="Fail",V1459=""),"Assign team","OK"))))))))</f>
        <v/>
      </c>
    </row>
    <row r="1460">
      <c r="A1460" s="5" t="n"/>
      <c r="B1460" s="5" t="n"/>
      <c r="C1460" s="5" t="n"/>
      <c r="D1460" s="5" t="n"/>
      <c r="E1460" s="5" t="n"/>
      <c r="F1460" s="5" t="n"/>
      <c r="G1460" s="5" t="n"/>
      <c r="H1460" s="5" t="n"/>
      <c r="I1460" s="5" t="n"/>
      <c r="J1460" s="5" t="n"/>
      <c r="K1460" s="5" t="n"/>
      <c r="L1460" s="5" t="n"/>
      <c r="M1460" s="5" t="n"/>
      <c r="N1460" s="5" t="n"/>
      <c r="O1460" s="5" t="n"/>
      <c r="P1460" s="5" t="n"/>
      <c r="Q1460" s="5" t="n"/>
      <c r="R1460" s="5" t="n"/>
      <c r="S1460" s="5" t="n"/>
      <c r="T1460" s="5" t="n"/>
      <c r="U1460" s="5" t="n"/>
      <c r="V1460" s="5" t="n"/>
      <c r="W1460" s="5" t="n"/>
      <c r="X1460" s="5" t="n"/>
      <c r="Y1460" s="5">
        <f>IF(I1460="","",IF(AND(I1460="Fail",K1460=""),"Classify Issue Source",IF(AND(I1460="Fail",W1460=""),"Set Confidence",IF(AND(K1460="Unknown",W1460&lt;&gt;"Low"),"Unknown must be Low confidence",IF(AND(OR(K1460="Backend",K1460="SAP"),N1460=""),"Add HTTP status + endpoint",IF(AND(OR(K1460="Backend",K1460="SAP",K1460="Network"),P1460=""),"Add Correlation ID",IF(AND(I1460="Fail",T1460=""),"Write Root Cause / evidence gap",IF(AND(I1460="Fail",V1460=""),"Assign team","OK"))))))))</f>
        <v/>
      </c>
    </row>
    <row r="1461">
      <c r="A1461" s="5" t="n"/>
      <c r="B1461" s="5" t="n"/>
      <c r="C1461" s="5" t="n"/>
      <c r="D1461" s="5" t="n"/>
      <c r="E1461" s="5" t="n"/>
      <c r="F1461" s="5" t="n"/>
      <c r="G1461" s="5" t="n"/>
      <c r="H1461" s="5" t="n"/>
      <c r="I1461" s="5" t="n"/>
      <c r="J1461" s="5" t="n"/>
      <c r="K1461" s="5" t="n"/>
      <c r="L1461" s="5" t="n"/>
      <c r="M1461" s="5" t="n"/>
      <c r="N1461" s="5" t="n"/>
      <c r="O1461" s="5" t="n"/>
      <c r="P1461" s="5" t="n"/>
      <c r="Q1461" s="5" t="n"/>
      <c r="R1461" s="5" t="n"/>
      <c r="S1461" s="5" t="n"/>
      <c r="T1461" s="5" t="n"/>
      <c r="U1461" s="5" t="n"/>
      <c r="V1461" s="5" t="n"/>
      <c r="W1461" s="5" t="n"/>
      <c r="X1461" s="5" t="n"/>
      <c r="Y1461" s="5">
        <f>IF(I1461="","",IF(AND(I1461="Fail",K1461=""),"Classify Issue Source",IF(AND(I1461="Fail",W1461=""),"Set Confidence",IF(AND(K1461="Unknown",W1461&lt;&gt;"Low"),"Unknown must be Low confidence",IF(AND(OR(K1461="Backend",K1461="SAP"),N1461=""),"Add HTTP status + endpoint",IF(AND(OR(K1461="Backend",K1461="SAP",K1461="Network"),P1461=""),"Add Correlation ID",IF(AND(I1461="Fail",T1461=""),"Write Root Cause / evidence gap",IF(AND(I1461="Fail",V1461=""),"Assign team","OK"))))))))</f>
        <v/>
      </c>
    </row>
    <row r="1462">
      <c r="A1462" s="5" t="n"/>
      <c r="B1462" s="5" t="n"/>
      <c r="C1462" s="5" t="n"/>
      <c r="D1462" s="5" t="n"/>
      <c r="E1462" s="5" t="n"/>
      <c r="F1462" s="5" t="n"/>
      <c r="G1462" s="5" t="n"/>
      <c r="H1462" s="5" t="n"/>
      <c r="I1462" s="5" t="n"/>
      <c r="J1462" s="5" t="n"/>
      <c r="K1462" s="5" t="n"/>
      <c r="L1462" s="5" t="n"/>
      <c r="M1462" s="5" t="n"/>
      <c r="N1462" s="5" t="n"/>
      <c r="O1462" s="5" t="n"/>
      <c r="P1462" s="5" t="n"/>
      <c r="Q1462" s="5" t="n"/>
      <c r="R1462" s="5" t="n"/>
      <c r="S1462" s="5" t="n"/>
      <c r="T1462" s="5" t="n"/>
      <c r="U1462" s="5" t="n"/>
      <c r="V1462" s="5" t="n"/>
      <c r="W1462" s="5" t="n"/>
      <c r="X1462" s="5" t="n"/>
      <c r="Y1462" s="5">
        <f>IF(I1462="","",IF(AND(I1462="Fail",K1462=""),"Classify Issue Source",IF(AND(I1462="Fail",W1462=""),"Set Confidence",IF(AND(K1462="Unknown",W1462&lt;&gt;"Low"),"Unknown must be Low confidence",IF(AND(OR(K1462="Backend",K1462="SAP"),N1462=""),"Add HTTP status + endpoint",IF(AND(OR(K1462="Backend",K1462="SAP",K1462="Network"),P1462=""),"Add Correlation ID",IF(AND(I1462="Fail",T1462=""),"Write Root Cause / evidence gap",IF(AND(I1462="Fail",V1462=""),"Assign team","OK"))))))))</f>
        <v/>
      </c>
    </row>
    <row r="1463">
      <c r="A1463" s="5" t="n"/>
      <c r="B1463" s="5" t="n"/>
      <c r="C1463" s="5" t="n"/>
      <c r="D1463" s="5" t="n"/>
      <c r="E1463" s="5" t="n"/>
      <c r="F1463" s="5" t="n"/>
      <c r="G1463" s="5" t="n"/>
      <c r="H1463" s="5" t="n"/>
      <c r="I1463" s="5" t="n"/>
      <c r="J1463" s="5" t="n"/>
      <c r="K1463" s="5" t="n"/>
      <c r="L1463" s="5" t="n"/>
      <c r="M1463" s="5" t="n"/>
      <c r="N1463" s="5" t="n"/>
      <c r="O1463" s="5" t="n"/>
      <c r="P1463" s="5" t="n"/>
      <c r="Q1463" s="5" t="n"/>
      <c r="R1463" s="5" t="n"/>
      <c r="S1463" s="5" t="n"/>
      <c r="T1463" s="5" t="n"/>
      <c r="U1463" s="5" t="n"/>
      <c r="V1463" s="5" t="n"/>
      <c r="W1463" s="5" t="n"/>
      <c r="X1463" s="5" t="n"/>
      <c r="Y1463" s="5">
        <f>IF(I1463="","",IF(AND(I1463="Fail",K1463=""),"Classify Issue Source",IF(AND(I1463="Fail",W1463=""),"Set Confidence",IF(AND(K1463="Unknown",W1463&lt;&gt;"Low"),"Unknown must be Low confidence",IF(AND(OR(K1463="Backend",K1463="SAP"),N1463=""),"Add HTTP status + endpoint",IF(AND(OR(K1463="Backend",K1463="SAP",K1463="Network"),P1463=""),"Add Correlation ID",IF(AND(I1463="Fail",T1463=""),"Write Root Cause / evidence gap",IF(AND(I1463="Fail",V1463=""),"Assign team","OK"))))))))</f>
        <v/>
      </c>
    </row>
    <row r="1464">
      <c r="A1464" s="5" t="n"/>
      <c r="B1464" s="5" t="n"/>
      <c r="C1464" s="5" t="n"/>
      <c r="D1464" s="5" t="n"/>
      <c r="E1464" s="5" t="n"/>
      <c r="F1464" s="5" t="n"/>
      <c r="G1464" s="5" t="n"/>
      <c r="H1464" s="5" t="n"/>
      <c r="I1464" s="5" t="n"/>
      <c r="J1464" s="5" t="n"/>
      <c r="K1464" s="5" t="n"/>
      <c r="L1464" s="5" t="n"/>
      <c r="M1464" s="5" t="n"/>
      <c r="N1464" s="5" t="n"/>
      <c r="O1464" s="5" t="n"/>
      <c r="P1464" s="5" t="n"/>
      <c r="Q1464" s="5" t="n"/>
      <c r="R1464" s="5" t="n"/>
      <c r="S1464" s="5" t="n"/>
      <c r="T1464" s="5" t="n"/>
      <c r="U1464" s="5" t="n"/>
      <c r="V1464" s="5" t="n"/>
      <c r="W1464" s="5" t="n"/>
      <c r="X1464" s="5" t="n"/>
      <c r="Y1464" s="5">
        <f>IF(I1464="","",IF(AND(I1464="Fail",K1464=""),"Classify Issue Source",IF(AND(I1464="Fail",W1464=""),"Set Confidence",IF(AND(K1464="Unknown",W1464&lt;&gt;"Low"),"Unknown must be Low confidence",IF(AND(OR(K1464="Backend",K1464="SAP"),N1464=""),"Add HTTP status + endpoint",IF(AND(OR(K1464="Backend",K1464="SAP",K1464="Network"),P1464=""),"Add Correlation ID",IF(AND(I1464="Fail",T1464=""),"Write Root Cause / evidence gap",IF(AND(I1464="Fail",V1464=""),"Assign team","OK"))))))))</f>
        <v/>
      </c>
    </row>
    <row r="1465">
      <c r="A1465" s="5" t="n"/>
      <c r="B1465" s="5" t="n"/>
      <c r="C1465" s="5" t="n"/>
      <c r="D1465" s="5" t="n"/>
      <c r="E1465" s="5" t="n"/>
      <c r="F1465" s="5" t="n"/>
      <c r="G1465" s="5" t="n"/>
      <c r="H1465" s="5" t="n"/>
      <c r="I1465" s="5" t="n"/>
      <c r="J1465" s="5" t="n"/>
      <c r="K1465" s="5" t="n"/>
      <c r="L1465" s="5" t="n"/>
      <c r="M1465" s="5" t="n"/>
      <c r="N1465" s="5" t="n"/>
      <c r="O1465" s="5" t="n"/>
      <c r="P1465" s="5" t="n"/>
      <c r="Q1465" s="5" t="n"/>
      <c r="R1465" s="5" t="n"/>
      <c r="S1465" s="5" t="n"/>
      <c r="T1465" s="5" t="n"/>
      <c r="U1465" s="5" t="n"/>
      <c r="V1465" s="5" t="n"/>
      <c r="W1465" s="5" t="n"/>
      <c r="X1465" s="5" t="n"/>
      <c r="Y1465" s="5">
        <f>IF(I1465="","",IF(AND(I1465="Fail",K1465=""),"Classify Issue Source",IF(AND(I1465="Fail",W1465=""),"Set Confidence",IF(AND(K1465="Unknown",W1465&lt;&gt;"Low"),"Unknown must be Low confidence",IF(AND(OR(K1465="Backend",K1465="SAP"),N1465=""),"Add HTTP status + endpoint",IF(AND(OR(K1465="Backend",K1465="SAP",K1465="Network"),P1465=""),"Add Correlation ID",IF(AND(I1465="Fail",T1465=""),"Write Root Cause / evidence gap",IF(AND(I1465="Fail",V1465=""),"Assign team","OK"))))))))</f>
        <v/>
      </c>
    </row>
    <row r="1466">
      <c r="A1466" s="5" t="n"/>
      <c r="B1466" s="5" t="n"/>
      <c r="C1466" s="5" t="n"/>
      <c r="D1466" s="5" t="n"/>
      <c r="E1466" s="5" t="n"/>
      <c r="F1466" s="5" t="n"/>
      <c r="G1466" s="5" t="n"/>
      <c r="H1466" s="5" t="n"/>
      <c r="I1466" s="5" t="n"/>
      <c r="J1466" s="5" t="n"/>
      <c r="K1466" s="5" t="n"/>
      <c r="L1466" s="5" t="n"/>
      <c r="M1466" s="5" t="n"/>
      <c r="N1466" s="5" t="n"/>
      <c r="O1466" s="5" t="n"/>
      <c r="P1466" s="5" t="n"/>
      <c r="Q1466" s="5" t="n"/>
      <c r="R1466" s="5" t="n"/>
      <c r="S1466" s="5" t="n"/>
      <c r="T1466" s="5" t="n"/>
      <c r="U1466" s="5" t="n"/>
      <c r="V1466" s="5" t="n"/>
      <c r="W1466" s="5" t="n"/>
      <c r="X1466" s="5" t="n"/>
      <c r="Y1466" s="5">
        <f>IF(I1466="","",IF(AND(I1466="Fail",K1466=""),"Classify Issue Source",IF(AND(I1466="Fail",W1466=""),"Set Confidence",IF(AND(K1466="Unknown",W1466&lt;&gt;"Low"),"Unknown must be Low confidence",IF(AND(OR(K1466="Backend",K1466="SAP"),N1466=""),"Add HTTP status + endpoint",IF(AND(OR(K1466="Backend",K1466="SAP",K1466="Network"),P1466=""),"Add Correlation ID",IF(AND(I1466="Fail",T1466=""),"Write Root Cause / evidence gap",IF(AND(I1466="Fail",V1466=""),"Assign team","OK"))))))))</f>
        <v/>
      </c>
    </row>
    <row r="1467">
      <c r="A1467" s="5" t="n"/>
      <c r="B1467" s="5" t="n"/>
      <c r="C1467" s="5" t="n"/>
      <c r="D1467" s="5" t="n"/>
      <c r="E1467" s="5" t="n"/>
      <c r="F1467" s="5" t="n"/>
      <c r="G1467" s="5" t="n"/>
      <c r="H1467" s="5" t="n"/>
      <c r="I1467" s="5" t="n"/>
      <c r="J1467" s="5" t="n"/>
      <c r="K1467" s="5" t="n"/>
      <c r="L1467" s="5" t="n"/>
      <c r="M1467" s="5" t="n"/>
      <c r="N1467" s="5" t="n"/>
      <c r="O1467" s="5" t="n"/>
      <c r="P1467" s="5" t="n"/>
      <c r="Q1467" s="5" t="n"/>
      <c r="R1467" s="5" t="n"/>
      <c r="S1467" s="5" t="n"/>
      <c r="T1467" s="5" t="n"/>
      <c r="U1467" s="5" t="n"/>
      <c r="V1467" s="5" t="n"/>
      <c r="W1467" s="5" t="n"/>
      <c r="X1467" s="5" t="n"/>
      <c r="Y1467" s="5">
        <f>IF(I1467="","",IF(AND(I1467="Fail",K1467=""),"Classify Issue Source",IF(AND(I1467="Fail",W1467=""),"Set Confidence",IF(AND(K1467="Unknown",W1467&lt;&gt;"Low"),"Unknown must be Low confidence",IF(AND(OR(K1467="Backend",K1467="SAP"),N1467=""),"Add HTTP status + endpoint",IF(AND(OR(K1467="Backend",K1467="SAP",K1467="Network"),P1467=""),"Add Correlation ID",IF(AND(I1467="Fail",T1467=""),"Write Root Cause / evidence gap",IF(AND(I1467="Fail",V1467=""),"Assign team","OK"))))))))</f>
        <v/>
      </c>
    </row>
    <row r="1468">
      <c r="A1468" s="5" t="n"/>
      <c r="B1468" s="5" t="n"/>
      <c r="C1468" s="5" t="n"/>
      <c r="D1468" s="5" t="n"/>
      <c r="E1468" s="5" t="n"/>
      <c r="F1468" s="5" t="n"/>
      <c r="G1468" s="5" t="n"/>
      <c r="H1468" s="5" t="n"/>
      <c r="I1468" s="5" t="n"/>
      <c r="J1468" s="5" t="n"/>
      <c r="K1468" s="5" t="n"/>
      <c r="L1468" s="5" t="n"/>
      <c r="M1468" s="5" t="n"/>
      <c r="N1468" s="5" t="n"/>
      <c r="O1468" s="5" t="n"/>
      <c r="P1468" s="5" t="n"/>
      <c r="Q1468" s="5" t="n"/>
      <c r="R1468" s="5" t="n"/>
      <c r="S1468" s="5" t="n"/>
      <c r="T1468" s="5" t="n"/>
      <c r="U1468" s="5" t="n"/>
      <c r="V1468" s="5" t="n"/>
      <c r="W1468" s="5" t="n"/>
      <c r="X1468" s="5" t="n"/>
      <c r="Y1468" s="5">
        <f>IF(I1468="","",IF(AND(I1468="Fail",K1468=""),"Classify Issue Source",IF(AND(I1468="Fail",W1468=""),"Set Confidence",IF(AND(K1468="Unknown",W1468&lt;&gt;"Low"),"Unknown must be Low confidence",IF(AND(OR(K1468="Backend",K1468="SAP"),N1468=""),"Add HTTP status + endpoint",IF(AND(OR(K1468="Backend",K1468="SAP",K1468="Network"),P1468=""),"Add Correlation ID",IF(AND(I1468="Fail",T1468=""),"Write Root Cause / evidence gap",IF(AND(I1468="Fail",V1468=""),"Assign team","OK"))))))))</f>
        <v/>
      </c>
    </row>
    <row r="1469">
      <c r="A1469" s="5" t="n"/>
      <c r="B1469" s="5" t="n"/>
      <c r="C1469" s="5" t="n"/>
      <c r="D1469" s="5" t="n"/>
      <c r="E1469" s="5" t="n"/>
      <c r="F1469" s="5" t="n"/>
      <c r="G1469" s="5" t="n"/>
      <c r="H1469" s="5" t="n"/>
      <c r="I1469" s="5" t="n"/>
      <c r="J1469" s="5" t="n"/>
      <c r="K1469" s="5" t="n"/>
      <c r="L1469" s="5" t="n"/>
      <c r="M1469" s="5" t="n"/>
      <c r="N1469" s="5" t="n"/>
      <c r="O1469" s="5" t="n"/>
      <c r="P1469" s="5" t="n"/>
      <c r="Q1469" s="5" t="n"/>
      <c r="R1469" s="5" t="n"/>
      <c r="S1469" s="5" t="n"/>
      <c r="T1469" s="5" t="n"/>
      <c r="U1469" s="5" t="n"/>
      <c r="V1469" s="5" t="n"/>
      <c r="W1469" s="5" t="n"/>
      <c r="X1469" s="5" t="n"/>
      <c r="Y1469" s="5">
        <f>IF(I1469="","",IF(AND(I1469="Fail",K1469=""),"Classify Issue Source",IF(AND(I1469="Fail",W1469=""),"Set Confidence",IF(AND(K1469="Unknown",W1469&lt;&gt;"Low"),"Unknown must be Low confidence",IF(AND(OR(K1469="Backend",K1469="SAP"),N1469=""),"Add HTTP status + endpoint",IF(AND(OR(K1469="Backend",K1469="SAP",K1469="Network"),P1469=""),"Add Correlation ID",IF(AND(I1469="Fail",T1469=""),"Write Root Cause / evidence gap",IF(AND(I1469="Fail",V1469=""),"Assign team","OK"))))))))</f>
        <v/>
      </c>
    </row>
    <row r="1470">
      <c r="A1470" s="5" t="n"/>
      <c r="B1470" s="5" t="n"/>
      <c r="C1470" s="5" t="n"/>
      <c r="D1470" s="5" t="n"/>
      <c r="E1470" s="5" t="n"/>
      <c r="F1470" s="5" t="n"/>
      <c r="G1470" s="5" t="n"/>
      <c r="H1470" s="5" t="n"/>
      <c r="I1470" s="5" t="n"/>
      <c r="J1470" s="5" t="n"/>
      <c r="K1470" s="5" t="n"/>
      <c r="L1470" s="5" t="n"/>
      <c r="M1470" s="5" t="n"/>
      <c r="N1470" s="5" t="n"/>
      <c r="O1470" s="5" t="n"/>
      <c r="P1470" s="5" t="n"/>
      <c r="Q1470" s="5" t="n"/>
      <c r="R1470" s="5" t="n"/>
      <c r="S1470" s="5" t="n"/>
      <c r="T1470" s="5" t="n"/>
      <c r="U1470" s="5" t="n"/>
      <c r="V1470" s="5" t="n"/>
      <c r="W1470" s="5" t="n"/>
      <c r="X1470" s="5" t="n"/>
      <c r="Y1470" s="5">
        <f>IF(I1470="","",IF(AND(I1470="Fail",K1470=""),"Classify Issue Source",IF(AND(I1470="Fail",W1470=""),"Set Confidence",IF(AND(K1470="Unknown",W1470&lt;&gt;"Low"),"Unknown must be Low confidence",IF(AND(OR(K1470="Backend",K1470="SAP"),N1470=""),"Add HTTP status + endpoint",IF(AND(OR(K1470="Backend",K1470="SAP",K1470="Network"),P1470=""),"Add Correlation ID",IF(AND(I1470="Fail",T1470=""),"Write Root Cause / evidence gap",IF(AND(I1470="Fail",V1470=""),"Assign team","OK"))))))))</f>
        <v/>
      </c>
    </row>
    <row r="1471">
      <c r="A1471" s="5" t="n"/>
      <c r="B1471" s="5" t="n"/>
      <c r="C1471" s="5" t="n"/>
      <c r="D1471" s="5" t="n"/>
      <c r="E1471" s="5" t="n"/>
      <c r="F1471" s="5" t="n"/>
      <c r="G1471" s="5" t="n"/>
      <c r="H1471" s="5" t="n"/>
      <c r="I1471" s="5" t="n"/>
      <c r="J1471" s="5" t="n"/>
      <c r="K1471" s="5" t="n"/>
      <c r="L1471" s="5" t="n"/>
      <c r="M1471" s="5" t="n"/>
      <c r="N1471" s="5" t="n"/>
      <c r="O1471" s="5" t="n"/>
      <c r="P1471" s="5" t="n"/>
      <c r="Q1471" s="5" t="n"/>
      <c r="R1471" s="5" t="n"/>
      <c r="S1471" s="5" t="n"/>
      <c r="T1471" s="5" t="n"/>
      <c r="U1471" s="5" t="n"/>
      <c r="V1471" s="5" t="n"/>
      <c r="W1471" s="5" t="n"/>
      <c r="X1471" s="5" t="n"/>
      <c r="Y1471" s="5">
        <f>IF(I1471="","",IF(AND(I1471="Fail",K1471=""),"Classify Issue Source",IF(AND(I1471="Fail",W1471=""),"Set Confidence",IF(AND(K1471="Unknown",W1471&lt;&gt;"Low"),"Unknown must be Low confidence",IF(AND(OR(K1471="Backend",K1471="SAP"),N1471=""),"Add HTTP status + endpoint",IF(AND(OR(K1471="Backend",K1471="SAP",K1471="Network"),P1471=""),"Add Correlation ID",IF(AND(I1471="Fail",T1471=""),"Write Root Cause / evidence gap",IF(AND(I1471="Fail",V1471=""),"Assign team","OK"))))))))</f>
        <v/>
      </c>
    </row>
    <row r="1472">
      <c r="A1472" s="5" t="n"/>
      <c r="B1472" s="5" t="n"/>
      <c r="C1472" s="5" t="n"/>
      <c r="D1472" s="5" t="n"/>
      <c r="E1472" s="5" t="n"/>
      <c r="F1472" s="5" t="n"/>
      <c r="G1472" s="5" t="n"/>
      <c r="H1472" s="5" t="n"/>
      <c r="I1472" s="5" t="n"/>
      <c r="J1472" s="5" t="n"/>
      <c r="K1472" s="5" t="n"/>
      <c r="L1472" s="5" t="n"/>
      <c r="M1472" s="5" t="n"/>
      <c r="N1472" s="5" t="n"/>
      <c r="O1472" s="5" t="n"/>
      <c r="P1472" s="5" t="n"/>
      <c r="Q1472" s="5" t="n"/>
      <c r="R1472" s="5" t="n"/>
      <c r="S1472" s="5" t="n"/>
      <c r="T1472" s="5" t="n"/>
      <c r="U1472" s="5" t="n"/>
      <c r="V1472" s="5" t="n"/>
      <c r="W1472" s="5" t="n"/>
      <c r="X1472" s="5" t="n"/>
      <c r="Y1472" s="5">
        <f>IF(I1472="","",IF(AND(I1472="Fail",K1472=""),"Classify Issue Source",IF(AND(I1472="Fail",W1472=""),"Set Confidence",IF(AND(K1472="Unknown",W1472&lt;&gt;"Low"),"Unknown must be Low confidence",IF(AND(OR(K1472="Backend",K1472="SAP"),N1472=""),"Add HTTP status + endpoint",IF(AND(OR(K1472="Backend",K1472="SAP",K1472="Network"),P1472=""),"Add Correlation ID",IF(AND(I1472="Fail",T1472=""),"Write Root Cause / evidence gap",IF(AND(I1472="Fail",V1472=""),"Assign team","OK"))))))))</f>
        <v/>
      </c>
    </row>
    <row r="1473">
      <c r="A1473" s="5" t="n"/>
      <c r="B1473" s="5" t="n"/>
      <c r="C1473" s="5" t="n"/>
      <c r="D1473" s="5" t="n"/>
      <c r="E1473" s="5" t="n"/>
      <c r="F1473" s="5" t="n"/>
      <c r="G1473" s="5" t="n"/>
      <c r="H1473" s="5" t="n"/>
      <c r="I1473" s="5" t="n"/>
      <c r="J1473" s="5" t="n"/>
      <c r="K1473" s="5" t="n"/>
      <c r="L1473" s="5" t="n"/>
      <c r="M1473" s="5" t="n"/>
      <c r="N1473" s="5" t="n"/>
      <c r="O1473" s="5" t="n"/>
      <c r="P1473" s="5" t="n"/>
      <c r="Q1473" s="5" t="n"/>
      <c r="R1473" s="5" t="n"/>
      <c r="S1473" s="5" t="n"/>
      <c r="T1473" s="5" t="n"/>
      <c r="U1473" s="5" t="n"/>
      <c r="V1473" s="5" t="n"/>
      <c r="W1473" s="5" t="n"/>
      <c r="X1473" s="5" t="n"/>
      <c r="Y1473" s="5">
        <f>IF(I1473="","",IF(AND(I1473="Fail",K1473=""),"Classify Issue Source",IF(AND(I1473="Fail",W1473=""),"Set Confidence",IF(AND(K1473="Unknown",W1473&lt;&gt;"Low"),"Unknown must be Low confidence",IF(AND(OR(K1473="Backend",K1473="SAP"),N1473=""),"Add HTTP status + endpoint",IF(AND(OR(K1473="Backend",K1473="SAP",K1473="Network"),P1473=""),"Add Correlation ID",IF(AND(I1473="Fail",T1473=""),"Write Root Cause / evidence gap",IF(AND(I1473="Fail",V1473=""),"Assign team","OK"))))))))</f>
        <v/>
      </c>
    </row>
    <row r="1474">
      <c r="A1474" s="5" t="n"/>
      <c r="B1474" s="5" t="n"/>
      <c r="C1474" s="5" t="n"/>
      <c r="D1474" s="5" t="n"/>
      <c r="E1474" s="5" t="n"/>
      <c r="F1474" s="5" t="n"/>
      <c r="G1474" s="5" t="n"/>
      <c r="H1474" s="5" t="n"/>
      <c r="I1474" s="5" t="n"/>
      <c r="J1474" s="5" t="n"/>
      <c r="K1474" s="5" t="n"/>
      <c r="L1474" s="5" t="n"/>
      <c r="M1474" s="5" t="n"/>
      <c r="N1474" s="5" t="n"/>
      <c r="O1474" s="5" t="n"/>
      <c r="P1474" s="5" t="n"/>
      <c r="Q1474" s="5" t="n"/>
      <c r="R1474" s="5" t="n"/>
      <c r="S1474" s="5" t="n"/>
      <c r="T1474" s="5" t="n"/>
      <c r="U1474" s="5" t="n"/>
      <c r="V1474" s="5" t="n"/>
      <c r="W1474" s="5" t="n"/>
      <c r="X1474" s="5" t="n"/>
      <c r="Y1474" s="5">
        <f>IF(I1474="","",IF(AND(I1474="Fail",K1474=""),"Classify Issue Source",IF(AND(I1474="Fail",W1474=""),"Set Confidence",IF(AND(K1474="Unknown",W1474&lt;&gt;"Low"),"Unknown must be Low confidence",IF(AND(OR(K1474="Backend",K1474="SAP"),N1474=""),"Add HTTP status + endpoint",IF(AND(OR(K1474="Backend",K1474="SAP",K1474="Network"),P1474=""),"Add Correlation ID",IF(AND(I1474="Fail",T1474=""),"Write Root Cause / evidence gap",IF(AND(I1474="Fail",V1474=""),"Assign team","OK"))))))))</f>
        <v/>
      </c>
    </row>
    <row r="1475">
      <c r="A1475" s="5" t="n"/>
      <c r="B1475" s="5" t="n"/>
      <c r="C1475" s="5" t="n"/>
      <c r="D1475" s="5" t="n"/>
      <c r="E1475" s="5" t="n"/>
      <c r="F1475" s="5" t="n"/>
      <c r="G1475" s="5" t="n"/>
      <c r="H1475" s="5" t="n"/>
      <c r="I1475" s="5" t="n"/>
      <c r="J1475" s="5" t="n"/>
      <c r="K1475" s="5" t="n"/>
      <c r="L1475" s="5" t="n"/>
      <c r="M1475" s="5" t="n"/>
      <c r="N1475" s="5" t="n"/>
      <c r="O1475" s="5" t="n"/>
      <c r="P1475" s="5" t="n"/>
      <c r="Q1475" s="5" t="n"/>
      <c r="R1475" s="5" t="n"/>
      <c r="S1475" s="5" t="n"/>
      <c r="T1475" s="5" t="n"/>
      <c r="U1475" s="5" t="n"/>
      <c r="V1475" s="5" t="n"/>
      <c r="W1475" s="5" t="n"/>
      <c r="X1475" s="5" t="n"/>
      <c r="Y1475" s="5">
        <f>IF(I1475="","",IF(AND(I1475="Fail",K1475=""),"Classify Issue Source",IF(AND(I1475="Fail",W1475=""),"Set Confidence",IF(AND(K1475="Unknown",W1475&lt;&gt;"Low"),"Unknown must be Low confidence",IF(AND(OR(K1475="Backend",K1475="SAP"),N1475=""),"Add HTTP status + endpoint",IF(AND(OR(K1475="Backend",K1475="SAP",K1475="Network"),P1475=""),"Add Correlation ID",IF(AND(I1475="Fail",T1475=""),"Write Root Cause / evidence gap",IF(AND(I1475="Fail",V1475=""),"Assign team","OK"))))))))</f>
        <v/>
      </c>
    </row>
    <row r="1476">
      <c r="A1476" s="5" t="n"/>
      <c r="B1476" s="5" t="n"/>
      <c r="C1476" s="5" t="n"/>
      <c r="D1476" s="5" t="n"/>
      <c r="E1476" s="5" t="n"/>
      <c r="F1476" s="5" t="n"/>
      <c r="G1476" s="5" t="n"/>
      <c r="H1476" s="5" t="n"/>
      <c r="I1476" s="5" t="n"/>
      <c r="J1476" s="5" t="n"/>
      <c r="K1476" s="5" t="n"/>
      <c r="L1476" s="5" t="n"/>
      <c r="M1476" s="5" t="n"/>
      <c r="N1476" s="5" t="n"/>
      <c r="O1476" s="5" t="n"/>
      <c r="P1476" s="5" t="n"/>
      <c r="Q1476" s="5" t="n"/>
      <c r="R1476" s="5" t="n"/>
      <c r="S1476" s="5" t="n"/>
      <c r="T1476" s="5" t="n"/>
      <c r="U1476" s="5" t="n"/>
      <c r="V1476" s="5" t="n"/>
      <c r="W1476" s="5" t="n"/>
      <c r="X1476" s="5" t="n"/>
      <c r="Y1476" s="5">
        <f>IF(I1476="","",IF(AND(I1476="Fail",K1476=""),"Classify Issue Source",IF(AND(I1476="Fail",W1476=""),"Set Confidence",IF(AND(K1476="Unknown",W1476&lt;&gt;"Low"),"Unknown must be Low confidence",IF(AND(OR(K1476="Backend",K1476="SAP"),N1476=""),"Add HTTP status + endpoint",IF(AND(OR(K1476="Backend",K1476="SAP",K1476="Network"),P1476=""),"Add Correlation ID",IF(AND(I1476="Fail",T1476=""),"Write Root Cause / evidence gap",IF(AND(I1476="Fail",V1476=""),"Assign team","OK"))))))))</f>
        <v/>
      </c>
    </row>
    <row r="1477">
      <c r="A1477" s="5" t="n"/>
      <c r="B1477" s="5" t="n"/>
      <c r="C1477" s="5" t="n"/>
      <c r="D1477" s="5" t="n"/>
      <c r="E1477" s="5" t="n"/>
      <c r="F1477" s="5" t="n"/>
      <c r="G1477" s="5" t="n"/>
      <c r="H1477" s="5" t="n"/>
      <c r="I1477" s="5" t="n"/>
      <c r="J1477" s="5" t="n"/>
      <c r="K1477" s="5" t="n"/>
      <c r="L1477" s="5" t="n"/>
      <c r="M1477" s="5" t="n"/>
      <c r="N1477" s="5" t="n"/>
      <c r="O1477" s="5" t="n"/>
      <c r="P1477" s="5" t="n"/>
      <c r="Q1477" s="5" t="n"/>
      <c r="R1477" s="5" t="n"/>
      <c r="S1477" s="5" t="n"/>
      <c r="T1477" s="5" t="n"/>
      <c r="U1477" s="5" t="n"/>
      <c r="V1477" s="5" t="n"/>
      <c r="W1477" s="5" t="n"/>
      <c r="X1477" s="5" t="n"/>
      <c r="Y1477" s="5">
        <f>IF(I1477="","",IF(AND(I1477="Fail",K1477=""),"Classify Issue Source",IF(AND(I1477="Fail",W1477=""),"Set Confidence",IF(AND(K1477="Unknown",W1477&lt;&gt;"Low"),"Unknown must be Low confidence",IF(AND(OR(K1477="Backend",K1477="SAP"),N1477=""),"Add HTTP status + endpoint",IF(AND(OR(K1477="Backend",K1477="SAP",K1477="Network"),P1477=""),"Add Correlation ID",IF(AND(I1477="Fail",T1477=""),"Write Root Cause / evidence gap",IF(AND(I1477="Fail",V1477=""),"Assign team","OK"))))))))</f>
        <v/>
      </c>
    </row>
    <row r="1478">
      <c r="A1478" s="5" t="n"/>
      <c r="B1478" s="5" t="n"/>
      <c r="C1478" s="5" t="n"/>
      <c r="D1478" s="5" t="n"/>
      <c r="E1478" s="5" t="n"/>
      <c r="F1478" s="5" t="n"/>
      <c r="G1478" s="5" t="n"/>
      <c r="H1478" s="5" t="n"/>
      <c r="I1478" s="5" t="n"/>
      <c r="J1478" s="5" t="n"/>
      <c r="K1478" s="5" t="n"/>
      <c r="L1478" s="5" t="n"/>
      <c r="M1478" s="5" t="n"/>
      <c r="N1478" s="5" t="n"/>
      <c r="O1478" s="5" t="n"/>
      <c r="P1478" s="5" t="n"/>
      <c r="Q1478" s="5" t="n"/>
      <c r="R1478" s="5" t="n"/>
      <c r="S1478" s="5" t="n"/>
      <c r="T1478" s="5" t="n"/>
      <c r="U1478" s="5" t="n"/>
      <c r="V1478" s="5" t="n"/>
      <c r="W1478" s="5" t="n"/>
      <c r="X1478" s="5" t="n"/>
      <c r="Y1478" s="5">
        <f>IF(I1478="","",IF(AND(I1478="Fail",K1478=""),"Classify Issue Source",IF(AND(I1478="Fail",W1478=""),"Set Confidence",IF(AND(K1478="Unknown",W1478&lt;&gt;"Low"),"Unknown must be Low confidence",IF(AND(OR(K1478="Backend",K1478="SAP"),N1478=""),"Add HTTP status + endpoint",IF(AND(OR(K1478="Backend",K1478="SAP",K1478="Network"),P1478=""),"Add Correlation ID",IF(AND(I1478="Fail",T1478=""),"Write Root Cause / evidence gap",IF(AND(I1478="Fail",V1478=""),"Assign team","OK"))))))))</f>
        <v/>
      </c>
    </row>
    <row r="1479">
      <c r="A1479" s="5" t="n"/>
      <c r="B1479" s="5" t="n"/>
      <c r="C1479" s="5" t="n"/>
      <c r="D1479" s="5" t="n"/>
      <c r="E1479" s="5" t="n"/>
      <c r="F1479" s="5" t="n"/>
      <c r="G1479" s="5" t="n"/>
      <c r="H1479" s="5" t="n"/>
      <c r="I1479" s="5" t="n"/>
      <c r="J1479" s="5" t="n"/>
      <c r="K1479" s="5" t="n"/>
      <c r="L1479" s="5" t="n"/>
      <c r="M1479" s="5" t="n"/>
      <c r="N1479" s="5" t="n"/>
      <c r="O1479" s="5" t="n"/>
      <c r="P1479" s="5" t="n"/>
      <c r="Q1479" s="5" t="n"/>
      <c r="R1479" s="5" t="n"/>
      <c r="S1479" s="5" t="n"/>
      <c r="T1479" s="5" t="n"/>
      <c r="U1479" s="5" t="n"/>
      <c r="V1479" s="5" t="n"/>
      <c r="W1479" s="5" t="n"/>
      <c r="X1479" s="5" t="n"/>
      <c r="Y1479" s="5">
        <f>IF(I1479="","",IF(AND(I1479="Fail",K1479=""),"Classify Issue Source",IF(AND(I1479="Fail",W1479=""),"Set Confidence",IF(AND(K1479="Unknown",W1479&lt;&gt;"Low"),"Unknown must be Low confidence",IF(AND(OR(K1479="Backend",K1479="SAP"),N1479=""),"Add HTTP status + endpoint",IF(AND(OR(K1479="Backend",K1479="SAP",K1479="Network"),P1479=""),"Add Correlation ID",IF(AND(I1479="Fail",T1479=""),"Write Root Cause / evidence gap",IF(AND(I1479="Fail",V1479=""),"Assign team","OK"))))))))</f>
        <v/>
      </c>
    </row>
    <row r="1480">
      <c r="A1480" s="5" t="n"/>
      <c r="B1480" s="5" t="n"/>
      <c r="C1480" s="5" t="n"/>
      <c r="D1480" s="5" t="n"/>
      <c r="E1480" s="5" t="n"/>
      <c r="F1480" s="5" t="n"/>
      <c r="G1480" s="5" t="n"/>
      <c r="H1480" s="5" t="n"/>
      <c r="I1480" s="5" t="n"/>
      <c r="J1480" s="5" t="n"/>
      <c r="K1480" s="5" t="n"/>
      <c r="L1480" s="5" t="n"/>
      <c r="M1480" s="5" t="n"/>
      <c r="N1480" s="5" t="n"/>
      <c r="O1480" s="5" t="n"/>
      <c r="P1480" s="5" t="n"/>
      <c r="Q1480" s="5" t="n"/>
      <c r="R1480" s="5" t="n"/>
      <c r="S1480" s="5" t="n"/>
      <c r="T1480" s="5" t="n"/>
      <c r="U1480" s="5" t="n"/>
      <c r="V1480" s="5" t="n"/>
      <c r="W1480" s="5" t="n"/>
      <c r="X1480" s="5" t="n"/>
      <c r="Y1480" s="5">
        <f>IF(I1480="","",IF(AND(I1480="Fail",K1480=""),"Classify Issue Source",IF(AND(I1480="Fail",W1480=""),"Set Confidence",IF(AND(K1480="Unknown",W1480&lt;&gt;"Low"),"Unknown must be Low confidence",IF(AND(OR(K1480="Backend",K1480="SAP"),N1480=""),"Add HTTP status + endpoint",IF(AND(OR(K1480="Backend",K1480="SAP",K1480="Network"),P1480=""),"Add Correlation ID",IF(AND(I1480="Fail",T1480=""),"Write Root Cause / evidence gap",IF(AND(I1480="Fail",V1480=""),"Assign team","OK"))))))))</f>
        <v/>
      </c>
    </row>
    <row r="1481">
      <c r="A1481" s="5" t="n"/>
      <c r="B1481" s="5" t="n"/>
      <c r="C1481" s="5" t="n"/>
      <c r="D1481" s="5" t="n"/>
      <c r="E1481" s="5" t="n"/>
      <c r="F1481" s="5" t="n"/>
      <c r="G1481" s="5" t="n"/>
      <c r="H1481" s="5" t="n"/>
      <c r="I1481" s="5" t="n"/>
      <c r="J1481" s="5" t="n"/>
      <c r="K1481" s="5" t="n"/>
      <c r="L1481" s="5" t="n"/>
      <c r="M1481" s="5" t="n"/>
      <c r="N1481" s="5" t="n"/>
      <c r="O1481" s="5" t="n"/>
      <c r="P1481" s="5" t="n"/>
      <c r="Q1481" s="5" t="n"/>
      <c r="R1481" s="5" t="n"/>
      <c r="S1481" s="5" t="n"/>
      <c r="T1481" s="5" t="n"/>
      <c r="U1481" s="5" t="n"/>
      <c r="V1481" s="5" t="n"/>
      <c r="W1481" s="5" t="n"/>
      <c r="X1481" s="5" t="n"/>
      <c r="Y1481" s="5">
        <f>IF(I1481="","",IF(AND(I1481="Fail",K1481=""),"Classify Issue Source",IF(AND(I1481="Fail",W1481=""),"Set Confidence",IF(AND(K1481="Unknown",W1481&lt;&gt;"Low"),"Unknown must be Low confidence",IF(AND(OR(K1481="Backend",K1481="SAP"),N1481=""),"Add HTTP status + endpoint",IF(AND(OR(K1481="Backend",K1481="SAP",K1481="Network"),P1481=""),"Add Correlation ID",IF(AND(I1481="Fail",T1481=""),"Write Root Cause / evidence gap",IF(AND(I1481="Fail",V1481=""),"Assign team","OK"))))))))</f>
        <v/>
      </c>
    </row>
    <row r="1482">
      <c r="A1482" s="5" t="n"/>
      <c r="B1482" s="5" t="n"/>
      <c r="C1482" s="5" t="n"/>
      <c r="D1482" s="5" t="n"/>
      <c r="E1482" s="5" t="n"/>
      <c r="F1482" s="5" t="n"/>
      <c r="G1482" s="5" t="n"/>
      <c r="H1482" s="5" t="n"/>
      <c r="I1482" s="5" t="n"/>
      <c r="J1482" s="5" t="n"/>
      <c r="K1482" s="5" t="n"/>
      <c r="L1482" s="5" t="n"/>
      <c r="M1482" s="5" t="n"/>
      <c r="N1482" s="5" t="n"/>
      <c r="O1482" s="5" t="n"/>
      <c r="P1482" s="5" t="n"/>
      <c r="Q1482" s="5" t="n"/>
      <c r="R1482" s="5" t="n"/>
      <c r="S1482" s="5" t="n"/>
      <c r="T1482" s="5" t="n"/>
      <c r="U1482" s="5" t="n"/>
      <c r="V1482" s="5" t="n"/>
      <c r="W1482" s="5" t="n"/>
      <c r="X1482" s="5" t="n"/>
      <c r="Y1482" s="5">
        <f>IF(I1482="","",IF(AND(I1482="Fail",K1482=""),"Classify Issue Source",IF(AND(I1482="Fail",W1482=""),"Set Confidence",IF(AND(K1482="Unknown",W1482&lt;&gt;"Low"),"Unknown must be Low confidence",IF(AND(OR(K1482="Backend",K1482="SAP"),N1482=""),"Add HTTP status + endpoint",IF(AND(OR(K1482="Backend",K1482="SAP",K1482="Network"),P1482=""),"Add Correlation ID",IF(AND(I1482="Fail",T1482=""),"Write Root Cause / evidence gap",IF(AND(I1482="Fail",V1482=""),"Assign team","OK"))))))))</f>
        <v/>
      </c>
    </row>
    <row r="1483">
      <c r="A1483" s="5" t="n"/>
      <c r="B1483" s="5" t="n"/>
      <c r="C1483" s="5" t="n"/>
      <c r="D1483" s="5" t="n"/>
      <c r="E1483" s="5" t="n"/>
      <c r="F1483" s="5" t="n"/>
      <c r="G1483" s="5" t="n"/>
      <c r="H1483" s="5" t="n"/>
      <c r="I1483" s="5" t="n"/>
      <c r="J1483" s="5" t="n"/>
      <c r="K1483" s="5" t="n"/>
      <c r="L1483" s="5" t="n"/>
      <c r="M1483" s="5" t="n"/>
      <c r="N1483" s="5" t="n"/>
      <c r="O1483" s="5" t="n"/>
      <c r="P1483" s="5" t="n"/>
      <c r="Q1483" s="5" t="n"/>
      <c r="R1483" s="5" t="n"/>
      <c r="S1483" s="5" t="n"/>
      <c r="T1483" s="5" t="n"/>
      <c r="U1483" s="5" t="n"/>
      <c r="V1483" s="5" t="n"/>
      <c r="W1483" s="5" t="n"/>
      <c r="X1483" s="5" t="n"/>
      <c r="Y1483" s="5">
        <f>IF(I1483="","",IF(AND(I1483="Fail",K1483=""),"Classify Issue Source",IF(AND(I1483="Fail",W1483=""),"Set Confidence",IF(AND(K1483="Unknown",W1483&lt;&gt;"Low"),"Unknown must be Low confidence",IF(AND(OR(K1483="Backend",K1483="SAP"),N1483=""),"Add HTTP status + endpoint",IF(AND(OR(K1483="Backend",K1483="SAP",K1483="Network"),P1483=""),"Add Correlation ID",IF(AND(I1483="Fail",T1483=""),"Write Root Cause / evidence gap",IF(AND(I1483="Fail",V1483=""),"Assign team","OK"))))))))</f>
        <v/>
      </c>
    </row>
    <row r="1484">
      <c r="A1484" s="5" t="n"/>
      <c r="B1484" s="5" t="n"/>
      <c r="C1484" s="5" t="n"/>
      <c r="D1484" s="5" t="n"/>
      <c r="E1484" s="5" t="n"/>
      <c r="F1484" s="5" t="n"/>
      <c r="G1484" s="5" t="n"/>
      <c r="H1484" s="5" t="n"/>
      <c r="I1484" s="5" t="n"/>
      <c r="J1484" s="5" t="n"/>
      <c r="K1484" s="5" t="n"/>
      <c r="L1484" s="5" t="n"/>
      <c r="M1484" s="5" t="n"/>
      <c r="N1484" s="5" t="n"/>
      <c r="O1484" s="5" t="n"/>
      <c r="P1484" s="5" t="n"/>
      <c r="Q1484" s="5" t="n"/>
      <c r="R1484" s="5" t="n"/>
      <c r="S1484" s="5" t="n"/>
      <c r="T1484" s="5" t="n"/>
      <c r="U1484" s="5" t="n"/>
      <c r="V1484" s="5" t="n"/>
      <c r="W1484" s="5" t="n"/>
      <c r="X1484" s="5" t="n"/>
      <c r="Y1484" s="5">
        <f>IF(I1484="","",IF(AND(I1484="Fail",K1484=""),"Classify Issue Source",IF(AND(I1484="Fail",W1484=""),"Set Confidence",IF(AND(K1484="Unknown",W1484&lt;&gt;"Low"),"Unknown must be Low confidence",IF(AND(OR(K1484="Backend",K1484="SAP"),N1484=""),"Add HTTP status + endpoint",IF(AND(OR(K1484="Backend",K1484="SAP",K1484="Network"),P1484=""),"Add Correlation ID",IF(AND(I1484="Fail",T1484=""),"Write Root Cause / evidence gap",IF(AND(I1484="Fail",V1484=""),"Assign team","OK"))))))))</f>
        <v/>
      </c>
    </row>
    <row r="1485">
      <c r="A1485" s="5" t="n"/>
      <c r="B1485" s="5" t="n"/>
      <c r="C1485" s="5" t="n"/>
      <c r="D1485" s="5" t="n"/>
      <c r="E1485" s="5" t="n"/>
      <c r="F1485" s="5" t="n"/>
      <c r="G1485" s="5" t="n"/>
      <c r="H1485" s="5" t="n"/>
      <c r="I1485" s="5" t="n"/>
      <c r="J1485" s="5" t="n"/>
      <c r="K1485" s="5" t="n"/>
      <c r="L1485" s="5" t="n"/>
      <c r="M1485" s="5" t="n"/>
      <c r="N1485" s="5" t="n"/>
      <c r="O1485" s="5" t="n"/>
      <c r="P1485" s="5" t="n"/>
      <c r="Q1485" s="5" t="n"/>
      <c r="R1485" s="5" t="n"/>
      <c r="S1485" s="5" t="n"/>
      <c r="T1485" s="5" t="n"/>
      <c r="U1485" s="5" t="n"/>
      <c r="V1485" s="5" t="n"/>
      <c r="W1485" s="5" t="n"/>
      <c r="X1485" s="5" t="n"/>
      <c r="Y1485" s="5">
        <f>IF(I1485="","",IF(AND(I1485="Fail",K1485=""),"Classify Issue Source",IF(AND(I1485="Fail",W1485=""),"Set Confidence",IF(AND(K1485="Unknown",W1485&lt;&gt;"Low"),"Unknown must be Low confidence",IF(AND(OR(K1485="Backend",K1485="SAP"),N1485=""),"Add HTTP status + endpoint",IF(AND(OR(K1485="Backend",K1485="SAP",K1485="Network"),P1485=""),"Add Correlation ID",IF(AND(I1485="Fail",T1485=""),"Write Root Cause / evidence gap",IF(AND(I1485="Fail",V1485=""),"Assign team","OK"))))))))</f>
        <v/>
      </c>
    </row>
    <row r="1486">
      <c r="A1486" s="5" t="n"/>
      <c r="B1486" s="5" t="n"/>
      <c r="C1486" s="5" t="n"/>
      <c r="D1486" s="5" t="n"/>
      <c r="E1486" s="5" t="n"/>
      <c r="F1486" s="5" t="n"/>
      <c r="G1486" s="5" t="n"/>
      <c r="H1486" s="5" t="n"/>
      <c r="I1486" s="5" t="n"/>
      <c r="J1486" s="5" t="n"/>
      <c r="K1486" s="5" t="n"/>
      <c r="L1486" s="5" t="n"/>
      <c r="M1486" s="5" t="n"/>
      <c r="N1486" s="5" t="n"/>
      <c r="O1486" s="5" t="n"/>
      <c r="P1486" s="5" t="n"/>
      <c r="Q1486" s="5" t="n"/>
      <c r="R1486" s="5" t="n"/>
      <c r="S1486" s="5" t="n"/>
      <c r="T1486" s="5" t="n"/>
      <c r="U1486" s="5" t="n"/>
      <c r="V1486" s="5" t="n"/>
      <c r="W1486" s="5" t="n"/>
      <c r="X1486" s="5" t="n"/>
      <c r="Y1486" s="5">
        <f>IF(I1486="","",IF(AND(I1486="Fail",K1486=""),"Classify Issue Source",IF(AND(I1486="Fail",W1486=""),"Set Confidence",IF(AND(K1486="Unknown",W1486&lt;&gt;"Low"),"Unknown must be Low confidence",IF(AND(OR(K1486="Backend",K1486="SAP"),N1486=""),"Add HTTP status + endpoint",IF(AND(OR(K1486="Backend",K1486="SAP",K1486="Network"),P1486=""),"Add Correlation ID",IF(AND(I1486="Fail",T1486=""),"Write Root Cause / evidence gap",IF(AND(I1486="Fail",V1486=""),"Assign team","OK"))))))))</f>
        <v/>
      </c>
    </row>
    <row r="1487">
      <c r="A1487" s="5" t="n"/>
      <c r="B1487" s="5" t="n"/>
      <c r="C1487" s="5" t="n"/>
      <c r="D1487" s="5" t="n"/>
      <c r="E1487" s="5" t="n"/>
      <c r="F1487" s="5" t="n"/>
      <c r="G1487" s="5" t="n"/>
      <c r="H1487" s="5" t="n"/>
      <c r="I1487" s="5" t="n"/>
      <c r="J1487" s="5" t="n"/>
      <c r="K1487" s="5" t="n"/>
      <c r="L1487" s="5" t="n"/>
      <c r="M1487" s="5" t="n"/>
      <c r="N1487" s="5" t="n"/>
      <c r="O1487" s="5" t="n"/>
      <c r="P1487" s="5" t="n"/>
      <c r="Q1487" s="5" t="n"/>
      <c r="R1487" s="5" t="n"/>
      <c r="S1487" s="5" t="n"/>
      <c r="T1487" s="5" t="n"/>
      <c r="U1487" s="5" t="n"/>
      <c r="V1487" s="5" t="n"/>
      <c r="W1487" s="5" t="n"/>
      <c r="X1487" s="5" t="n"/>
      <c r="Y1487" s="5">
        <f>IF(I1487="","",IF(AND(I1487="Fail",K1487=""),"Classify Issue Source",IF(AND(I1487="Fail",W1487=""),"Set Confidence",IF(AND(K1487="Unknown",W1487&lt;&gt;"Low"),"Unknown must be Low confidence",IF(AND(OR(K1487="Backend",K1487="SAP"),N1487=""),"Add HTTP status + endpoint",IF(AND(OR(K1487="Backend",K1487="SAP",K1487="Network"),P1487=""),"Add Correlation ID",IF(AND(I1487="Fail",T1487=""),"Write Root Cause / evidence gap",IF(AND(I1487="Fail",V1487=""),"Assign team","OK"))))))))</f>
        <v/>
      </c>
    </row>
    <row r="1488">
      <c r="A1488" s="5" t="n"/>
      <c r="B1488" s="5" t="n"/>
      <c r="C1488" s="5" t="n"/>
      <c r="D1488" s="5" t="n"/>
      <c r="E1488" s="5" t="n"/>
      <c r="F1488" s="5" t="n"/>
      <c r="G1488" s="5" t="n"/>
      <c r="H1488" s="5" t="n"/>
      <c r="I1488" s="5" t="n"/>
      <c r="J1488" s="5" t="n"/>
      <c r="K1488" s="5" t="n"/>
      <c r="L1488" s="5" t="n"/>
      <c r="M1488" s="5" t="n"/>
      <c r="N1488" s="5" t="n"/>
      <c r="O1488" s="5" t="n"/>
      <c r="P1488" s="5" t="n"/>
      <c r="Q1488" s="5" t="n"/>
      <c r="R1488" s="5" t="n"/>
      <c r="S1488" s="5" t="n"/>
      <c r="T1488" s="5" t="n"/>
      <c r="U1488" s="5" t="n"/>
      <c r="V1488" s="5" t="n"/>
      <c r="W1488" s="5" t="n"/>
      <c r="X1488" s="5" t="n"/>
      <c r="Y1488" s="5">
        <f>IF(I1488="","",IF(AND(I1488="Fail",K1488=""),"Classify Issue Source",IF(AND(I1488="Fail",W1488=""),"Set Confidence",IF(AND(K1488="Unknown",W1488&lt;&gt;"Low"),"Unknown must be Low confidence",IF(AND(OR(K1488="Backend",K1488="SAP"),N1488=""),"Add HTTP status + endpoint",IF(AND(OR(K1488="Backend",K1488="SAP",K1488="Network"),P1488=""),"Add Correlation ID",IF(AND(I1488="Fail",T1488=""),"Write Root Cause / evidence gap",IF(AND(I1488="Fail",V1488=""),"Assign team","OK"))))))))</f>
        <v/>
      </c>
    </row>
    <row r="1489">
      <c r="A1489" s="5" t="n"/>
      <c r="B1489" s="5" t="n"/>
      <c r="C1489" s="5" t="n"/>
      <c r="D1489" s="5" t="n"/>
      <c r="E1489" s="5" t="n"/>
      <c r="F1489" s="5" t="n"/>
      <c r="G1489" s="5" t="n"/>
      <c r="H1489" s="5" t="n"/>
      <c r="I1489" s="5" t="n"/>
      <c r="J1489" s="5" t="n"/>
      <c r="K1489" s="5" t="n"/>
      <c r="L1489" s="5" t="n"/>
      <c r="M1489" s="5" t="n"/>
      <c r="N1489" s="5" t="n"/>
      <c r="O1489" s="5" t="n"/>
      <c r="P1489" s="5" t="n"/>
      <c r="Q1489" s="5" t="n"/>
      <c r="R1489" s="5" t="n"/>
      <c r="S1489" s="5" t="n"/>
      <c r="T1489" s="5" t="n"/>
      <c r="U1489" s="5" t="n"/>
      <c r="V1489" s="5" t="n"/>
      <c r="W1489" s="5" t="n"/>
      <c r="X1489" s="5" t="n"/>
      <c r="Y1489" s="5">
        <f>IF(I1489="","",IF(AND(I1489="Fail",K1489=""),"Classify Issue Source",IF(AND(I1489="Fail",W1489=""),"Set Confidence",IF(AND(K1489="Unknown",W1489&lt;&gt;"Low"),"Unknown must be Low confidence",IF(AND(OR(K1489="Backend",K1489="SAP"),N1489=""),"Add HTTP status + endpoint",IF(AND(OR(K1489="Backend",K1489="SAP",K1489="Network"),P1489=""),"Add Correlation ID",IF(AND(I1489="Fail",T1489=""),"Write Root Cause / evidence gap",IF(AND(I1489="Fail",V1489=""),"Assign team","OK"))))))))</f>
        <v/>
      </c>
    </row>
    <row r="1490">
      <c r="A1490" s="5" t="n"/>
      <c r="B1490" s="5" t="n"/>
      <c r="C1490" s="5" t="n"/>
      <c r="D1490" s="5" t="n"/>
      <c r="E1490" s="5" t="n"/>
      <c r="F1490" s="5" t="n"/>
      <c r="G1490" s="5" t="n"/>
      <c r="H1490" s="5" t="n"/>
      <c r="I1490" s="5" t="n"/>
      <c r="J1490" s="5" t="n"/>
      <c r="K1490" s="5" t="n"/>
      <c r="L1490" s="5" t="n"/>
      <c r="M1490" s="5" t="n"/>
      <c r="N1490" s="5" t="n"/>
      <c r="O1490" s="5" t="n"/>
      <c r="P1490" s="5" t="n"/>
      <c r="Q1490" s="5" t="n"/>
      <c r="R1490" s="5" t="n"/>
      <c r="S1490" s="5" t="n"/>
      <c r="T1490" s="5" t="n"/>
      <c r="U1490" s="5" t="n"/>
      <c r="V1490" s="5" t="n"/>
      <c r="W1490" s="5" t="n"/>
      <c r="X1490" s="5" t="n"/>
      <c r="Y1490" s="5">
        <f>IF(I1490="","",IF(AND(I1490="Fail",K1490=""),"Classify Issue Source",IF(AND(I1490="Fail",W1490=""),"Set Confidence",IF(AND(K1490="Unknown",W1490&lt;&gt;"Low"),"Unknown must be Low confidence",IF(AND(OR(K1490="Backend",K1490="SAP"),N1490=""),"Add HTTP status + endpoint",IF(AND(OR(K1490="Backend",K1490="SAP",K1490="Network"),P1490=""),"Add Correlation ID",IF(AND(I1490="Fail",T1490=""),"Write Root Cause / evidence gap",IF(AND(I1490="Fail",V1490=""),"Assign team","OK"))))))))</f>
        <v/>
      </c>
    </row>
    <row r="1491">
      <c r="A1491" s="5" t="n"/>
      <c r="B1491" s="5" t="n"/>
      <c r="C1491" s="5" t="n"/>
      <c r="D1491" s="5" t="n"/>
      <c r="E1491" s="5" t="n"/>
      <c r="F1491" s="5" t="n"/>
      <c r="G1491" s="5" t="n"/>
      <c r="H1491" s="5" t="n"/>
      <c r="I1491" s="5" t="n"/>
      <c r="J1491" s="5" t="n"/>
      <c r="K1491" s="5" t="n"/>
      <c r="L1491" s="5" t="n"/>
      <c r="M1491" s="5" t="n"/>
      <c r="N1491" s="5" t="n"/>
      <c r="O1491" s="5" t="n"/>
      <c r="P1491" s="5" t="n"/>
      <c r="Q1491" s="5" t="n"/>
      <c r="R1491" s="5" t="n"/>
      <c r="S1491" s="5" t="n"/>
      <c r="T1491" s="5" t="n"/>
      <c r="U1491" s="5" t="n"/>
      <c r="V1491" s="5" t="n"/>
      <c r="W1491" s="5" t="n"/>
      <c r="X1491" s="5" t="n"/>
      <c r="Y1491" s="5">
        <f>IF(I1491="","",IF(AND(I1491="Fail",K1491=""),"Classify Issue Source",IF(AND(I1491="Fail",W1491=""),"Set Confidence",IF(AND(K1491="Unknown",W1491&lt;&gt;"Low"),"Unknown must be Low confidence",IF(AND(OR(K1491="Backend",K1491="SAP"),N1491=""),"Add HTTP status + endpoint",IF(AND(OR(K1491="Backend",K1491="SAP",K1491="Network"),P1491=""),"Add Correlation ID",IF(AND(I1491="Fail",T1491=""),"Write Root Cause / evidence gap",IF(AND(I1491="Fail",V1491=""),"Assign team","OK"))))))))</f>
        <v/>
      </c>
    </row>
    <row r="1492">
      <c r="A1492" s="5" t="n"/>
      <c r="B1492" s="5" t="n"/>
      <c r="C1492" s="5" t="n"/>
      <c r="D1492" s="5" t="n"/>
      <c r="E1492" s="5" t="n"/>
      <c r="F1492" s="5" t="n"/>
      <c r="G1492" s="5" t="n"/>
      <c r="H1492" s="5" t="n"/>
      <c r="I1492" s="5" t="n"/>
      <c r="J1492" s="5" t="n"/>
      <c r="K1492" s="5" t="n"/>
      <c r="L1492" s="5" t="n"/>
      <c r="M1492" s="5" t="n"/>
      <c r="N1492" s="5" t="n"/>
      <c r="O1492" s="5" t="n"/>
      <c r="P1492" s="5" t="n"/>
      <c r="Q1492" s="5" t="n"/>
      <c r="R1492" s="5" t="n"/>
      <c r="S1492" s="5" t="n"/>
      <c r="T1492" s="5" t="n"/>
      <c r="U1492" s="5" t="n"/>
      <c r="V1492" s="5" t="n"/>
      <c r="W1492" s="5" t="n"/>
      <c r="X1492" s="5" t="n"/>
      <c r="Y1492" s="5">
        <f>IF(I1492="","",IF(AND(I1492="Fail",K1492=""),"Classify Issue Source",IF(AND(I1492="Fail",W1492=""),"Set Confidence",IF(AND(K1492="Unknown",W1492&lt;&gt;"Low"),"Unknown must be Low confidence",IF(AND(OR(K1492="Backend",K1492="SAP"),N1492=""),"Add HTTP status + endpoint",IF(AND(OR(K1492="Backend",K1492="SAP",K1492="Network"),P1492=""),"Add Correlation ID",IF(AND(I1492="Fail",T1492=""),"Write Root Cause / evidence gap",IF(AND(I1492="Fail",V1492=""),"Assign team","OK"))))))))</f>
        <v/>
      </c>
    </row>
    <row r="1493">
      <c r="A1493" s="5" t="n"/>
      <c r="B1493" s="5" t="n"/>
      <c r="C1493" s="5" t="n"/>
      <c r="D1493" s="5" t="n"/>
      <c r="E1493" s="5" t="n"/>
      <c r="F1493" s="5" t="n"/>
      <c r="G1493" s="5" t="n"/>
      <c r="H1493" s="5" t="n"/>
      <c r="I1493" s="5" t="n"/>
      <c r="J1493" s="5" t="n"/>
      <c r="K1493" s="5" t="n"/>
      <c r="L1493" s="5" t="n"/>
      <c r="M1493" s="5" t="n"/>
      <c r="N1493" s="5" t="n"/>
      <c r="O1493" s="5" t="n"/>
      <c r="P1493" s="5" t="n"/>
      <c r="Q1493" s="5" t="n"/>
      <c r="R1493" s="5" t="n"/>
      <c r="S1493" s="5" t="n"/>
      <c r="T1493" s="5" t="n"/>
      <c r="U1493" s="5" t="n"/>
      <c r="V1493" s="5" t="n"/>
      <c r="W1493" s="5" t="n"/>
      <c r="X1493" s="5" t="n"/>
      <c r="Y1493" s="5">
        <f>IF(I1493="","",IF(AND(I1493="Fail",K1493=""),"Classify Issue Source",IF(AND(I1493="Fail",W1493=""),"Set Confidence",IF(AND(K1493="Unknown",W1493&lt;&gt;"Low"),"Unknown must be Low confidence",IF(AND(OR(K1493="Backend",K1493="SAP"),N1493=""),"Add HTTP status + endpoint",IF(AND(OR(K1493="Backend",K1493="SAP",K1493="Network"),P1493=""),"Add Correlation ID",IF(AND(I1493="Fail",T1493=""),"Write Root Cause / evidence gap",IF(AND(I1493="Fail",V1493=""),"Assign team","OK"))))))))</f>
        <v/>
      </c>
    </row>
    <row r="1494">
      <c r="A1494" s="5" t="n"/>
      <c r="B1494" s="5" t="n"/>
      <c r="C1494" s="5" t="n"/>
      <c r="D1494" s="5" t="n"/>
      <c r="E1494" s="5" t="n"/>
      <c r="F1494" s="5" t="n"/>
      <c r="G1494" s="5" t="n"/>
      <c r="H1494" s="5" t="n"/>
      <c r="I1494" s="5" t="n"/>
      <c r="J1494" s="5" t="n"/>
      <c r="K1494" s="5" t="n"/>
      <c r="L1494" s="5" t="n"/>
      <c r="M1494" s="5" t="n"/>
      <c r="N1494" s="5" t="n"/>
      <c r="O1494" s="5" t="n"/>
      <c r="P1494" s="5" t="n"/>
      <c r="Q1494" s="5" t="n"/>
      <c r="R1494" s="5" t="n"/>
      <c r="S1494" s="5" t="n"/>
      <c r="T1494" s="5" t="n"/>
      <c r="U1494" s="5" t="n"/>
      <c r="V1494" s="5" t="n"/>
      <c r="W1494" s="5" t="n"/>
      <c r="X1494" s="5" t="n"/>
      <c r="Y1494" s="5">
        <f>IF(I1494="","",IF(AND(I1494="Fail",K1494=""),"Classify Issue Source",IF(AND(I1494="Fail",W1494=""),"Set Confidence",IF(AND(K1494="Unknown",W1494&lt;&gt;"Low"),"Unknown must be Low confidence",IF(AND(OR(K1494="Backend",K1494="SAP"),N1494=""),"Add HTTP status + endpoint",IF(AND(OR(K1494="Backend",K1494="SAP",K1494="Network"),P1494=""),"Add Correlation ID",IF(AND(I1494="Fail",T1494=""),"Write Root Cause / evidence gap",IF(AND(I1494="Fail",V1494=""),"Assign team","OK"))))))))</f>
        <v/>
      </c>
    </row>
    <row r="1495">
      <c r="A1495" s="5" t="n"/>
      <c r="B1495" s="5" t="n"/>
      <c r="C1495" s="5" t="n"/>
      <c r="D1495" s="5" t="n"/>
      <c r="E1495" s="5" t="n"/>
      <c r="F1495" s="5" t="n"/>
      <c r="G1495" s="5" t="n"/>
      <c r="H1495" s="5" t="n"/>
      <c r="I1495" s="5" t="n"/>
      <c r="J1495" s="5" t="n"/>
      <c r="K1495" s="5" t="n"/>
      <c r="L1495" s="5" t="n"/>
      <c r="M1495" s="5" t="n"/>
      <c r="N1495" s="5" t="n"/>
      <c r="O1495" s="5" t="n"/>
      <c r="P1495" s="5" t="n"/>
      <c r="Q1495" s="5" t="n"/>
      <c r="R1495" s="5" t="n"/>
      <c r="S1495" s="5" t="n"/>
      <c r="T1495" s="5" t="n"/>
      <c r="U1495" s="5" t="n"/>
      <c r="V1495" s="5" t="n"/>
      <c r="W1495" s="5" t="n"/>
      <c r="X1495" s="5" t="n"/>
      <c r="Y1495" s="5">
        <f>IF(I1495="","",IF(AND(I1495="Fail",K1495=""),"Classify Issue Source",IF(AND(I1495="Fail",W1495=""),"Set Confidence",IF(AND(K1495="Unknown",W1495&lt;&gt;"Low"),"Unknown must be Low confidence",IF(AND(OR(K1495="Backend",K1495="SAP"),N1495=""),"Add HTTP status + endpoint",IF(AND(OR(K1495="Backend",K1495="SAP",K1495="Network"),P1495=""),"Add Correlation ID",IF(AND(I1495="Fail",T1495=""),"Write Root Cause / evidence gap",IF(AND(I1495="Fail",V1495=""),"Assign team","OK"))))))))</f>
        <v/>
      </c>
    </row>
    <row r="1496">
      <c r="A1496" s="5" t="n"/>
      <c r="B1496" s="5" t="n"/>
      <c r="C1496" s="5" t="n"/>
      <c r="D1496" s="5" t="n"/>
      <c r="E1496" s="5" t="n"/>
      <c r="F1496" s="5" t="n"/>
      <c r="G1496" s="5" t="n"/>
      <c r="H1496" s="5" t="n"/>
      <c r="I1496" s="5" t="n"/>
      <c r="J1496" s="5" t="n"/>
      <c r="K1496" s="5" t="n"/>
      <c r="L1496" s="5" t="n"/>
      <c r="M1496" s="5" t="n"/>
      <c r="N1496" s="5" t="n"/>
      <c r="O1496" s="5" t="n"/>
      <c r="P1496" s="5" t="n"/>
      <c r="Q1496" s="5" t="n"/>
      <c r="R1496" s="5" t="n"/>
      <c r="S1496" s="5" t="n"/>
      <c r="T1496" s="5" t="n"/>
      <c r="U1496" s="5" t="n"/>
      <c r="V1496" s="5" t="n"/>
      <c r="W1496" s="5" t="n"/>
      <c r="X1496" s="5" t="n"/>
      <c r="Y1496" s="5">
        <f>IF(I1496="","",IF(AND(I1496="Fail",K1496=""),"Classify Issue Source",IF(AND(I1496="Fail",W1496=""),"Set Confidence",IF(AND(K1496="Unknown",W1496&lt;&gt;"Low"),"Unknown must be Low confidence",IF(AND(OR(K1496="Backend",K1496="SAP"),N1496=""),"Add HTTP status + endpoint",IF(AND(OR(K1496="Backend",K1496="SAP",K1496="Network"),P1496=""),"Add Correlation ID",IF(AND(I1496="Fail",T1496=""),"Write Root Cause / evidence gap",IF(AND(I1496="Fail",V1496=""),"Assign team","OK"))))))))</f>
        <v/>
      </c>
    </row>
    <row r="1497">
      <c r="A1497" s="5" t="n"/>
      <c r="B1497" s="5" t="n"/>
      <c r="C1497" s="5" t="n"/>
      <c r="D1497" s="5" t="n"/>
      <c r="E1497" s="5" t="n"/>
      <c r="F1497" s="5" t="n"/>
      <c r="G1497" s="5" t="n"/>
      <c r="H1497" s="5" t="n"/>
      <c r="I1497" s="5" t="n"/>
      <c r="J1497" s="5" t="n"/>
      <c r="K1497" s="5" t="n"/>
      <c r="L1497" s="5" t="n"/>
      <c r="M1497" s="5" t="n"/>
      <c r="N1497" s="5" t="n"/>
      <c r="O1497" s="5" t="n"/>
      <c r="P1497" s="5" t="n"/>
      <c r="Q1497" s="5" t="n"/>
      <c r="R1497" s="5" t="n"/>
      <c r="S1497" s="5" t="n"/>
      <c r="T1497" s="5" t="n"/>
      <c r="U1497" s="5" t="n"/>
      <c r="V1497" s="5" t="n"/>
      <c r="W1497" s="5" t="n"/>
      <c r="X1497" s="5" t="n"/>
      <c r="Y1497" s="5">
        <f>IF(I1497="","",IF(AND(I1497="Fail",K1497=""),"Classify Issue Source",IF(AND(I1497="Fail",W1497=""),"Set Confidence",IF(AND(K1497="Unknown",W1497&lt;&gt;"Low"),"Unknown must be Low confidence",IF(AND(OR(K1497="Backend",K1497="SAP"),N1497=""),"Add HTTP status + endpoint",IF(AND(OR(K1497="Backend",K1497="SAP",K1497="Network"),P1497=""),"Add Correlation ID",IF(AND(I1497="Fail",T1497=""),"Write Root Cause / evidence gap",IF(AND(I1497="Fail",V1497=""),"Assign team","OK"))))))))</f>
        <v/>
      </c>
    </row>
    <row r="1498">
      <c r="A1498" s="5" t="n"/>
      <c r="B1498" s="5" t="n"/>
      <c r="C1498" s="5" t="n"/>
      <c r="D1498" s="5" t="n"/>
      <c r="E1498" s="5" t="n"/>
      <c r="F1498" s="5" t="n"/>
      <c r="G1498" s="5" t="n"/>
      <c r="H1498" s="5" t="n"/>
      <c r="I1498" s="5" t="n"/>
      <c r="J1498" s="5" t="n"/>
      <c r="K1498" s="5" t="n"/>
      <c r="L1498" s="5" t="n"/>
      <c r="M1498" s="5" t="n"/>
      <c r="N1498" s="5" t="n"/>
      <c r="O1498" s="5" t="n"/>
      <c r="P1498" s="5" t="n"/>
      <c r="Q1498" s="5" t="n"/>
      <c r="R1498" s="5" t="n"/>
      <c r="S1498" s="5" t="n"/>
      <c r="T1498" s="5" t="n"/>
      <c r="U1498" s="5" t="n"/>
      <c r="V1498" s="5" t="n"/>
      <c r="W1498" s="5" t="n"/>
      <c r="X1498" s="5" t="n"/>
      <c r="Y1498" s="5">
        <f>IF(I1498="","",IF(AND(I1498="Fail",K1498=""),"Classify Issue Source",IF(AND(I1498="Fail",W1498=""),"Set Confidence",IF(AND(K1498="Unknown",W1498&lt;&gt;"Low"),"Unknown must be Low confidence",IF(AND(OR(K1498="Backend",K1498="SAP"),N1498=""),"Add HTTP status + endpoint",IF(AND(OR(K1498="Backend",K1498="SAP",K1498="Network"),P1498=""),"Add Correlation ID",IF(AND(I1498="Fail",T1498=""),"Write Root Cause / evidence gap",IF(AND(I1498="Fail",V1498=""),"Assign team","OK"))))))))</f>
        <v/>
      </c>
    </row>
    <row r="1499">
      <c r="A1499" s="5" t="n"/>
      <c r="B1499" s="5" t="n"/>
      <c r="C1499" s="5" t="n"/>
      <c r="D1499" s="5" t="n"/>
      <c r="E1499" s="5" t="n"/>
      <c r="F1499" s="5" t="n"/>
      <c r="G1499" s="5" t="n"/>
      <c r="H1499" s="5" t="n"/>
      <c r="I1499" s="5" t="n"/>
      <c r="J1499" s="5" t="n"/>
      <c r="K1499" s="5" t="n"/>
      <c r="L1499" s="5" t="n"/>
      <c r="M1499" s="5" t="n"/>
      <c r="N1499" s="5" t="n"/>
      <c r="O1499" s="5" t="n"/>
      <c r="P1499" s="5" t="n"/>
      <c r="Q1499" s="5" t="n"/>
      <c r="R1499" s="5" t="n"/>
      <c r="S1499" s="5" t="n"/>
      <c r="T1499" s="5" t="n"/>
      <c r="U1499" s="5" t="n"/>
      <c r="V1499" s="5" t="n"/>
      <c r="W1499" s="5" t="n"/>
      <c r="X1499" s="5" t="n"/>
      <c r="Y1499" s="5">
        <f>IF(I1499="","",IF(AND(I1499="Fail",K1499=""),"Classify Issue Source",IF(AND(I1499="Fail",W1499=""),"Set Confidence",IF(AND(K1499="Unknown",W1499&lt;&gt;"Low"),"Unknown must be Low confidence",IF(AND(OR(K1499="Backend",K1499="SAP"),N1499=""),"Add HTTP status + endpoint",IF(AND(OR(K1499="Backend",K1499="SAP",K1499="Network"),P1499=""),"Add Correlation ID",IF(AND(I1499="Fail",T1499=""),"Write Root Cause / evidence gap",IF(AND(I1499="Fail",V1499=""),"Assign team","OK"))))))))</f>
        <v/>
      </c>
    </row>
    <row r="1500">
      <c r="A1500" s="5" t="n"/>
      <c r="B1500" s="5" t="n"/>
      <c r="C1500" s="5" t="n"/>
      <c r="D1500" s="5" t="n"/>
      <c r="E1500" s="5" t="n"/>
      <c r="F1500" s="5" t="n"/>
      <c r="G1500" s="5" t="n"/>
      <c r="H1500" s="5" t="n"/>
      <c r="I1500" s="5" t="n"/>
      <c r="J1500" s="5" t="n"/>
      <c r="K1500" s="5" t="n"/>
      <c r="L1500" s="5" t="n"/>
      <c r="M1500" s="5" t="n"/>
      <c r="N1500" s="5" t="n"/>
      <c r="O1500" s="5" t="n"/>
      <c r="P1500" s="5" t="n"/>
      <c r="Q1500" s="5" t="n"/>
      <c r="R1500" s="5" t="n"/>
      <c r="S1500" s="5" t="n"/>
      <c r="T1500" s="5" t="n"/>
      <c r="U1500" s="5" t="n"/>
      <c r="V1500" s="5" t="n"/>
      <c r="W1500" s="5" t="n"/>
      <c r="X1500" s="5" t="n"/>
      <c r="Y1500" s="5">
        <f>IF(I1500="","",IF(AND(I1500="Fail",K1500=""),"Classify Issue Source",IF(AND(I1500="Fail",W1500=""),"Set Confidence",IF(AND(K1500="Unknown",W1500&lt;&gt;"Low"),"Unknown must be Low confidence",IF(AND(OR(K1500="Backend",K1500="SAP"),N1500=""),"Add HTTP status + endpoint",IF(AND(OR(K1500="Backend",K1500="SAP",K1500="Network"),P1500=""),"Add Correlation ID",IF(AND(I1500="Fail",T1500=""),"Write Root Cause / evidence gap",IF(AND(I1500="Fail",V1500=""),"Assign team","OK"))))))))</f>
        <v/>
      </c>
    </row>
    <row r="1501">
      <c r="A1501" s="5" t="n"/>
      <c r="B1501" s="5" t="n"/>
      <c r="C1501" s="5" t="n"/>
      <c r="D1501" s="5" t="n"/>
      <c r="E1501" s="5" t="n"/>
      <c r="F1501" s="5" t="n"/>
      <c r="G1501" s="5" t="n"/>
      <c r="H1501" s="5" t="n"/>
      <c r="I1501" s="5" t="n"/>
      <c r="J1501" s="5" t="n"/>
      <c r="K1501" s="5" t="n"/>
      <c r="L1501" s="5" t="n"/>
      <c r="M1501" s="5" t="n"/>
      <c r="N1501" s="5" t="n"/>
      <c r="O1501" s="5" t="n"/>
      <c r="P1501" s="5" t="n"/>
      <c r="Q1501" s="5" t="n"/>
      <c r="R1501" s="5" t="n"/>
      <c r="S1501" s="5" t="n"/>
      <c r="T1501" s="5" t="n"/>
      <c r="U1501" s="5" t="n"/>
      <c r="V1501" s="5" t="n"/>
      <c r="W1501" s="5" t="n"/>
      <c r="X1501" s="5" t="n"/>
      <c r="Y1501" s="5">
        <f>IF(I1501="","",IF(AND(I1501="Fail",K1501=""),"Classify Issue Source",IF(AND(I1501="Fail",W1501=""),"Set Confidence",IF(AND(K1501="Unknown",W1501&lt;&gt;"Low"),"Unknown must be Low confidence",IF(AND(OR(K1501="Backend",K1501="SAP"),N1501=""),"Add HTTP status + endpoint",IF(AND(OR(K1501="Backend",K1501="SAP",K1501="Network"),P1501=""),"Add Correlation ID",IF(AND(I1501="Fail",T1501=""),"Write Root Cause / evidence gap",IF(AND(I1501="Fail",V1501=""),"Assign team","OK"))))))))</f>
        <v/>
      </c>
    </row>
    <row r="1502">
      <c r="A1502" s="5" t="n"/>
      <c r="B1502" s="5" t="n"/>
      <c r="C1502" s="5" t="n"/>
      <c r="D1502" s="5" t="n"/>
      <c r="E1502" s="5" t="n"/>
      <c r="F1502" s="5" t="n"/>
      <c r="G1502" s="5" t="n"/>
      <c r="H1502" s="5" t="n"/>
      <c r="I1502" s="5" t="n"/>
      <c r="J1502" s="5" t="n"/>
      <c r="K1502" s="5" t="n"/>
      <c r="L1502" s="5" t="n"/>
      <c r="M1502" s="5" t="n"/>
      <c r="N1502" s="5" t="n"/>
      <c r="O1502" s="5" t="n"/>
      <c r="P1502" s="5" t="n"/>
      <c r="Q1502" s="5" t="n"/>
      <c r="R1502" s="5" t="n"/>
      <c r="S1502" s="5" t="n"/>
      <c r="T1502" s="5" t="n"/>
      <c r="U1502" s="5" t="n"/>
      <c r="V1502" s="5" t="n"/>
      <c r="W1502" s="5" t="n"/>
      <c r="X1502" s="5" t="n"/>
      <c r="Y1502" s="5">
        <f>IF(I1502="","",IF(AND(I1502="Fail",K1502=""),"Classify Issue Source",IF(AND(I1502="Fail",W1502=""),"Set Confidence",IF(AND(K1502="Unknown",W1502&lt;&gt;"Low"),"Unknown must be Low confidence",IF(AND(OR(K1502="Backend",K1502="SAP"),N1502=""),"Add HTTP status + endpoint",IF(AND(OR(K1502="Backend",K1502="SAP",K1502="Network"),P1502=""),"Add Correlation ID",IF(AND(I1502="Fail",T1502=""),"Write Root Cause / evidence gap",IF(AND(I1502="Fail",V1502=""),"Assign team","OK"))))))))</f>
        <v/>
      </c>
    </row>
    <row r="1503">
      <c r="A1503" s="5" t="n"/>
      <c r="B1503" s="5" t="n"/>
      <c r="C1503" s="5" t="n"/>
      <c r="D1503" s="5" t="n"/>
      <c r="E1503" s="5" t="n"/>
      <c r="F1503" s="5" t="n"/>
      <c r="G1503" s="5" t="n"/>
      <c r="H1503" s="5" t="n"/>
      <c r="I1503" s="5" t="n"/>
      <c r="J1503" s="5" t="n"/>
      <c r="K1503" s="5" t="n"/>
      <c r="L1503" s="5" t="n"/>
      <c r="M1503" s="5" t="n"/>
      <c r="N1503" s="5" t="n"/>
      <c r="O1503" s="5" t="n"/>
      <c r="P1503" s="5" t="n"/>
      <c r="Q1503" s="5" t="n"/>
      <c r="R1503" s="5" t="n"/>
      <c r="S1503" s="5" t="n"/>
      <c r="T1503" s="5" t="n"/>
      <c r="U1503" s="5" t="n"/>
      <c r="V1503" s="5" t="n"/>
      <c r="W1503" s="5" t="n"/>
      <c r="X1503" s="5" t="n"/>
      <c r="Y1503" s="5">
        <f>IF(I1503="","",IF(AND(I1503="Fail",K1503=""),"Classify Issue Source",IF(AND(I1503="Fail",W1503=""),"Set Confidence",IF(AND(K1503="Unknown",W1503&lt;&gt;"Low"),"Unknown must be Low confidence",IF(AND(OR(K1503="Backend",K1503="SAP"),N1503=""),"Add HTTP status + endpoint",IF(AND(OR(K1503="Backend",K1503="SAP",K1503="Network"),P1503=""),"Add Correlation ID",IF(AND(I1503="Fail",T1503=""),"Write Root Cause / evidence gap",IF(AND(I1503="Fail",V1503=""),"Assign team","OK"))))))))</f>
        <v/>
      </c>
    </row>
    <row r="1504">
      <c r="A1504" s="5" t="n"/>
      <c r="B1504" s="5" t="n"/>
      <c r="C1504" s="5" t="n"/>
      <c r="D1504" s="5" t="n"/>
      <c r="E1504" s="5" t="n"/>
      <c r="F1504" s="5" t="n"/>
      <c r="G1504" s="5" t="n"/>
      <c r="H1504" s="5" t="n"/>
      <c r="I1504" s="5" t="n"/>
      <c r="J1504" s="5" t="n"/>
      <c r="K1504" s="5" t="n"/>
      <c r="L1504" s="5" t="n"/>
      <c r="M1504" s="5" t="n"/>
      <c r="N1504" s="5" t="n"/>
      <c r="O1504" s="5" t="n"/>
      <c r="P1504" s="5" t="n"/>
      <c r="Q1504" s="5" t="n"/>
      <c r="R1504" s="5" t="n"/>
      <c r="S1504" s="5" t="n"/>
      <c r="T1504" s="5" t="n"/>
      <c r="U1504" s="5" t="n"/>
      <c r="V1504" s="5" t="n"/>
      <c r="W1504" s="5" t="n"/>
      <c r="X1504" s="5" t="n"/>
      <c r="Y1504" s="5">
        <f>IF(I1504="","",IF(AND(I1504="Fail",K1504=""),"Classify Issue Source",IF(AND(I1504="Fail",W1504=""),"Set Confidence",IF(AND(K1504="Unknown",W1504&lt;&gt;"Low"),"Unknown must be Low confidence",IF(AND(OR(K1504="Backend",K1504="SAP"),N1504=""),"Add HTTP status + endpoint",IF(AND(OR(K1504="Backend",K1504="SAP",K1504="Network"),P1504=""),"Add Correlation ID",IF(AND(I1504="Fail",T1504=""),"Write Root Cause / evidence gap",IF(AND(I1504="Fail",V1504=""),"Assign team","OK"))))))))</f>
        <v/>
      </c>
    </row>
    <row r="1505">
      <c r="A1505" s="5" t="n"/>
      <c r="B1505" s="5" t="n"/>
      <c r="C1505" s="5" t="n"/>
      <c r="D1505" s="5" t="n"/>
      <c r="E1505" s="5" t="n"/>
      <c r="F1505" s="5" t="n"/>
      <c r="G1505" s="5" t="n"/>
      <c r="H1505" s="5" t="n"/>
      <c r="I1505" s="5" t="n"/>
      <c r="J1505" s="5" t="n"/>
      <c r="K1505" s="5" t="n"/>
      <c r="L1505" s="5" t="n"/>
      <c r="M1505" s="5" t="n"/>
      <c r="N1505" s="5" t="n"/>
      <c r="O1505" s="5" t="n"/>
      <c r="P1505" s="5" t="n"/>
      <c r="Q1505" s="5" t="n"/>
      <c r="R1505" s="5" t="n"/>
      <c r="S1505" s="5" t="n"/>
      <c r="T1505" s="5" t="n"/>
      <c r="U1505" s="5" t="n"/>
      <c r="V1505" s="5" t="n"/>
      <c r="W1505" s="5" t="n"/>
      <c r="X1505" s="5" t="n"/>
      <c r="Y1505" s="5">
        <f>IF(I1505="","",IF(AND(I1505="Fail",K1505=""),"Classify Issue Source",IF(AND(I1505="Fail",W1505=""),"Set Confidence",IF(AND(K1505="Unknown",W1505&lt;&gt;"Low"),"Unknown must be Low confidence",IF(AND(OR(K1505="Backend",K1505="SAP"),N1505=""),"Add HTTP status + endpoint",IF(AND(OR(K1505="Backend",K1505="SAP",K1505="Network"),P1505=""),"Add Correlation ID",IF(AND(I1505="Fail",T1505=""),"Write Root Cause / evidence gap",IF(AND(I1505="Fail",V1505=""),"Assign team","OK"))))))))</f>
        <v/>
      </c>
    </row>
    <row r="1506">
      <c r="A1506" s="5" t="n"/>
      <c r="B1506" s="5" t="n"/>
      <c r="C1506" s="5" t="n"/>
      <c r="D1506" s="5" t="n"/>
      <c r="E1506" s="5" t="n"/>
      <c r="F1506" s="5" t="n"/>
      <c r="G1506" s="5" t="n"/>
      <c r="H1506" s="5" t="n"/>
      <c r="I1506" s="5" t="n"/>
      <c r="J1506" s="5" t="n"/>
      <c r="K1506" s="5" t="n"/>
      <c r="L1506" s="5" t="n"/>
      <c r="M1506" s="5" t="n"/>
      <c r="N1506" s="5" t="n"/>
      <c r="O1506" s="5" t="n"/>
      <c r="P1506" s="5" t="n"/>
      <c r="Q1506" s="5" t="n"/>
      <c r="R1506" s="5" t="n"/>
      <c r="S1506" s="5" t="n"/>
      <c r="T1506" s="5" t="n"/>
      <c r="U1506" s="5" t="n"/>
      <c r="V1506" s="5" t="n"/>
      <c r="W1506" s="5" t="n"/>
      <c r="X1506" s="5" t="n"/>
      <c r="Y1506" s="5">
        <f>IF(I1506="","",IF(AND(I1506="Fail",K1506=""),"Classify Issue Source",IF(AND(I1506="Fail",W1506=""),"Set Confidence",IF(AND(K1506="Unknown",W1506&lt;&gt;"Low"),"Unknown must be Low confidence",IF(AND(OR(K1506="Backend",K1506="SAP"),N1506=""),"Add HTTP status + endpoint",IF(AND(OR(K1506="Backend",K1506="SAP",K1506="Network"),P1506=""),"Add Correlation ID",IF(AND(I1506="Fail",T1506=""),"Write Root Cause / evidence gap",IF(AND(I1506="Fail",V1506=""),"Assign team","OK"))))))))</f>
        <v/>
      </c>
    </row>
    <row r="1507">
      <c r="A1507" s="5" t="n"/>
      <c r="B1507" s="5" t="n"/>
      <c r="C1507" s="5" t="n"/>
      <c r="D1507" s="5" t="n"/>
      <c r="E1507" s="5" t="n"/>
      <c r="F1507" s="5" t="n"/>
      <c r="G1507" s="5" t="n"/>
      <c r="H1507" s="5" t="n"/>
      <c r="I1507" s="5" t="n"/>
      <c r="J1507" s="5" t="n"/>
      <c r="K1507" s="5" t="n"/>
      <c r="L1507" s="5" t="n"/>
      <c r="M1507" s="5" t="n"/>
      <c r="N1507" s="5" t="n"/>
      <c r="O1507" s="5" t="n"/>
      <c r="P1507" s="5" t="n"/>
      <c r="Q1507" s="5" t="n"/>
      <c r="R1507" s="5" t="n"/>
      <c r="S1507" s="5" t="n"/>
      <c r="T1507" s="5" t="n"/>
      <c r="U1507" s="5" t="n"/>
      <c r="V1507" s="5" t="n"/>
      <c r="W1507" s="5" t="n"/>
      <c r="X1507" s="5" t="n"/>
      <c r="Y1507" s="5">
        <f>IF(I1507="","",IF(AND(I1507="Fail",K1507=""),"Classify Issue Source",IF(AND(I1507="Fail",W1507=""),"Set Confidence",IF(AND(K1507="Unknown",W1507&lt;&gt;"Low"),"Unknown must be Low confidence",IF(AND(OR(K1507="Backend",K1507="SAP"),N1507=""),"Add HTTP status + endpoint",IF(AND(OR(K1507="Backend",K1507="SAP",K1507="Network"),P1507=""),"Add Correlation ID",IF(AND(I1507="Fail",T1507=""),"Write Root Cause / evidence gap",IF(AND(I1507="Fail",V1507=""),"Assign team","OK"))))))))</f>
        <v/>
      </c>
    </row>
    <row r="1508">
      <c r="A1508" s="5" t="n"/>
      <c r="B1508" s="5" t="n"/>
      <c r="C1508" s="5" t="n"/>
      <c r="D1508" s="5" t="n"/>
      <c r="E1508" s="5" t="n"/>
      <c r="F1508" s="5" t="n"/>
      <c r="G1508" s="5" t="n"/>
      <c r="H1508" s="5" t="n"/>
      <c r="I1508" s="5" t="n"/>
      <c r="J1508" s="5" t="n"/>
      <c r="K1508" s="5" t="n"/>
      <c r="L1508" s="5" t="n"/>
      <c r="M1508" s="5" t="n"/>
      <c r="N1508" s="5" t="n"/>
      <c r="O1508" s="5" t="n"/>
      <c r="P1508" s="5" t="n"/>
      <c r="Q1508" s="5" t="n"/>
      <c r="R1508" s="5" t="n"/>
      <c r="S1508" s="5" t="n"/>
      <c r="T1508" s="5" t="n"/>
      <c r="U1508" s="5" t="n"/>
      <c r="V1508" s="5" t="n"/>
      <c r="W1508" s="5" t="n"/>
      <c r="X1508" s="5" t="n"/>
      <c r="Y1508" s="5">
        <f>IF(I1508="","",IF(AND(I1508="Fail",K1508=""),"Classify Issue Source",IF(AND(I1508="Fail",W1508=""),"Set Confidence",IF(AND(K1508="Unknown",W1508&lt;&gt;"Low"),"Unknown must be Low confidence",IF(AND(OR(K1508="Backend",K1508="SAP"),N1508=""),"Add HTTP status + endpoint",IF(AND(OR(K1508="Backend",K1508="SAP",K1508="Network"),P1508=""),"Add Correlation ID",IF(AND(I1508="Fail",T1508=""),"Write Root Cause / evidence gap",IF(AND(I1508="Fail",V1508=""),"Assign team","OK"))))))))</f>
        <v/>
      </c>
    </row>
    <row r="1509">
      <c r="A1509" s="5" t="n"/>
      <c r="B1509" s="5" t="n"/>
      <c r="C1509" s="5" t="n"/>
      <c r="D1509" s="5" t="n"/>
      <c r="E1509" s="5" t="n"/>
      <c r="F1509" s="5" t="n"/>
      <c r="G1509" s="5" t="n"/>
      <c r="H1509" s="5" t="n"/>
      <c r="I1509" s="5" t="n"/>
      <c r="J1509" s="5" t="n"/>
      <c r="K1509" s="5" t="n"/>
      <c r="L1509" s="5" t="n"/>
      <c r="M1509" s="5" t="n"/>
      <c r="N1509" s="5" t="n"/>
      <c r="O1509" s="5" t="n"/>
      <c r="P1509" s="5" t="n"/>
      <c r="Q1509" s="5" t="n"/>
      <c r="R1509" s="5" t="n"/>
      <c r="S1509" s="5" t="n"/>
      <c r="T1509" s="5" t="n"/>
      <c r="U1509" s="5" t="n"/>
      <c r="V1509" s="5" t="n"/>
      <c r="W1509" s="5" t="n"/>
      <c r="X1509" s="5" t="n"/>
      <c r="Y1509" s="5">
        <f>IF(I1509="","",IF(AND(I1509="Fail",K1509=""),"Classify Issue Source",IF(AND(I1509="Fail",W1509=""),"Set Confidence",IF(AND(K1509="Unknown",W1509&lt;&gt;"Low"),"Unknown must be Low confidence",IF(AND(OR(K1509="Backend",K1509="SAP"),N1509=""),"Add HTTP status + endpoint",IF(AND(OR(K1509="Backend",K1509="SAP",K1509="Network"),P1509=""),"Add Correlation ID",IF(AND(I1509="Fail",T1509=""),"Write Root Cause / evidence gap",IF(AND(I1509="Fail",V1509=""),"Assign team","OK"))))))))</f>
        <v/>
      </c>
    </row>
    <row r="1510">
      <c r="A1510" s="5" t="n"/>
      <c r="B1510" s="5" t="n"/>
      <c r="C1510" s="5" t="n"/>
      <c r="D1510" s="5" t="n"/>
      <c r="E1510" s="5" t="n"/>
      <c r="F1510" s="5" t="n"/>
      <c r="G1510" s="5" t="n"/>
      <c r="H1510" s="5" t="n"/>
      <c r="I1510" s="5" t="n"/>
      <c r="J1510" s="5" t="n"/>
      <c r="K1510" s="5" t="n"/>
      <c r="L1510" s="5" t="n"/>
      <c r="M1510" s="5" t="n"/>
      <c r="N1510" s="5" t="n"/>
      <c r="O1510" s="5" t="n"/>
      <c r="P1510" s="5" t="n"/>
      <c r="Q1510" s="5" t="n"/>
      <c r="R1510" s="5" t="n"/>
      <c r="S1510" s="5" t="n"/>
      <c r="T1510" s="5" t="n"/>
      <c r="U1510" s="5" t="n"/>
      <c r="V1510" s="5" t="n"/>
      <c r="W1510" s="5" t="n"/>
      <c r="X1510" s="5" t="n"/>
      <c r="Y1510" s="5">
        <f>IF(I1510="","",IF(AND(I1510="Fail",K1510=""),"Classify Issue Source",IF(AND(I1510="Fail",W1510=""),"Set Confidence",IF(AND(K1510="Unknown",W1510&lt;&gt;"Low"),"Unknown must be Low confidence",IF(AND(OR(K1510="Backend",K1510="SAP"),N1510=""),"Add HTTP status + endpoint",IF(AND(OR(K1510="Backend",K1510="SAP",K1510="Network"),P1510=""),"Add Correlation ID",IF(AND(I1510="Fail",T1510=""),"Write Root Cause / evidence gap",IF(AND(I1510="Fail",V1510=""),"Assign team","OK"))))))))</f>
        <v/>
      </c>
    </row>
    <row r="1511">
      <c r="A1511" s="5" t="n"/>
      <c r="B1511" s="5" t="n"/>
      <c r="C1511" s="5" t="n"/>
      <c r="D1511" s="5" t="n"/>
      <c r="E1511" s="5" t="n"/>
      <c r="F1511" s="5" t="n"/>
      <c r="G1511" s="5" t="n"/>
      <c r="H1511" s="5" t="n"/>
      <c r="I1511" s="5" t="n"/>
      <c r="J1511" s="5" t="n"/>
      <c r="K1511" s="5" t="n"/>
      <c r="L1511" s="5" t="n"/>
      <c r="M1511" s="5" t="n"/>
      <c r="N1511" s="5" t="n"/>
      <c r="O1511" s="5" t="n"/>
      <c r="P1511" s="5" t="n"/>
      <c r="Q1511" s="5" t="n"/>
      <c r="R1511" s="5" t="n"/>
      <c r="S1511" s="5" t="n"/>
      <c r="T1511" s="5" t="n"/>
      <c r="U1511" s="5" t="n"/>
      <c r="V1511" s="5" t="n"/>
      <c r="W1511" s="5" t="n"/>
      <c r="X1511" s="5" t="n"/>
      <c r="Y1511" s="5">
        <f>IF(I1511="","",IF(AND(I1511="Fail",K1511=""),"Classify Issue Source",IF(AND(I1511="Fail",W1511=""),"Set Confidence",IF(AND(K1511="Unknown",W1511&lt;&gt;"Low"),"Unknown must be Low confidence",IF(AND(OR(K1511="Backend",K1511="SAP"),N1511=""),"Add HTTP status + endpoint",IF(AND(OR(K1511="Backend",K1511="SAP",K1511="Network"),P1511=""),"Add Correlation ID",IF(AND(I1511="Fail",T1511=""),"Write Root Cause / evidence gap",IF(AND(I1511="Fail",V1511=""),"Assign team","OK"))))))))</f>
        <v/>
      </c>
    </row>
    <row r="1512">
      <c r="A1512" s="5" t="n"/>
      <c r="B1512" s="5" t="n"/>
      <c r="C1512" s="5" t="n"/>
      <c r="D1512" s="5" t="n"/>
      <c r="E1512" s="5" t="n"/>
      <c r="F1512" s="5" t="n"/>
      <c r="G1512" s="5" t="n"/>
      <c r="H1512" s="5" t="n"/>
      <c r="I1512" s="5" t="n"/>
      <c r="J1512" s="5" t="n"/>
      <c r="K1512" s="5" t="n"/>
      <c r="L1512" s="5" t="n"/>
      <c r="M1512" s="5" t="n"/>
      <c r="N1512" s="5" t="n"/>
      <c r="O1512" s="5" t="n"/>
      <c r="P1512" s="5" t="n"/>
      <c r="Q1512" s="5" t="n"/>
      <c r="R1512" s="5" t="n"/>
      <c r="S1512" s="5" t="n"/>
      <c r="T1512" s="5" t="n"/>
      <c r="U1512" s="5" t="n"/>
      <c r="V1512" s="5" t="n"/>
      <c r="W1512" s="5" t="n"/>
      <c r="X1512" s="5" t="n"/>
      <c r="Y1512" s="5">
        <f>IF(I1512="","",IF(AND(I1512="Fail",K1512=""),"Classify Issue Source",IF(AND(I1512="Fail",W1512=""),"Set Confidence",IF(AND(K1512="Unknown",W1512&lt;&gt;"Low"),"Unknown must be Low confidence",IF(AND(OR(K1512="Backend",K1512="SAP"),N1512=""),"Add HTTP status + endpoint",IF(AND(OR(K1512="Backend",K1512="SAP",K1512="Network"),P1512=""),"Add Correlation ID",IF(AND(I1512="Fail",T1512=""),"Write Root Cause / evidence gap",IF(AND(I1512="Fail",V1512=""),"Assign team","OK"))))))))</f>
        <v/>
      </c>
    </row>
    <row r="1513">
      <c r="A1513" s="5" t="n"/>
      <c r="B1513" s="5" t="n"/>
      <c r="C1513" s="5" t="n"/>
      <c r="D1513" s="5" t="n"/>
      <c r="E1513" s="5" t="n"/>
      <c r="F1513" s="5" t="n"/>
      <c r="G1513" s="5" t="n"/>
      <c r="H1513" s="5" t="n"/>
      <c r="I1513" s="5" t="n"/>
      <c r="J1513" s="5" t="n"/>
      <c r="K1513" s="5" t="n"/>
      <c r="L1513" s="5" t="n"/>
      <c r="M1513" s="5" t="n"/>
      <c r="N1513" s="5" t="n"/>
      <c r="O1513" s="5" t="n"/>
      <c r="P1513" s="5" t="n"/>
      <c r="Q1513" s="5" t="n"/>
      <c r="R1513" s="5" t="n"/>
      <c r="S1513" s="5" t="n"/>
      <c r="T1513" s="5" t="n"/>
      <c r="U1513" s="5" t="n"/>
      <c r="V1513" s="5" t="n"/>
      <c r="W1513" s="5" t="n"/>
      <c r="X1513" s="5" t="n"/>
      <c r="Y1513" s="5">
        <f>IF(I1513="","",IF(AND(I1513="Fail",K1513=""),"Classify Issue Source",IF(AND(I1513="Fail",W1513=""),"Set Confidence",IF(AND(K1513="Unknown",W1513&lt;&gt;"Low"),"Unknown must be Low confidence",IF(AND(OR(K1513="Backend",K1513="SAP"),N1513=""),"Add HTTP status + endpoint",IF(AND(OR(K1513="Backend",K1513="SAP",K1513="Network"),P1513=""),"Add Correlation ID",IF(AND(I1513="Fail",T1513=""),"Write Root Cause / evidence gap",IF(AND(I1513="Fail",V1513=""),"Assign team","OK"))))))))</f>
        <v/>
      </c>
    </row>
    <row r="1514">
      <c r="A1514" s="5" t="n"/>
      <c r="B1514" s="5" t="n"/>
      <c r="C1514" s="5" t="n"/>
      <c r="D1514" s="5" t="n"/>
      <c r="E1514" s="5" t="n"/>
      <c r="F1514" s="5" t="n"/>
      <c r="G1514" s="5" t="n"/>
      <c r="H1514" s="5" t="n"/>
      <c r="I1514" s="5" t="n"/>
      <c r="J1514" s="5" t="n"/>
      <c r="K1514" s="5" t="n"/>
      <c r="L1514" s="5" t="n"/>
      <c r="M1514" s="5" t="n"/>
      <c r="N1514" s="5" t="n"/>
      <c r="O1514" s="5" t="n"/>
      <c r="P1514" s="5" t="n"/>
      <c r="Q1514" s="5" t="n"/>
      <c r="R1514" s="5" t="n"/>
      <c r="S1514" s="5" t="n"/>
      <c r="T1514" s="5" t="n"/>
      <c r="U1514" s="5" t="n"/>
      <c r="V1514" s="5" t="n"/>
      <c r="W1514" s="5" t="n"/>
      <c r="X1514" s="5" t="n"/>
      <c r="Y1514" s="5">
        <f>IF(I1514="","",IF(AND(I1514="Fail",K1514=""),"Classify Issue Source",IF(AND(I1514="Fail",W1514=""),"Set Confidence",IF(AND(K1514="Unknown",W1514&lt;&gt;"Low"),"Unknown must be Low confidence",IF(AND(OR(K1514="Backend",K1514="SAP"),N1514=""),"Add HTTP status + endpoint",IF(AND(OR(K1514="Backend",K1514="SAP",K1514="Network"),P1514=""),"Add Correlation ID",IF(AND(I1514="Fail",T1514=""),"Write Root Cause / evidence gap",IF(AND(I1514="Fail",V1514=""),"Assign team","OK"))))))))</f>
        <v/>
      </c>
    </row>
    <row r="1515">
      <c r="A1515" s="5" t="n"/>
      <c r="B1515" s="5" t="n"/>
      <c r="C1515" s="5" t="n"/>
      <c r="D1515" s="5" t="n"/>
      <c r="E1515" s="5" t="n"/>
      <c r="F1515" s="5" t="n"/>
      <c r="G1515" s="5" t="n"/>
      <c r="H1515" s="5" t="n"/>
      <c r="I1515" s="5" t="n"/>
      <c r="J1515" s="5" t="n"/>
      <c r="K1515" s="5" t="n"/>
      <c r="L1515" s="5" t="n"/>
      <c r="M1515" s="5" t="n"/>
      <c r="N1515" s="5" t="n"/>
      <c r="O1515" s="5" t="n"/>
      <c r="P1515" s="5" t="n"/>
      <c r="Q1515" s="5" t="n"/>
      <c r="R1515" s="5" t="n"/>
      <c r="S1515" s="5" t="n"/>
      <c r="T1515" s="5" t="n"/>
      <c r="U1515" s="5" t="n"/>
      <c r="V1515" s="5" t="n"/>
      <c r="W1515" s="5" t="n"/>
      <c r="X1515" s="5" t="n"/>
      <c r="Y1515" s="5">
        <f>IF(I1515="","",IF(AND(I1515="Fail",K1515=""),"Classify Issue Source",IF(AND(I1515="Fail",W1515=""),"Set Confidence",IF(AND(K1515="Unknown",W1515&lt;&gt;"Low"),"Unknown must be Low confidence",IF(AND(OR(K1515="Backend",K1515="SAP"),N1515=""),"Add HTTP status + endpoint",IF(AND(OR(K1515="Backend",K1515="SAP",K1515="Network"),P1515=""),"Add Correlation ID",IF(AND(I1515="Fail",T1515=""),"Write Root Cause / evidence gap",IF(AND(I1515="Fail",V1515=""),"Assign team","OK"))))))))</f>
        <v/>
      </c>
    </row>
    <row r="1516">
      <c r="A1516" s="5" t="n"/>
      <c r="B1516" s="5" t="n"/>
      <c r="C1516" s="5" t="n"/>
      <c r="D1516" s="5" t="n"/>
      <c r="E1516" s="5" t="n"/>
      <c r="F1516" s="5" t="n"/>
      <c r="G1516" s="5" t="n"/>
      <c r="H1516" s="5" t="n"/>
      <c r="I1516" s="5" t="n"/>
      <c r="J1516" s="5" t="n"/>
      <c r="K1516" s="5" t="n"/>
      <c r="L1516" s="5" t="n"/>
      <c r="M1516" s="5" t="n"/>
      <c r="N1516" s="5" t="n"/>
      <c r="O1516" s="5" t="n"/>
      <c r="P1516" s="5" t="n"/>
      <c r="Q1516" s="5" t="n"/>
      <c r="R1516" s="5" t="n"/>
      <c r="S1516" s="5" t="n"/>
      <c r="T1516" s="5" t="n"/>
      <c r="U1516" s="5" t="n"/>
      <c r="V1516" s="5" t="n"/>
      <c r="W1516" s="5" t="n"/>
      <c r="X1516" s="5" t="n"/>
      <c r="Y1516" s="5">
        <f>IF(I1516="","",IF(AND(I1516="Fail",K1516=""),"Classify Issue Source",IF(AND(I1516="Fail",W1516=""),"Set Confidence",IF(AND(K1516="Unknown",W1516&lt;&gt;"Low"),"Unknown must be Low confidence",IF(AND(OR(K1516="Backend",K1516="SAP"),N1516=""),"Add HTTP status + endpoint",IF(AND(OR(K1516="Backend",K1516="SAP",K1516="Network"),P1516=""),"Add Correlation ID",IF(AND(I1516="Fail",T1516=""),"Write Root Cause / evidence gap",IF(AND(I1516="Fail",V1516=""),"Assign team","OK"))))))))</f>
        <v/>
      </c>
    </row>
    <row r="1517">
      <c r="A1517" s="5" t="n"/>
      <c r="B1517" s="5" t="n"/>
      <c r="C1517" s="5" t="n"/>
      <c r="D1517" s="5" t="n"/>
      <c r="E1517" s="5" t="n"/>
      <c r="F1517" s="5" t="n"/>
      <c r="G1517" s="5" t="n"/>
      <c r="H1517" s="5" t="n"/>
      <c r="I1517" s="5" t="n"/>
      <c r="J1517" s="5" t="n"/>
      <c r="K1517" s="5" t="n"/>
      <c r="L1517" s="5" t="n"/>
      <c r="M1517" s="5" t="n"/>
      <c r="N1517" s="5" t="n"/>
      <c r="O1517" s="5" t="n"/>
      <c r="P1517" s="5" t="n"/>
      <c r="Q1517" s="5" t="n"/>
      <c r="R1517" s="5" t="n"/>
      <c r="S1517" s="5" t="n"/>
      <c r="T1517" s="5" t="n"/>
      <c r="U1517" s="5" t="n"/>
      <c r="V1517" s="5" t="n"/>
      <c r="W1517" s="5" t="n"/>
      <c r="X1517" s="5" t="n"/>
      <c r="Y1517" s="5">
        <f>IF(I1517="","",IF(AND(I1517="Fail",K1517=""),"Classify Issue Source",IF(AND(I1517="Fail",W1517=""),"Set Confidence",IF(AND(K1517="Unknown",W1517&lt;&gt;"Low"),"Unknown must be Low confidence",IF(AND(OR(K1517="Backend",K1517="SAP"),N1517=""),"Add HTTP status + endpoint",IF(AND(OR(K1517="Backend",K1517="SAP",K1517="Network"),P1517=""),"Add Correlation ID",IF(AND(I1517="Fail",T1517=""),"Write Root Cause / evidence gap",IF(AND(I1517="Fail",V1517=""),"Assign team","OK"))))))))</f>
        <v/>
      </c>
    </row>
    <row r="1518">
      <c r="A1518" s="5" t="n"/>
      <c r="B1518" s="5" t="n"/>
      <c r="C1518" s="5" t="n"/>
      <c r="D1518" s="5" t="n"/>
      <c r="E1518" s="5" t="n"/>
      <c r="F1518" s="5" t="n"/>
      <c r="G1518" s="5" t="n"/>
      <c r="H1518" s="5" t="n"/>
      <c r="I1518" s="5" t="n"/>
      <c r="J1518" s="5" t="n"/>
      <c r="K1518" s="5" t="n"/>
      <c r="L1518" s="5" t="n"/>
      <c r="M1518" s="5" t="n"/>
      <c r="N1518" s="5" t="n"/>
      <c r="O1518" s="5" t="n"/>
      <c r="P1518" s="5" t="n"/>
      <c r="Q1518" s="5" t="n"/>
      <c r="R1518" s="5" t="n"/>
      <c r="S1518" s="5" t="n"/>
      <c r="T1518" s="5" t="n"/>
      <c r="U1518" s="5" t="n"/>
      <c r="V1518" s="5" t="n"/>
      <c r="W1518" s="5" t="n"/>
      <c r="X1518" s="5" t="n"/>
      <c r="Y1518" s="5">
        <f>IF(I1518="","",IF(AND(I1518="Fail",K1518=""),"Classify Issue Source",IF(AND(I1518="Fail",W1518=""),"Set Confidence",IF(AND(K1518="Unknown",W1518&lt;&gt;"Low"),"Unknown must be Low confidence",IF(AND(OR(K1518="Backend",K1518="SAP"),N1518=""),"Add HTTP status + endpoint",IF(AND(OR(K1518="Backend",K1518="SAP",K1518="Network"),P1518=""),"Add Correlation ID",IF(AND(I1518="Fail",T1518=""),"Write Root Cause / evidence gap",IF(AND(I1518="Fail",V1518=""),"Assign team","OK"))))))))</f>
        <v/>
      </c>
    </row>
    <row r="1519">
      <c r="A1519" s="5" t="n"/>
      <c r="B1519" s="5" t="n"/>
      <c r="C1519" s="5" t="n"/>
      <c r="D1519" s="5" t="n"/>
      <c r="E1519" s="5" t="n"/>
      <c r="F1519" s="5" t="n"/>
      <c r="G1519" s="5" t="n"/>
      <c r="H1519" s="5" t="n"/>
      <c r="I1519" s="5" t="n"/>
      <c r="J1519" s="5" t="n"/>
      <c r="K1519" s="5" t="n"/>
      <c r="L1519" s="5" t="n"/>
      <c r="M1519" s="5" t="n"/>
      <c r="N1519" s="5" t="n"/>
      <c r="O1519" s="5" t="n"/>
      <c r="P1519" s="5" t="n"/>
      <c r="Q1519" s="5" t="n"/>
      <c r="R1519" s="5" t="n"/>
      <c r="S1519" s="5" t="n"/>
      <c r="T1519" s="5" t="n"/>
      <c r="U1519" s="5" t="n"/>
      <c r="V1519" s="5" t="n"/>
      <c r="W1519" s="5" t="n"/>
      <c r="X1519" s="5" t="n"/>
      <c r="Y1519" s="5">
        <f>IF(I1519="","",IF(AND(I1519="Fail",K1519=""),"Classify Issue Source",IF(AND(I1519="Fail",W1519=""),"Set Confidence",IF(AND(K1519="Unknown",W1519&lt;&gt;"Low"),"Unknown must be Low confidence",IF(AND(OR(K1519="Backend",K1519="SAP"),N1519=""),"Add HTTP status + endpoint",IF(AND(OR(K1519="Backend",K1519="SAP",K1519="Network"),P1519=""),"Add Correlation ID",IF(AND(I1519="Fail",T1519=""),"Write Root Cause / evidence gap",IF(AND(I1519="Fail",V1519=""),"Assign team","OK"))))))))</f>
        <v/>
      </c>
    </row>
    <row r="1520">
      <c r="A1520" s="5" t="n"/>
      <c r="B1520" s="5" t="n"/>
      <c r="C1520" s="5" t="n"/>
      <c r="D1520" s="5" t="n"/>
      <c r="E1520" s="5" t="n"/>
      <c r="F1520" s="5" t="n"/>
      <c r="G1520" s="5" t="n"/>
      <c r="H1520" s="5" t="n"/>
      <c r="I1520" s="5" t="n"/>
      <c r="J1520" s="5" t="n"/>
      <c r="K1520" s="5" t="n"/>
      <c r="L1520" s="5" t="n"/>
      <c r="M1520" s="5" t="n"/>
      <c r="N1520" s="5" t="n"/>
      <c r="O1520" s="5" t="n"/>
      <c r="P1520" s="5" t="n"/>
      <c r="Q1520" s="5" t="n"/>
      <c r="R1520" s="5" t="n"/>
      <c r="S1520" s="5" t="n"/>
      <c r="T1520" s="5" t="n"/>
      <c r="U1520" s="5" t="n"/>
      <c r="V1520" s="5" t="n"/>
      <c r="W1520" s="5" t="n"/>
      <c r="X1520" s="5" t="n"/>
      <c r="Y1520" s="5">
        <f>IF(I1520="","",IF(AND(I1520="Fail",K1520=""),"Classify Issue Source",IF(AND(I1520="Fail",W1520=""),"Set Confidence",IF(AND(K1520="Unknown",W1520&lt;&gt;"Low"),"Unknown must be Low confidence",IF(AND(OR(K1520="Backend",K1520="SAP"),N1520=""),"Add HTTP status + endpoint",IF(AND(OR(K1520="Backend",K1520="SAP",K1520="Network"),P1520=""),"Add Correlation ID",IF(AND(I1520="Fail",T1520=""),"Write Root Cause / evidence gap",IF(AND(I1520="Fail",V1520=""),"Assign team","OK"))))))))</f>
        <v/>
      </c>
    </row>
    <row r="1521">
      <c r="A1521" s="5" t="n"/>
      <c r="B1521" s="5" t="n"/>
      <c r="C1521" s="5" t="n"/>
      <c r="D1521" s="5" t="n"/>
      <c r="E1521" s="5" t="n"/>
      <c r="F1521" s="5" t="n"/>
      <c r="G1521" s="5" t="n"/>
      <c r="H1521" s="5" t="n"/>
      <c r="I1521" s="5" t="n"/>
      <c r="J1521" s="5" t="n"/>
      <c r="K1521" s="5" t="n"/>
      <c r="L1521" s="5" t="n"/>
      <c r="M1521" s="5" t="n"/>
      <c r="N1521" s="5" t="n"/>
      <c r="O1521" s="5" t="n"/>
      <c r="P1521" s="5" t="n"/>
      <c r="Q1521" s="5" t="n"/>
      <c r="R1521" s="5" t="n"/>
      <c r="S1521" s="5" t="n"/>
      <c r="T1521" s="5" t="n"/>
      <c r="U1521" s="5" t="n"/>
      <c r="V1521" s="5" t="n"/>
      <c r="W1521" s="5" t="n"/>
      <c r="X1521" s="5" t="n"/>
      <c r="Y1521" s="5">
        <f>IF(I1521="","",IF(AND(I1521="Fail",K1521=""),"Classify Issue Source",IF(AND(I1521="Fail",W1521=""),"Set Confidence",IF(AND(K1521="Unknown",W1521&lt;&gt;"Low"),"Unknown must be Low confidence",IF(AND(OR(K1521="Backend",K1521="SAP"),N1521=""),"Add HTTP status + endpoint",IF(AND(OR(K1521="Backend",K1521="SAP",K1521="Network"),P1521=""),"Add Correlation ID",IF(AND(I1521="Fail",T1521=""),"Write Root Cause / evidence gap",IF(AND(I1521="Fail",V1521=""),"Assign team","OK"))))))))</f>
        <v/>
      </c>
    </row>
    <row r="1522">
      <c r="A1522" s="5" t="n"/>
      <c r="B1522" s="5" t="n"/>
      <c r="C1522" s="5" t="n"/>
      <c r="D1522" s="5" t="n"/>
      <c r="E1522" s="5" t="n"/>
      <c r="F1522" s="5" t="n"/>
      <c r="G1522" s="5" t="n"/>
      <c r="H1522" s="5" t="n"/>
      <c r="I1522" s="5" t="n"/>
      <c r="J1522" s="5" t="n"/>
      <c r="K1522" s="5" t="n"/>
      <c r="L1522" s="5" t="n"/>
      <c r="M1522" s="5" t="n"/>
      <c r="N1522" s="5" t="n"/>
      <c r="O1522" s="5" t="n"/>
      <c r="P1522" s="5" t="n"/>
      <c r="Q1522" s="5" t="n"/>
      <c r="R1522" s="5" t="n"/>
      <c r="S1522" s="5" t="n"/>
      <c r="T1522" s="5" t="n"/>
      <c r="U1522" s="5" t="n"/>
      <c r="V1522" s="5" t="n"/>
      <c r="W1522" s="5" t="n"/>
      <c r="X1522" s="5" t="n"/>
      <c r="Y1522" s="5">
        <f>IF(I1522="","",IF(AND(I1522="Fail",K1522=""),"Classify Issue Source",IF(AND(I1522="Fail",W1522=""),"Set Confidence",IF(AND(K1522="Unknown",W1522&lt;&gt;"Low"),"Unknown must be Low confidence",IF(AND(OR(K1522="Backend",K1522="SAP"),N1522=""),"Add HTTP status + endpoint",IF(AND(OR(K1522="Backend",K1522="SAP",K1522="Network"),P1522=""),"Add Correlation ID",IF(AND(I1522="Fail",T1522=""),"Write Root Cause / evidence gap",IF(AND(I1522="Fail",V1522=""),"Assign team","OK"))))))))</f>
        <v/>
      </c>
    </row>
    <row r="1523">
      <c r="A1523" s="5" t="n"/>
      <c r="B1523" s="5" t="n"/>
      <c r="C1523" s="5" t="n"/>
      <c r="D1523" s="5" t="n"/>
      <c r="E1523" s="5" t="n"/>
      <c r="F1523" s="5" t="n"/>
      <c r="G1523" s="5" t="n"/>
      <c r="H1523" s="5" t="n"/>
      <c r="I1523" s="5" t="n"/>
      <c r="J1523" s="5" t="n"/>
      <c r="K1523" s="5" t="n"/>
      <c r="L1523" s="5" t="n"/>
      <c r="M1523" s="5" t="n"/>
      <c r="N1523" s="5" t="n"/>
      <c r="O1523" s="5" t="n"/>
      <c r="P1523" s="5" t="n"/>
      <c r="Q1523" s="5" t="n"/>
      <c r="R1523" s="5" t="n"/>
      <c r="S1523" s="5" t="n"/>
      <c r="T1523" s="5" t="n"/>
      <c r="U1523" s="5" t="n"/>
      <c r="V1523" s="5" t="n"/>
      <c r="W1523" s="5" t="n"/>
      <c r="X1523" s="5" t="n"/>
      <c r="Y1523" s="5">
        <f>IF(I1523="","",IF(AND(I1523="Fail",K1523=""),"Classify Issue Source",IF(AND(I1523="Fail",W1523=""),"Set Confidence",IF(AND(K1523="Unknown",W1523&lt;&gt;"Low"),"Unknown must be Low confidence",IF(AND(OR(K1523="Backend",K1523="SAP"),N1523=""),"Add HTTP status + endpoint",IF(AND(OR(K1523="Backend",K1523="SAP",K1523="Network"),P1523=""),"Add Correlation ID",IF(AND(I1523="Fail",T1523=""),"Write Root Cause / evidence gap",IF(AND(I1523="Fail",V1523=""),"Assign team","OK"))))))))</f>
        <v/>
      </c>
    </row>
    <row r="1524">
      <c r="A1524" s="5" t="n"/>
      <c r="B1524" s="5" t="n"/>
      <c r="C1524" s="5" t="n"/>
      <c r="D1524" s="5" t="n"/>
      <c r="E1524" s="5" t="n"/>
      <c r="F1524" s="5" t="n"/>
      <c r="G1524" s="5" t="n"/>
      <c r="H1524" s="5" t="n"/>
      <c r="I1524" s="5" t="n"/>
      <c r="J1524" s="5" t="n"/>
      <c r="K1524" s="5" t="n"/>
      <c r="L1524" s="5" t="n"/>
      <c r="M1524" s="5" t="n"/>
      <c r="N1524" s="5" t="n"/>
      <c r="O1524" s="5" t="n"/>
      <c r="P1524" s="5" t="n"/>
      <c r="Q1524" s="5" t="n"/>
      <c r="R1524" s="5" t="n"/>
      <c r="S1524" s="5" t="n"/>
      <c r="T1524" s="5" t="n"/>
      <c r="U1524" s="5" t="n"/>
      <c r="V1524" s="5" t="n"/>
      <c r="W1524" s="5" t="n"/>
      <c r="X1524" s="5" t="n"/>
      <c r="Y1524" s="5">
        <f>IF(I1524="","",IF(AND(I1524="Fail",K1524=""),"Classify Issue Source",IF(AND(I1524="Fail",W1524=""),"Set Confidence",IF(AND(K1524="Unknown",W1524&lt;&gt;"Low"),"Unknown must be Low confidence",IF(AND(OR(K1524="Backend",K1524="SAP"),N1524=""),"Add HTTP status + endpoint",IF(AND(OR(K1524="Backend",K1524="SAP",K1524="Network"),P1524=""),"Add Correlation ID",IF(AND(I1524="Fail",T1524=""),"Write Root Cause / evidence gap",IF(AND(I1524="Fail",V1524=""),"Assign team","OK"))))))))</f>
        <v/>
      </c>
    </row>
    <row r="1525">
      <c r="A1525" s="5" t="n"/>
      <c r="B1525" s="5" t="n"/>
      <c r="C1525" s="5" t="n"/>
      <c r="D1525" s="5" t="n"/>
      <c r="E1525" s="5" t="n"/>
      <c r="F1525" s="5" t="n"/>
      <c r="G1525" s="5" t="n"/>
      <c r="H1525" s="5" t="n"/>
      <c r="I1525" s="5" t="n"/>
      <c r="J1525" s="5" t="n"/>
      <c r="K1525" s="5" t="n"/>
      <c r="L1525" s="5" t="n"/>
      <c r="M1525" s="5" t="n"/>
      <c r="N1525" s="5" t="n"/>
      <c r="O1525" s="5" t="n"/>
      <c r="P1525" s="5" t="n"/>
      <c r="Q1525" s="5" t="n"/>
      <c r="R1525" s="5" t="n"/>
      <c r="S1525" s="5" t="n"/>
      <c r="T1525" s="5" t="n"/>
      <c r="U1525" s="5" t="n"/>
      <c r="V1525" s="5" t="n"/>
      <c r="W1525" s="5" t="n"/>
      <c r="X1525" s="5" t="n"/>
      <c r="Y1525" s="5">
        <f>IF(I1525="","",IF(AND(I1525="Fail",K1525=""),"Classify Issue Source",IF(AND(I1525="Fail",W1525=""),"Set Confidence",IF(AND(K1525="Unknown",W1525&lt;&gt;"Low"),"Unknown must be Low confidence",IF(AND(OR(K1525="Backend",K1525="SAP"),N1525=""),"Add HTTP status + endpoint",IF(AND(OR(K1525="Backend",K1525="SAP",K1525="Network"),P1525=""),"Add Correlation ID",IF(AND(I1525="Fail",T1525=""),"Write Root Cause / evidence gap",IF(AND(I1525="Fail",V1525=""),"Assign team","OK"))))))))</f>
        <v/>
      </c>
    </row>
    <row r="1526">
      <c r="A1526" s="5" t="n"/>
      <c r="B1526" s="5" t="n"/>
      <c r="C1526" s="5" t="n"/>
      <c r="D1526" s="5" t="n"/>
      <c r="E1526" s="5" t="n"/>
      <c r="F1526" s="5" t="n"/>
      <c r="G1526" s="5" t="n"/>
      <c r="H1526" s="5" t="n"/>
      <c r="I1526" s="5" t="n"/>
      <c r="J1526" s="5" t="n"/>
      <c r="K1526" s="5" t="n"/>
      <c r="L1526" s="5" t="n"/>
      <c r="M1526" s="5" t="n"/>
      <c r="N1526" s="5" t="n"/>
      <c r="O1526" s="5" t="n"/>
      <c r="P1526" s="5" t="n"/>
      <c r="Q1526" s="5" t="n"/>
      <c r="R1526" s="5" t="n"/>
      <c r="S1526" s="5" t="n"/>
      <c r="T1526" s="5" t="n"/>
      <c r="U1526" s="5" t="n"/>
      <c r="V1526" s="5" t="n"/>
      <c r="W1526" s="5" t="n"/>
      <c r="X1526" s="5" t="n"/>
      <c r="Y1526" s="5">
        <f>IF(I1526="","",IF(AND(I1526="Fail",K1526=""),"Classify Issue Source",IF(AND(I1526="Fail",W1526=""),"Set Confidence",IF(AND(K1526="Unknown",W1526&lt;&gt;"Low"),"Unknown must be Low confidence",IF(AND(OR(K1526="Backend",K1526="SAP"),N1526=""),"Add HTTP status + endpoint",IF(AND(OR(K1526="Backend",K1526="SAP",K1526="Network"),P1526=""),"Add Correlation ID",IF(AND(I1526="Fail",T1526=""),"Write Root Cause / evidence gap",IF(AND(I1526="Fail",V1526=""),"Assign team","OK"))))))))</f>
        <v/>
      </c>
    </row>
    <row r="1527">
      <c r="A1527" s="5" t="n"/>
      <c r="B1527" s="5" t="n"/>
      <c r="C1527" s="5" t="n"/>
      <c r="D1527" s="5" t="n"/>
      <c r="E1527" s="5" t="n"/>
      <c r="F1527" s="5" t="n"/>
      <c r="G1527" s="5" t="n"/>
      <c r="H1527" s="5" t="n"/>
      <c r="I1527" s="5" t="n"/>
      <c r="J1527" s="5" t="n"/>
      <c r="K1527" s="5" t="n"/>
      <c r="L1527" s="5" t="n"/>
      <c r="M1527" s="5" t="n"/>
      <c r="N1527" s="5" t="n"/>
      <c r="O1527" s="5" t="n"/>
      <c r="P1527" s="5" t="n"/>
      <c r="Q1527" s="5" t="n"/>
      <c r="R1527" s="5" t="n"/>
      <c r="S1527" s="5" t="n"/>
      <c r="T1527" s="5" t="n"/>
      <c r="U1527" s="5" t="n"/>
      <c r="V1527" s="5" t="n"/>
      <c r="W1527" s="5" t="n"/>
      <c r="X1527" s="5" t="n"/>
      <c r="Y1527" s="5">
        <f>IF(I1527="","",IF(AND(I1527="Fail",K1527=""),"Classify Issue Source",IF(AND(I1527="Fail",W1527=""),"Set Confidence",IF(AND(K1527="Unknown",W1527&lt;&gt;"Low"),"Unknown must be Low confidence",IF(AND(OR(K1527="Backend",K1527="SAP"),N1527=""),"Add HTTP status + endpoint",IF(AND(OR(K1527="Backend",K1527="SAP",K1527="Network"),P1527=""),"Add Correlation ID",IF(AND(I1527="Fail",T1527=""),"Write Root Cause / evidence gap",IF(AND(I1527="Fail",V1527=""),"Assign team","OK"))))))))</f>
        <v/>
      </c>
    </row>
    <row r="1528">
      <c r="A1528" s="5" t="n"/>
      <c r="B1528" s="5" t="n"/>
      <c r="C1528" s="5" t="n"/>
      <c r="D1528" s="5" t="n"/>
      <c r="E1528" s="5" t="n"/>
      <c r="F1528" s="5" t="n"/>
      <c r="G1528" s="5" t="n"/>
      <c r="H1528" s="5" t="n"/>
      <c r="I1528" s="5" t="n"/>
      <c r="J1528" s="5" t="n"/>
      <c r="K1528" s="5" t="n"/>
      <c r="L1528" s="5" t="n"/>
      <c r="M1528" s="5" t="n"/>
      <c r="N1528" s="5" t="n"/>
      <c r="O1528" s="5" t="n"/>
      <c r="P1528" s="5" t="n"/>
      <c r="Q1528" s="5" t="n"/>
      <c r="R1528" s="5" t="n"/>
      <c r="S1528" s="5" t="n"/>
      <c r="T1528" s="5" t="n"/>
      <c r="U1528" s="5" t="n"/>
      <c r="V1528" s="5" t="n"/>
      <c r="W1528" s="5" t="n"/>
      <c r="X1528" s="5" t="n"/>
      <c r="Y1528" s="5">
        <f>IF(I1528="","",IF(AND(I1528="Fail",K1528=""),"Classify Issue Source",IF(AND(I1528="Fail",W1528=""),"Set Confidence",IF(AND(K1528="Unknown",W1528&lt;&gt;"Low"),"Unknown must be Low confidence",IF(AND(OR(K1528="Backend",K1528="SAP"),N1528=""),"Add HTTP status + endpoint",IF(AND(OR(K1528="Backend",K1528="SAP",K1528="Network"),P1528=""),"Add Correlation ID",IF(AND(I1528="Fail",T1528=""),"Write Root Cause / evidence gap",IF(AND(I1528="Fail",V1528=""),"Assign team","OK"))))))))</f>
        <v/>
      </c>
    </row>
    <row r="1529">
      <c r="A1529" s="5" t="n"/>
      <c r="B1529" s="5" t="n"/>
      <c r="C1529" s="5" t="n"/>
      <c r="D1529" s="5" t="n"/>
      <c r="E1529" s="5" t="n"/>
      <c r="F1529" s="5" t="n"/>
      <c r="G1529" s="5" t="n"/>
      <c r="H1529" s="5" t="n"/>
      <c r="I1529" s="5" t="n"/>
      <c r="J1529" s="5" t="n"/>
      <c r="K1529" s="5" t="n"/>
      <c r="L1529" s="5" t="n"/>
      <c r="M1529" s="5" t="n"/>
      <c r="N1529" s="5" t="n"/>
      <c r="O1529" s="5" t="n"/>
      <c r="P1529" s="5" t="n"/>
      <c r="Q1529" s="5" t="n"/>
      <c r="R1529" s="5" t="n"/>
      <c r="S1529" s="5" t="n"/>
      <c r="T1529" s="5" t="n"/>
      <c r="U1529" s="5" t="n"/>
      <c r="V1529" s="5" t="n"/>
      <c r="W1529" s="5" t="n"/>
      <c r="X1529" s="5" t="n"/>
      <c r="Y1529" s="5">
        <f>IF(I1529="","",IF(AND(I1529="Fail",K1529=""),"Classify Issue Source",IF(AND(I1529="Fail",W1529=""),"Set Confidence",IF(AND(K1529="Unknown",W1529&lt;&gt;"Low"),"Unknown must be Low confidence",IF(AND(OR(K1529="Backend",K1529="SAP"),N1529=""),"Add HTTP status + endpoint",IF(AND(OR(K1529="Backend",K1529="SAP",K1529="Network"),P1529=""),"Add Correlation ID",IF(AND(I1529="Fail",T1529=""),"Write Root Cause / evidence gap",IF(AND(I1529="Fail",V1529=""),"Assign team","OK"))))))))</f>
        <v/>
      </c>
    </row>
    <row r="1530">
      <c r="A1530" s="5" t="n"/>
      <c r="B1530" s="5" t="n"/>
      <c r="C1530" s="5" t="n"/>
      <c r="D1530" s="5" t="n"/>
      <c r="E1530" s="5" t="n"/>
      <c r="F1530" s="5" t="n"/>
      <c r="G1530" s="5" t="n"/>
      <c r="H1530" s="5" t="n"/>
      <c r="I1530" s="5" t="n"/>
      <c r="J1530" s="5" t="n"/>
      <c r="K1530" s="5" t="n"/>
      <c r="L1530" s="5" t="n"/>
      <c r="M1530" s="5" t="n"/>
      <c r="N1530" s="5" t="n"/>
      <c r="O1530" s="5" t="n"/>
      <c r="P1530" s="5" t="n"/>
      <c r="Q1530" s="5" t="n"/>
      <c r="R1530" s="5" t="n"/>
      <c r="S1530" s="5" t="n"/>
      <c r="T1530" s="5" t="n"/>
      <c r="U1530" s="5" t="n"/>
      <c r="V1530" s="5" t="n"/>
      <c r="W1530" s="5" t="n"/>
      <c r="X1530" s="5" t="n"/>
      <c r="Y1530" s="5">
        <f>IF(I1530="","",IF(AND(I1530="Fail",K1530=""),"Classify Issue Source",IF(AND(I1530="Fail",W1530=""),"Set Confidence",IF(AND(K1530="Unknown",W1530&lt;&gt;"Low"),"Unknown must be Low confidence",IF(AND(OR(K1530="Backend",K1530="SAP"),N1530=""),"Add HTTP status + endpoint",IF(AND(OR(K1530="Backend",K1530="SAP",K1530="Network"),P1530=""),"Add Correlation ID",IF(AND(I1530="Fail",T1530=""),"Write Root Cause / evidence gap",IF(AND(I1530="Fail",V1530=""),"Assign team","OK"))))))))</f>
        <v/>
      </c>
    </row>
    <row r="1531">
      <c r="A1531" s="5" t="n"/>
      <c r="B1531" s="5" t="n"/>
      <c r="C1531" s="5" t="n"/>
      <c r="D1531" s="5" t="n"/>
      <c r="E1531" s="5" t="n"/>
      <c r="F1531" s="5" t="n"/>
      <c r="G1531" s="5" t="n"/>
      <c r="H1531" s="5" t="n"/>
      <c r="I1531" s="5" t="n"/>
      <c r="J1531" s="5" t="n"/>
      <c r="K1531" s="5" t="n"/>
      <c r="L1531" s="5" t="n"/>
      <c r="M1531" s="5" t="n"/>
      <c r="N1531" s="5" t="n"/>
      <c r="O1531" s="5" t="n"/>
      <c r="P1531" s="5" t="n"/>
      <c r="Q1531" s="5" t="n"/>
      <c r="R1531" s="5" t="n"/>
      <c r="S1531" s="5" t="n"/>
      <c r="T1531" s="5" t="n"/>
      <c r="U1531" s="5" t="n"/>
      <c r="V1531" s="5" t="n"/>
      <c r="W1531" s="5" t="n"/>
      <c r="X1531" s="5" t="n"/>
      <c r="Y1531" s="5">
        <f>IF(I1531="","",IF(AND(I1531="Fail",K1531=""),"Classify Issue Source",IF(AND(I1531="Fail",W1531=""),"Set Confidence",IF(AND(K1531="Unknown",W1531&lt;&gt;"Low"),"Unknown must be Low confidence",IF(AND(OR(K1531="Backend",K1531="SAP"),N1531=""),"Add HTTP status + endpoint",IF(AND(OR(K1531="Backend",K1531="SAP",K1531="Network"),P1531=""),"Add Correlation ID",IF(AND(I1531="Fail",T1531=""),"Write Root Cause / evidence gap",IF(AND(I1531="Fail",V1531=""),"Assign team","OK"))))))))</f>
        <v/>
      </c>
    </row>
    <row r="1532">
      <c r="A1532" s="5" t="n"/>
      <c r="B1532" s="5" t="n"/>
      <c r="C1532" s="5" t="n"/>
      <c r="D1532" s="5" t="n"/>
      <c r="E1532" s="5" t="n"/>
      <c r="F1532" s="5" t="n"/>
      <c r="G1532" s="5" t="n"/>
      <c r="H1532" s="5" t="n"/>
      <c r="I1532" s="5" t="n"/>
      <c r="J1532" s="5" t="n"/>
      <c r="K1532" s="5" t="n"/>
      <c r="L1532" s="5" t="n"/>
      <c r="M1532" s="5" t="n"/>
      <c r="N1532" s="5" t="n"/>
      <c r="O1532" s="5" t="n"/>
      <c r="P1532" s="5" t="n"/>
      <c r="Q1532" s="5" t="n"/>
      <c r="R1532" s="5" t="n"/>
      <c r="S1532" s="5" t="n"/>
      <c r="T1532" s="5" t="n"/>
      <c r="U1532" s="5" t="n"/>
      <c r="V1532" s="5" t="n"/>
      <c r="W1532" s="5" t="n"/>
      <c r="X1532" s="5" t="n"/>
      <c r="Y1532" s="5">
        <f>IF(I1532="","",IF(AND(I1532="Fail",K1532=""),"Classify Issue Source",IF(AND(I1532="Fail",W1532=""),"Set Confidence",IF(AND(K1532="Unknown",W1532&lt;&gt;"Low"),"Unknown must be Low confidence",IF(AND(OR(K1532="Backend",K1532="SAP"),N1532=""),"Add HTTP status + endpoint",IF(AND(OR(K1532="Backend",K1532="SAP",K1532="Network"),P1532=""),"Add Correlation ID",IF(AND(I1532="Fail",T1532=""),"Write Root Cause / evidence gap",IF(AND(I1532="Fail",V1532=""),"Assign team","OK"))))))))</f>
        <v/>
      </c>
    </row>
    <row r="1533">
      <c r="A1533" s="5" t="n"/>
      <c r="B1533" s="5" t="n"/>
      <c r="C1533" s="5" t="n"/>
      <c r="D1533" s="5" t="n"/>
      <c r="E1533" s="5" t="n"/>
      <c r="F1533" s="5" t="n"/>
      <c r="G1533" s="5" t="n"/>
      <c r="H1533" s="5" t="n"/>
      <c r="I1533" s="5" t="n"/>
      <c r="J1533" s="5" t="n"/>
      <c r="K1533" s="5" t="n"/>
      <c r="L1533" s="5" t="n"/>
      <c r="M1533" s="5" t="n"/>
      <c r="N1533" s="5" t="n"/>
      <c r="O1533" s="5" t="n"/>
      <c r="P1533" s="5" t="n"/>
      <c r="Q1533" s="5" t="n"/>
      <c r="R1533" s="5" t="n"/>
      <c r="S1533" s="5" t="n"/>
      <c r="T1533" s="5" t="n"/>
      <c r="U1533" s="5" t="n"/>
      <c r="V1533" s="5" t="n"/>
      <c r="W1533" s="5" t="n"/>
      <c r="X1533" s="5" t="n"/>
      <c r="Y1533" s="5">
        <f>IF(I1533="","",IF(AND(I1533="Fail",K1533=""),"Classify Issue Source",IF(AND(I1533="Fail",W1533=""),"Set Confidence",IF(AND(K1533="Unknown",W1533&lt;&gt;"Low"),"Unknown must be Low confidence",IF(AND(OR(K1533="Backend",K1533="SAP"),N1533=""),"Add HTTP status + endpoint",IF(AND(OR(K1533="Backend",K1533="SAP",K1533="Network"),P1533=""),"Add Correlation ID",IF(AND(I1533="Fail",T1533=""),"Write Root Cause / evidence gap",IF(AND(I1533="Fail",V1533=""),"Assign team","OK"))))))))</f>
        <v/>
      </c>
    </row>
    <row r="1534">
      <c r="A1534" s="5" t="n"/>
      <c r="B1534" s="5" t="n"/>
      <c r="C1534" s="5" t="n"/>
      <c r="D1534" s="5" t="n"/>
      <c r="E1534" s="5" t="n"/>
      <c r="F1534" s="5" t="n"/>
      <c r="G1534" s="5" t="n"/>
      <c r="H1534" s="5" t="n"/>
      <c r="I1534" s="5" t="n"/>
      <c r="J1534" s="5" t="n"/>
      <c r="K1534" s="5" t="n"/>
      <c r="L1534" s="5" t="n"/>
      <c r="M1534" s="5" t="n"/>
      <c r="N1534" s="5" t="n"/>
      <c r="O1534" s="5" t="n"/>
      <c r="P1534" s="5" t="n"/>
      <c r="Q1534" s="5" t="n"/>
      <c r="R1534" s="5" t="n"/>
      <c r="S1534" s="5" t="n"/>
      <c r="T1534" s="5" t="n"/>
      <c r="U1534" s="5" t="n"/>
      <c r="V1534" s="5" t="n"/>
      <c r="W1534" s="5" t="n"/>
      <c r="X1534" s="5" t="n"/>
      <c r="Y1534" s="5">
        <f>IF(I1534="","",IF(AND(I1534="Fail",K1534=""),"Classify Issue Source",IF(AND(I1534="Fail",W1534=""),"Set Confidence",IF(AND(K1534="Unknown",W1534&lt;&gt;"Low"),"Unknown must be Low confidence",IF(AND(OR(K1534="Backend",K1534="SAP"),N1534=""),"Add HTTP status + endpoint",IF(AND(OR(K1534="Backend",K1534="SAP",K1534="Network"),P1534=""),"Add Correlation ID",IF(AND(I1534="Fail",T1534=""),"Write Root Cause / evidence gap",IF(AND(I1534="Fail",V1534=""),"Assign team","OK"))))))))</f>
        <v/>
      </c>
    </row>
    <row r="1535">
      <c r="A1535" s="5" t="n"/>
      <c r="B1535" s="5" t="n"/>
      <c r="C1535" s="5" t="n"/>
      <c r="D1535" s="5" t="n"/>
      <c r="E1535" s="5" t="n"/>
      <c r="F1535" s="5" t="n"/>
      <c r="G1535" s="5" t="n"/>
      <c r="H1535" s="5" t="n"/>
      <c r="I1535" s="5" t="n"/>
      <c r="J1535" s="5" t="n"/>
      <c r="K1535" s="5" t="n"/>
      <c r="L1535" s="5" t="n"/>
      <c r="M1535" s="5" t="n"/>
      <c r="N1535" s="5" t="n"/>
      <c r="O1535" s="5" t="n"/>
      <c r="P1535" s="5" t="n"/>
      <c r="Q1535" s="5" t="n"/>
      <c r="R1535" s="5" t="n"/>
      <c r="S1535" s="5" t="n"/>
      <c r="T1535" s="5" t="n"/>
      <c r="U1535" s="5" t="n"/>
      <c r="V1535" s="5" t="n"/>
      <c r="W1535" s="5" t="n"/>
      <c r="X1535" s="5" t="n"/>
      <c r="Y1535" s="5">
        <f>IF(I1535="","",IF(AND(I1535="Fail",K1535=""),"Classify Issue Source",IF(AND(I1535="Fail",W1535=""),"Set Confidence",IF(AND(K1535="Unknown",W1535&lt;&gt;"Low"),"Unknown must be Low confidence",IF(AND(OR(K1535="Backend",K1535="SAP"),N1535=""),"Add HTTP status + endpoint",IF(AND(OR(K1535="Backend",K1535="SAP",K1535="Network"),P1535=""),"Add Correlation ID",IF(AND(I1535="Fail",T1535=""),"Write Root Cause / evidence gap",IF(AND(I1535="Fail",V1535=""),"Assign team","OK"))))))))</f>
        <v/>
      </c>
    </row>
    <row r="1536">
      <c r="A1536" s="5" t="n"/>
      <c r="B1536" s="5" t="n"/>
      <c r="C1536" s="5" t="n"/>
      <c r="D1536" s="5" t="n"/>
      <c r="E1536" s="5" t="n"/>
      <c r="F1536" s="5" t="n"/>
      <c r="G1536" s="5" t="n"/>
      <c r="H1536" s="5" t="n"/>
      <c r="I1536" s="5" t="n"/>
      <c r="J1536" s="5" t="n"/>
      <c r="K1536" s="5" t="n"/>
      <c r="L1536" s="5" t="n"/>
      <c r="M1536" s="5" t="n"/>
      <c r="N1536" s="5" t="n"/>
      <c r="O1536" s="5" t="n"/>
      <c r="P1536" s="5" t="n"/>
      <c r="Q1536" s="5" t="n"/>
      <c r="R1536" s="5" t="n"/>
      <c r="S1536" s="5" t="n"/>
      <c r="T1536" s="5" t="n"/>
      <c r="U1536" s="5" t="n"/>
      <c r="V1536" s="5" t="n"/>
      <c r="W1536" s="5" t="n"/>
      <c r="X1536" s="5" t="n"/>
      <c r="Y1536" s="5">
        <f>IF(I1536="","",IF(AND(I1536="Fail",K1536=""),"Classify Issue Source",IF(AND(I1536="Fail",W1536=""),"Set Confidence",IF(AND(K1536="Unknown",W1536&lt;&gt;"Low"),"Unknown must be Low confidence",IF(AND(OR(K1536="Backend",K1536="SAP"),N1536=""),"Add HTTP status + endpoint",IF(AND(OR(K1536="Backend",K1536="SAP",K1536="Network"),P1536=""),"Add Correlation ID",IF(AND(I1536="Fail",T1536=""),"Write Root Cause / evidence gap",IF(AND(I1536="Fail",V1536=""),"Assign team","OK"))))))))</f>
        <v/>
      </c>
    </row>
    <row r="1537">
      <c r="A1537" s="5" t="n"/>
      <c r="B1537" s="5" t="n"/>
      <c r="C1537" s="5" t="n"/>
      <c r="D1537" s="5" t="n"/>
      <c r="E1537" s="5" t="n"/>
      <c r="F1537" s="5" t="n"/>
      <c r="G1537" s="5" t="n"/>
      <c r="H1537" s="5" t="n"/>
      <c r="I1537" s="5" t="n"/>
      <c r="J1537" s="5" t="n"/>
      <c r="K1537" s="5" t="n"/>
      <c r="L1537" s="5" t="n"/>
      <c r="M1537" s="5" t="n"/>
      <c r="N1537" s="5" t="n"/>
      <c r="O1537" s="5" t="n"/>
      <c r="P1537" s="5" t="n"/>
      <c r="Q1537" s="5" t="n"/>
      <c r="R1537" s="5" t="n"/>
      <c r="S1537" s="5" t="n"/>
      <c r="T1537" s="5" t="n"/>
      <c r="U1537" s="5" t="n"/>
      <c r="V1537" s="5" t="n"/>
      <c r="W1537" s="5" t="n"/>
      <c r="X1537" s="5" t="n"/>
      <c r="Y1537" s="5">
        <f>IF(I1537="","",IF(AND(I1537="Fail",K1537=""),"Classify Issue Source",IF(AND(I1537="Fail",W1537=""),"Set Confidence",IF(AND(K1537="Unknown",W1537&lt;&gt;"Low"),"Unknown must be Low confidence",IF(AND(OR(K1537="Backend",K1537="SAP"),N1537=""),"Add HTTP status + endpoint",IF(AND(OR(K1537="Backend",K1537="SAP",K1537="Network"),P1537=""),"Add Correlation ID",IF(AND(I1537="Fail",T1537=""),"Write Root Cause / evidence gap",IF(AND(I1537="Fail",V1537=""),"Assign team","OK"))))))))</f>
        <v/>
      </c>
    </row>
    <row r="1538">
      <c r="A1538" s="5" t="n"/>
      <c r="B1538" s="5" t="n"/>
      <c r="C1538" s="5" t="n"/>
      <c r="D1538" s="5" t="n"/>
      <c r="E1538" s="5" t="n"/>
      <c r="F1538" s="5" t="n"/>
      <c r="G1538" s="5" t="n"/>
      <c r="H1538" s="5" t="n"/>
      <c r="I1538" s="5" t="n"/>
      <c r="J1538" s="5" t="n"/>
      <c r="K1538" s="5" t="n"/>
      <c r="L1538" s="5" t="n"/>
      <c r="M1538" s="5" t="n"/>
      <c r="N1538" s="5" t="n"/>
      <c r="O1538" s="5" t="n"/>
      <c r="P1538" s="5" t="n"/>
      <c r="Q1538" s="5" t="n"/>
      <c r="R1538" s="5" t="n"/>
      <c r="S1538" s="5" t="n"/>
      <c r="T1538" s="5" t="n"/>
      <c r="U1538" s="5" t="n"/>
      <c r="V1538" s="5" t="n"/>
      <c r="W1538" s="5" t="n"/>
      <c r="X1538" s="5" t="n"/>
      <c r="Y1538" s="5">
        <f>IF(I1538="","",IF(AND(I1538="Fail",K1538=""),"Classify Issue Source",IF(AND(I1538="Fail",W1538=""),"Set Confidence",IF(AND(K1538="Unknown",W1538&lt;&gt;"Low"),"Unknown must be Low confidence",IF(AND(OR(K1538="Backend",K1538="SAP"),N1538=""),"Add HTTP status + endpoint",IF(AND(OR(K1538="Backend",K1538="SAP",K1538="Network"),P1538=""),"Add Correlation ID",IF(AND(I1538="Fail",T1538=""),"Write Root Cause / evidence gap",IF(AND(I1538="Fail",V1538=""),"Assign team","OK"))))))))</f>
        <v/>
      </c>
    </row>
    <row r="1539">
      <c r="A1539" s="5" t="n"/>
      <c r="B1539" s="5" t="n"/>
      <c r="C1539" s="5" t="n"/>
      <c r="D1539" s="5" t="n"/>
      <c r="E1539" s="5" t="n"/>
      <c r="F1539" s="5" t="n"/>
      <c r="G1539" s="5" t="n"/>
      <c r="H1539" s="5" t="n"/>
      <c r="I1539" s="5" t="n"/>
      <c r="J1539" s="5" t="n"/>
      <c r="K1539" s="5" t="n"/>
      <c r="L1539" s="5" t="n"/>
      <c r="M1539" s="5" t="n"/>
      <c r="N1539" s="5" t="n"/>
      <c r="O1539" s="5" t="n"/>
      <c r="P1539" s="5" t="n"/>
      <c r="Q1539" s="5" t="n"/>
      <c r="R1539" s="5" t="n"/>
      <c r="S1539" s="5" t="n"/>
      <c r="T1539" s="5" t="n"/>
      <c r="U1539" s="5" t="n"/>
      <c r="V1539" s="5" t="n"/>
      <c r="W1539" s="5" t="n"/>
      <c r="X1539" s="5" t="n"/>
      <c r="Y1539" s="5">
        <f>IF(I1539="","",IF(AND(I1539="Fail",K1539=""),"Classify Issue Source",IF(AND(I1539="Fail",W1539=""),"Set Confidence",IF(AND(K1539="Unknown",W1539&lt;&gt;"Low"),"Unknown must be Low confidence",IF(AND(OR(K1539="Backend",K1539="SAP"),N1539=""),"Add HTTP status + endpoint",IF(AND(OR(K1539="Backend",K1539="SAP",K1539="Network"),P1539=""),"Add Correlation ID",IF(AND(I1539="Fail",T1539=""),"Write Root Cause / evidence gap",IF(AND(I1539="Fail",V1539=""),"Assign team","OK"))))))))</f>
        <v/>
      </c>
    </row>
    <row r="1540">
      <c r="A1540" s="5" t="n"/>
      <c r="B1540" s="5" t="n"/>
      <c r="C1540" s="5" t="n"/>
      <c r="D1540" s="5" t="n"/>
      <c r="E1540" s="5" t="n"/>
      <c r="F1540" s="5" t="n"/>
      <c r="G1540" s="5" t="n"/>
      <c r="H1540" s="5" t="n"/>
      <c r="I1540" s="5" t="n"/>
      <c r="J1540" s="5" t="n"/>
      <c r="K1540" s="5" t="n"/>
      <c r="L1540" s="5" t="n"/>
      <c r="M1540" s="5" t="n"/>
      <c r="N1540" s="5" t="n"/>
      <c r="O1540" s="5" t="n"/>
      <c r="P1540" s="5" t="n"/>
      <c r="Q1540" s="5" t="n"/>
      <c r="R1540" s="5" t="n"/>
      <c r="S1540" s="5" t="n"/>
      <c r="T1540" s="5" t="n"/>
      <c r="U1540" s="5" t="n"/>
      <c r="V1540" s="5" t="n"/>
      <c r="W1540" s="5" t="n"/>
      <c r="X1540" s="5" t="n"/>
      <c r="Y1540" s="5">
        <f>IF(I1540="","",IF(AND(I1540="Fail",K1540=""),"Classify Issue Source",IF(AND(I1540="Fail",W1540=""),"Set Confidence",IF(AND(K1540="Unknown",W1540&lt;&gt;"Low"),"Unknown must be Low confidence",IF(AND(OR(K1540="Backend",K1540="SAP"),N1540=""),"Add HTTP status + endpoint",IF(AND(OR(K1540="Backend",K1540="SAP",K1540="Network"),P1540=""),"Add Correlation ID",IF(AND(I1540="Fail",T1540=""),"Write Root Cause / evidence gap",IF(AND(I1540="Fail",V1540=""),"Assign team","OK"))))))))</f>
        <v/>
      </c>
    </row>
    <row r="1541">
      <c r="A1541" s="5" t="n"/>
      <c r="B1541" s="5" t="n"/>
      <c r="C1541" s="5" t="n"/>
      <c r="D1541" s="5" t="n"/>
      <c r="E1541" s="5" t="n"/>
      <c r="F1541" s="5" t="n"/>
      <c r="G1541" s="5" t="n"/>
      <c r="H1541" s="5" t="n"/>
      <c r="I1541" s="5" t="n"/>
      <c r="J1541" s="5" t="n"/>
      <c r="K1541" s="5" t="n"/>
      <c r="L1541" s="5" t="n"/>
      <c r="M1541" s="5" t="n"/>
      <c r="N1541" s="5" t="n"/>
      <c r="O1541" s="5" t="n"/>
      <c r="P1541" s="5" t="n"/>
      <c r="Q1541" s="5" t="n"/>
      <c r="R1541" s="5" t="n"/>
      <c r="S1541" s="5" t="n"/>
      <c r="T1541" s="5" t="n"/>
      <c r="U1541" s="5" t="n"/>
      <c r="V1541" s="5" t="n"/>
      <c r="W1541" s="5" t="n"/>
      <c r="X1541" s="5" t="n"/>
      <c r="Y1541" s="5">
        <f>IF(I1541="","",IF(AND(I1541="Fail",K1541=""),"Classify Issue Source",IF(AND(I1541="Fail",W1541=""),"Set Confidence",IF(AND(K1541="Unknown",W1541&lt;&gt;"Low"),"Unknown must be Low confidence",IF(AND(OR(K1541="Backend",K1541="SAP"),N1541=""),"Add HTTP status + endpoint",IF(AND(OR(K1541="Backend",K1541="SAP",K1541="Network"),P1541=""),"Add Correlation ID",IF(AND(I1541="Fail",T1541=""),"Write Root Cause / evidence gap",IF(AND(I1541="Fail",V1541=""),"Assign team","OK"))))))))</f>
        <v/>
      </c>
    </row>
    <row r="1542">
      <c r="A1542" s="5" t="n"/>
      <c r="B1542" s="5" t="n"/>
      <c r="C1542" s="5" t="n"/>
      <c r="D1542" s="5" t="n"/>
      <c r="E1542" s="5" t="n"/>
      <c r="F1542" s="5" t="n"/>
      <c r="G1542" s="5" t="n"/>
      <c r="H1542" s="5" t="n"/>
      <c r="I1542" s="5" t="n"/>
      <c r="J1542" s="5" t="n"/>
      <c r="K1542" s="5" t="n"/>
      <c r="L1542" s="5" t="n"/>
      <c r="M1542" s="5" t="n"/>
      <c r="N1542" s="5" t="n"/>
      <c r="O1542" s="5" t="n"/>
      <c r="P1542" s="5" t="n"/>
      <c r="Q1542" s="5" t="n"/>
      <c r="R1542" s="5" t="n"/>
      <c r="S1542" s="5" t="n"/>
      <c r="T1542" s="5" t="n"/>
      <c r="U1542" s="5" t="n"/>
      <c r="V1542" s="5" t="n"/>
      <c r="W1542" s="5" t="n"/>
      <c r="X1542" s="5" t="n"/>
      <c r="Y1542" s="5">
        <f>IF(I1542="","",IF(AND(I1542="Fail",K1542=""),"Classify Issue Source",IF(AND(I1542="Fail",W1542=""),"Set Confidence",IF(AND(K1542="Unknown",W1542&lt;&gt;"Low"),"Unknown must be Low confidence",IF(AND(OR(K1542="Backend",K1542="SAP"),N1542=""),"Add HTTP status + endpoint",IF(AND(OR(K1542="Backend",K1542="SAP",K1542="Network"),P1542=""),"Add Correlation ID",IF(AND(I1542="Fail",T1542=""),"Write Root Cause / evidence gap",IF(AND(I1542="Fail",V1542=""),"Assign team","OK"))))))))</f>
        <v/>
      </c>
    </row>
    <row r="1543">
      <c r="A1543" s="5" t="n"/>
      <c r="B1543" s="5" t="n"/>
      <c r="C1543" s="5" t="n"/>
      <c r="D1543" s="5" t="n"/>
      <c r="E1543" s="5" t="n"/>
      <c r="F1543" s="5" t="n"/>
      <c r="G1543" s="5" t="n"/>
      <c r="H1543" s="5" t="n"/>
      <c r="I1543" s="5" t="n"/>
      <c r="J1543" s="5" t="n"/>
      <c r="K1543" s="5" t="n"/>
      <c r="L1543" s="5" t="n"/>
      <c r="M1543" s="5" t="n"/>
      <c r="N1543" s="5" t="n"/>
      <c r="O1543" s="5" t="n"/>
      <c r="P1543" s="5" t="n"/>
      <c r="Q1543" s="5" t="n"/>
      <c r="R1543" s="5" t="n"/>
      <c r="S1543" s="5" t="n"/>
      <c r="T1543" s="5" t="n"/>
      <c r="U1543" s="5" t="n"/>
      <c r="V1543" s="5" t="n"/>
      <c r="W1543" s="5" t="n"/>
      <c r="X1543" s="5" t="n"/>
      <c r="Y1543" s="5">
        <f>IF(I1543="","",IF(AND(I1543="Fail",K1543=""),"Classify Issue Source",IF(AND(I1543="Fail",W1543=""),"Set Confidence",IF(AND(K1543="Unknown",W1543&lt;&gt;"Low"),"Unknown must be Low confidence",IF(AND(OR(K1543="Backend",K1543="SAP"),N1543=""),"Add HTTP status + endpoint",IF(AND(OR(K1543="Backend",K1543="SAP",K1543="Network"),P1543=""),"Add Correlation ID",IF(AND(I1543="Fail",T1543=""),"Write Root Cause / evidence gap",IF(AND(I1543="Fail",V1543=""),"Assign team","OK"))))))))</f>
        <v/>
      </c>
    </row>
    <row r="1544">
      <c r="A1544" s="5" t="n"/>
      <c r="B1544" s="5" t="n"/>
      <c r="C1544" s="5" t="n"/>
      <c r="D1544" s="5" t="n"/>
      <c r="E1544" s="5" t="n"/>
      <c r="F1544" s="5" t="n"/>
      <c r="G1544" s="5" t="n"/>
      <c r="H1544" s="5" t="n"/>
      <c r="I1544" s="5" t="n"/>
      <c r="J1544" s="5" t="n"/>
      <c r="K1544" s="5" t="n"/>
      <c r="L1544" s="5" t="n"/>
      <c r="M1544" s="5" t="n"/>
      <c r="N1544" s="5" t="n"/>
      <c r="O1544" s="5" t="n"/>
      <c r="P1544" s="5" t="n"/>
      <c r="Q1544" s="5" t="n"/>
      <c r="R1544" s="5" t="n"/>
      <c r="S1544" s="5" t="n"/>
      <c r="T1544" s="5" t="n"/>
      <c r="U1544" s="5" t="n"/>
      <c r="V1544" s="5" t="n"/>
      <c r="W1544" s="5" t="n"/>
      <c r="X1544" s="5" t="n"/>
      <c r="Y1544" s="5">
        <f>IF(I1544="","",IF(AND(I1544="Fail",K1544=""),"Classify Issue Source",IF(AND(I1544="Fail",W1544=""),"Set Confidence",IF(AND(K1544="Unknown",W1544&lt;&gt;"Low"),"Unknown must be Low confidence",IF(AND(OR(K1544="Backend",K1544="SAP"),N1544=""),"Add HTTP status + endpoint",IF(AND(OR(K1544="Backend",K1544="SAP",K1544="Network"),P1544=""),"Add Correlation ID",IF(AND(I1544="Fail",T1544=""),"Write Root Cause / evidence gap",IF(AND(I1544="Fail",V1544=""),"Assign team","OK"))))))))</f>
        <v/>
      </c>
    </row>
    <row r="1545">
      <c r="A1545" s="5" t="n"/>
      <c r="B1545" s="5" t="n"/>
      <c r="C1545" s="5" t="n"/>
      <c r="D1545" s="5" t="n"/>
      <c r="E1545" s="5" t="n"/>
      <c r="F1545" s="5" t="n"/>
      <c r="G1545" s="5" t="n"/>
      <c r="H1545" s="5" t="n"/>
      <c r="I1545" s="5" t="n"/>
      <c r="J1545" s="5" t="n"/>
      <c r="K1545" s="5" t="n"/>
      <c r="L1545" s="5" t="n"/>
      <c r="M1545" s="5" t="n"/>
      <c r="N1545" s="5" t="n"/>
      <c r="O1545" s="5" t="n"/>
      <c r="P1545" s="5" t="n"/>
      <c r="Q1545" s="5" t="n"/>
      <c r="R1545" s="5" t="n"/>
      <c r="S1545" s="5" t="n"/>
      <c r="T1545" s="5" t="n"/>
      <c r="U1545" s="5" t="n"/>
      <c r="V1545" s="5" t="n"/>
      <c r="W1545" s="5" t="n"/>
      <c r="X1545" s="5" t="n"/>
      <c r="Y1545" s="5">
        <f>IF(I1545="","",IF(AND(I1545="Fail",K1545=""),"Classify Issue Source",IF(AND(I1545="Fail",W1545=""),"Set Confidence",IF(AND(K1545="Unknown",W1545&lt;&gt;"Low"),"Unknown must be Low confidence",IF(AND(OR(K1545="Backend",K1545="SAP"),N1545=""),"Add HTTP status + endpoint",IF(AND(OR(K1545="Backend",K1545="SAP",K1545="Network"),P1545=""),"Add Correlation ID",IF(AND(I1545="Fail",T1545=""),"Write Root Cause / evidence gap",IF(AND(I1545="Fail",V1545=""),"Assign team","OK"))))))))</f>
        <v/>
      </c>
    </row>
    <row r="1546">
      <c r="A1546" s="5" t="n"/>
      <c r="B1546" s="5" t="n"/>
      <c r="C1546" s="5" t="n"/>
      <c r="D1546" s="5" t="n"/>
      <c r="E1546" s="5" t="n"/>
      <c r="F1546" s="5" t="n"/>
      <c r="G1546" s="5" t="n"/>
      <c r="H1546" s="5" t="n"/>
      <c r="I1546" s="5" t="n"/>
      <c r="J1546" s="5" t="n"/>
      <c r="K1546" s="5" t="n"/>
      <c r="L1546" s="5" t="n"/>
      <c r="M1546" s="5" t="n"/>
      <c r="N1546" s="5" t="n"/>
      <c r="O1546" s="5" t="n"/>
      <c r="P1546" s="5" t="n"/>
      <c r="Q1546" s="5" t="n"/>
      <c r="R1546" s="5" t="n"/>
      <c r="S1546" s="5" t="n"/>
      <c r="T1546" s="5" t="n"/>
      <c r="U1546" s="5" t="n"/>
      <c r="V1546" s="5" t="n"/>
      <c r="W1546" s="5" t="n"/>
      <c r="X1546" s="5" t="n"/>
      <c r="Y1546" s="5">
        <f>IF(I1546="","",IF(AND(I1546="Fail",K1546=""),"Classify Issue Source",IF(AND(I1546="Fail",W1546=""),"Set Confidence",IF(AND(K1546="Unknown",W1546&lt;&gt;"Low"),"Unknown must be Low confidence",IF(AND(OR(K1546="Backend",K1546="SAP"),N1546=""),"Add HTTP status + endpoint",IF(AND(OR(K1546="Backend",K1546="SAP",K1546="Network"),P1546=""),"Add Correlation ID",IF(AND(I1546="Fail",T1546=""),"Write Root Cause / evidence gap",IF(AND(I1546="Fail",V1546=""),"Assign team","OK"))))))))</f>
        <v/>
      </c>
    </row>
    <row r="1547">
      <c r="A1547" s="5" t="n"/>
      <c r="B1547" s="5" t="n"/>
      <c r="C1547" s="5" t="n"/>
      <c r="D1547" s="5" t="n"/>
      <c r="E1547" s="5" t="n"/>
      <c r="F1547" s="5" t="n"/>
      <c r="G1547" s="5" t="n"/>
      <c r="H1547" s="5" t="n"/>
      <c r="I1547" s="5" t="n"/>
      <c r="J1547" s="5" t="n"/>
      <c r="K1547" s="5" t="n"/>
      <c r="L1547" s="5" t="n"/>
      <c r="M1547" s="5" t="n"/>
      <c r="N1547" s="5" t="n"/>
      <c r="O1547" s="5" t="n"/>
      <c r="P1547" s="5" t="n"/>
      <c r="Q1547" s="5" t="n"/>
      <c r="R1547" s="5" t="n"/>
      <c r="S1547" s="5" t="n"/>
      <c r="T1547" s="5" t="n"/>
      <c r="U1547" s="5" t="n"/>
      <c r="V1547" s="5" t="n"/>
      <c r="W1547" s="5" t="n"/>
      <c r="X1547" s="5" t="n"/>
      <c r="Y1547" s="5">
        <f>IF(I1547="","",IF(AND(I1547="Fail",K1547=""),"Classify Issue Source",IF(AND(I1547="Fail",W1547=""),"Set Confidence",IF(AND(K1547="Unknown",W1547&lt;&gt;"Low"),"Unknown must be Low confidence",IF(AND(OR(K1547="Backend",K1547="SAP"),N1547=""),"Add HTTP status + endpoint",IF(AND(OR(K1547="Backend",K1547="SAP",K1547="Network"),P1547=""),"Add Correlation ID",IF(AND(I1547="Fail",T1547=""),"Write Root Cause / evidence gap",IF(AND(I1547="Fail",V1547=""),"Assign team","OK"))))))))</f>
        <v/>
      </c>
    </row>
    <row r="1548">
      <c r="A1548" s="5" t="n"/>
      <c r="B1548" s="5" t="n"/>
      <c r="C1548" s="5" t="n"/>
      <c r="D1548" s="5" t="n"/>
      <c r="E1548" s="5" t="n"/>
      <c r="F1548" s="5" t="n"/>
      <c r="G1548" s="5" t="n"/>
      <c r="H1548" s="5" t="n"/>
      <c r="I1548" s="5" t="n"/>
      <c r="J1548" s="5" t="n"/>
      <c r="K1548" s="5" t="n"/>
      <c r="L1548" s="5" t="n"/>
      <c r="M1548" s="5" t="n"/>
      <c r="N1548" s="5" t="n"/>
      <c r="O1548" s="5" t="n"/>
      <c r="P1548" s="5" t="n"/>
      <c r="Q1548" s="5" t="n"/>
      <c r="R1548" s="5" t="n"/>
      <c r="S1548" s="5" t="n"/>
      <c r="T1548" s="5" t="n"/>
      <c r="U1548" s="5" t="n"/>
      <c r="V1548" s="5" t="n"/>
      <c r="W1548" s="5" t="n"/>
      <c r="X1548" s="5" t="n"/>
      <c r="Y1548" s="5">
        <f>IF(I1548="","",IF(AND(I1548="Fail",K1548=""),"Classify Issue Source",IF(AND(I1548="Fail",W1548=""),"Set Confidence",IF(AND(K1548="Unknown",W1548&lt;&gt;"Low"),"Unknown must be Low confidence",IF(AND(OR(K1548="Backend",K1548="SAP"),N1548=""),"Add HTTP status + endpoint",IF(AND(OR(K1548="Backend",K1548="SAP",K1548="Network"),P1548=""),"Add Correlation ID",IF(AND(I1548="Fail",T1548=""),"Write Root Cause / evidence gap",IF(AND(I1548="Fail",V1548=""),"Assign team","OK"))))))))</f>
        <v/>
      </c>
    </row>
    <row r="1549">
      <c r="A1549" s="5" t="n"/>
      <c r="B1549" s="5" t="n"/>
      <c r="C1549" s="5" t="n"/>
      <c r="D1549" s="5" t="n"/>
      <c r="E1549" s="5" t="n"/>
      <c r="F1549" s="5" t="n"/>
      <c r="G1549" s="5" t="n"/>
      <c r="H1549" s="5" t="n"/>
      <c r="I1549" s="5" t="n"/>
      <c r="J1549" s="5" t="n"/>
      <c r="K1549" s="5" t="n"/>
      <c r="L1549" s="5" t="n"/>
      <c r="M1549" s="5" t="n"/>
      <c r="N1549" s="5" t="n"/>
      <c r="O1549" s="5" t="n"/>
      <c r="P1549" s="5" t="n"/>
      <c r="Q1549" s="5" t="n"/>
      <c r="R1549" s="5" t="n"/>
      <c r="S1549" s="5" t="n"/>
      <c r="T1549" s="5" t="n"/>
      <c r="U1549" s="5" t="n"/>
      <c r="V1549" s="5" t="n"/>
      <c r="W1549" s="5" t="n"/>
      <c r="X1549" s="5" t="n"/>
      <c r="Y1549" s="5">
        <f>IF(I1549="","",IF(AND(I1549="Fail",K1549=""),"Classify Issue Source",IF(AND(I1549="Fail",W1549=""),"Set Confidence",IF(AND(K1549="Unknown",W1549&lt;&gt;"Low"),"Unknown must be Low confidence",IF(AND(OR(K1549="Backend",K1549="SAP"),N1549=""),"Add HTTP status + endpoint",IF(AND(OR(K1549="Backend",K1549="SAP",K1549="Network"),P1549=""),"Add Correlation ID",IF(AND(I1549="Fail",T1549=""),"Write Root Cause / evidence gap",IF(AND(I1549="Fail",V1549=""),"Assign team","OK"))))))))</f>
        <v/>
      </c>
    </row>
    <row r="1550">
      <c r="A1550" s="5" t="n"/>
      <c r="B1550" s="5" t="n"/>
      <c r="C1550" s="5" t="n"/>
      <c r="D1550" s="5" t="n"/>
      <c r="E1550" s="5" t="n"/>
      <c r="F1550" s="5" t="n"/>
      <c r="G1550" s="5" t="n"/>
      <c r="H1550" s="5" t="n"/>
      <c r="I1550" s="5" t="n"/>
      <c r="J1550" s="5" t="n"/>
      <c r="K1550" s="5" t="n"/>
      <c r="L1550" s="5" t="n"/>
      <c r="M1550" s="5" t="n"/>
      <c r="N1550" s="5" t="n"/>
      <c r="O1550" s="5" t="n"/>
      <c r="P1550" s="5" t="n"/>
      <c r="Q1550" s="5" t="n"/>
      <c r="R1550" s="5" t="n"/>
      <c r="S1550" s="5" t="n"/>
      <c r="T1550" s="5" t="n"/>
      <c r="U1550" s="5" t="n"/>
      <c r="V1550" s="5" t="n"/>
      <c r="W1550" s="5" t="n"/>
      <c r="X1550" s="5" t="n"/>
      <c r="Y1550" s="5">
        <f>IF(I1550="","",IF(AND(I1550="Fail",K1550=""),"Classify Issue Source",IF(AND(I1550="Fail",W1550=""),"Set Confidence",IF(AND(K1550="Unknown",W1550&lt;&gt;"Low"),"Unknown must be Low confidence",IF(AND(OR(K1550="Backend",K1550="SAP"),N1550=""),"Add HTTP status + endpoint",IF(AND(OR(K1550="Backend",K1550="SAP",K1550="Network"),P1550=""),"Add Correlation ID",IF(AND(I1550="Fail",T1550=""),"Write Root Cause / evidence gap",IF(AND(I1550="Fail",V1550=""),"Assign team","OK"))))))))</f>
        <v/>
      </c>
    </row>
    <row r="1551">
      <c r="A1551" s="5" t="n"/>
      <c r="B1551" s="5" t="n"/>
      <c r="C1551" s="5" t="n"/>
      <c r="D1551" s="5" t="n"/>
      <c r="E1551" s="5" t="n"/>
      <c r="F1551" s="5" t="n"/>
      <c r="G1551" s="5" t="n"/>
      <c r="H1551" s="5" t="n"/>
      <c r="I1551" s="5" t="n"/>
      <c r="J1551" s="5" t="n"/>
      <c r="K1551" s="5" t="n"/>
      <c r="L1551" s="5" t="n"/>
      <c r="M1551" s="5" t="n"/>
      <c r="N1551" s="5" t="n"/>
      <c r="O1551" s="5" t="n"/>
      <c r="P1551" s="5" t="n"/>
      <c r="Q1551" s="5" t="n"/>
      <c r="R1551" s="5" t="n"/>
      <c r="S1551" s="5" t="n"/>
      <c r="T1551" s="5" t="n"/>
      <c r="U1551" s="5" t="n"/>
      <c r="V1551" s="5" t="n"/>
      <c r="W1551" s="5" t="n"/>
      <c r="X1551" s="5" t="n"/>
      <c r="Y1551" s="5">
        <f>IF(I1551="","",IF(AND(I1551="Fail",K1551=""),"Classify Issue Source",IF(AND(I1551="Fail",W1551=""),"Set Confidence",IF(AND(K1551="Unknown",W1551&lt;&gt;"Low"),"Unknown must be Low confidence",IF(AND(OR(K1551="Backend",K1551="SAP"),N1551=""),"Add HTTP status + endpoint",IF(AND(OR(K1551="Backend",K1551="SAP",K1551="Network"),P1551=""),"Add Correlation ID",IF(AND(I1551="Fail",T1551=""),"Write Root Cause / evidence gap",IF(AND(I1551="Fail",V1551=""),"Assign team","OK"))))))))</f>
        <v/>
      </c>
    </row>
    <row r="1552">
      <c r="A1552" s="5" t="n"/>
      <c r="B1552" s="5" t="n"/>
      <c r="C1552" s="5" t="n"/>
      <c r="D1552" s="5" t="n"/>
      <c r="E1552" s="5" t="n"/>
      <c r="F1552" s="5" t="n"/>
      <c r="G1552" s="5" t="n"/>
      <c r="H1552" s="5" t="n"/>
      <c r="I1552" s="5" t="n"/>
      <c r="J1552" s="5" t="n"/>
      <c r="K1552" s="5" t="n"/>
      <c r="L1552" s="5" t="n"/>
      <c r="M1552" s="5" t="n"/>
      <c r="N1552" s="5" t="n"/>
      <c r="O1552" s="5" t="n"/>
      <c r="P1552" s="5" t="n"/>
      <c r="Q1552" s="5" t="n"/>
      <c r="R1552" s="5" t="n"/>
      <c r="S1552" s="5" t="n"/>
      <c r="T1552" s="5" t="n"/>
      <c r="U1552" s="5" t="n"/>
      <c r="V1552" s="5" t="n"/>
      <c r="W1552" s="5" t="n"/>
      <c r="X1552" s="5" t="n"/>
      <c r="Y1552" s="5">
        <f>IF(I1552="","",IF(AND(I1552="Fail",K1552=""),"Classify Issue Source",IF(AND(I1552="Fail",W1552=""),"Set Confidence",IF(AND(K1552="Unknown",W1552&lt;&gt;"Low"),"Unknown must be Low confidence",IF(AND(OR(K1552="Backend",K1552="SAP"),N1552=""),"Add HTTP status + endpoint",IF(AND(OR(K1552="Backend",K1552="SAP",K1552="Network"),P1552=""),"Add Correlation ID",IF(AND(I1552="Fail",T1552=""),"Write Root Cause / evidence gap",IF(AND(I1552="Fail",V1552=""),"Assign team","OK"))))))))</f>
        <v/>
      </c>
    </row>
    <row r="1553">
      <c r="A1553" s="5" t="n"/>
      <c r="B1553" s="5" t="n"/>
      <c r="C1553" s="5" t="n"/>
      <c r="D1553" s="5" t="n"/>
      <c r="E1553" s="5" t="n"/>
      <c r="F1553" s="5" t="n"/>
      <c r="G1553" s="5" t="n"/>
      <c r="H1553" s="5" t="n"/>
      <c r="I1553" s="5" t="n"/>
      <c r="J1553" s="5" t="n"/>
      <c r="K1553" s="5" t="n"/>
      <c r="L1553" s="5" t="n"/>
      <c r="M1553" s="5" t="n"/>
      <c r="N1553" s="5" t="n"/>
      <c r="O1553" s="5" t="n"/>
      <c r="P1553" s="5" t="n"/>
      <c r="Q1553" s="5" t="n"/>
      <c r="R1553" s="5" t="n"/>
      <c r="S1553" s="5" t="n"/>
      <c r="T1553" s="5" t="n"/>
      <c r="U1553" s="5" t="n"/>
      <c r="V1553" s="5" t="n"/>
      <c r="W1553" s="5" t="n"/>
      <c r="X1553" s="5" t="n"/>
      <c r="Y1553" s="5">
        <f>IF(I1553="","",IF(AND(I1553="Fail",K1553=""),"Classify Issue Source",IF(AND(I1553="Fail",W1553=""),"Set Confidence",IF(AND(K1553="Unknown",W1553&lt;&gt;"Low"),"Unknown must be Low confidence",IF(AND(OR(K1553="Backend",K1553="SAP"),N1553=""),"Add HTTP status + endpoint",IF(AND(OR(K1553="Backend",K1553="SAP",K1553="Network"),P1553=""),"Add Correlation ID",IF(AND(I1553="Fail",T1553=""),"Write Root Cause / evidence gap",IF(AND(I1553="Fail",V1553=""),"Assign team","OK"))))))))</f>
        <v/>
      </c>
    </row>
    <row r="1554">
      <c r="A1554" s="5" t="n"/>
      <c r="B1554" s="5" t="n"/>
      <c r="C1554" s="5" t="n"/>
      <c r="D1554" s="5" t="n"/>
      <c r="E1554" s="5" t="n"/>
      <c r="F1554" s="5" t="n"/>
      <c r="G1554" s="5" t="n"/>
      <c r="H1554" s="5" t="n"/>
      <c r="I1554" s="5" t="n"/>
      <c r="J1554" s="5" t="n"/>
      <c r="K1554" s="5" t="n"/>
      <c r="L1554" s="5" t="n"/>
      <c r="M1554" s="5" t="n"/>
      <c r="N1554" s="5" t="n"/>
      <c r="O1554" s="5" t="n"/>
      <c r="P1554" s="5" t="n"/>
      <c r="Q1554" s="5" t="n"/>
      <c r="R1554" s="5" t="n"/>
      <c r="S1554" s="5" t="n"/>
      <c r="T1554" s="5" t="n"/>
      <c r="U1554" s="5" t="n"/>
      <c r="V1554" s="5" t="n"/>
      <c r="W1554" s="5" t="n"/>
      <c r="X1554" s="5" t="n"/>
      <c r="Y1554" s="5">
        <f>IF(I1554="","",IF(AND(I1554="Fail",K1554=""),"Classify Issue Source",IF(AND(I1554="Fail",W1554=""),"Set Confidence",IF(AND(K1554="Unknown",W1554&lt;&gt;"Low"),"Unknown must be Low confidence",IF(AND(OR(K1554="Backend",K1554="SAP"),N1554=""),"Add HTTP status + endpoint",IF(AND(OR(K1554="Backend",K1554="SAP",K1554="Network"),P1554=""),"Add Correlation ID",IF(AND(I1554="Fail",T1554=""),"Write Root Cause / evidence gap",IF(AND(I1554="Fail",V1554=""),"Assign team","OK"))))))))</f>
        <v/>
      </c>
    </row>
    <row r="1555">
      <c r="A1555" s="5" t="n"/>
      <c r="B1555" s="5" t="n"/>
      <c r="C1555" s="5" t="n"/>
      <c r="D1555" s="5" t="n"/>
      <c r="E1555" s="5" t="n"/>
      <c r="F1555" s="5" t="n"/>
      <c r="G1555" s="5" t="n"/>
      <c r="H1555" s="5" t="n"/>
      <c r="I1555" s="5" t="n"/>
      <c r="J1555" s="5" t="n"/>
      <c r="K1555" s="5" t="n"/>
      <c r="L1555" s="5" t="n"/>
      <c r="M1555" s="5" t="n"/>
      <c r="N1555" s="5" t="n"/>
      <c r="O1555" s="5" t="n"/>
      <c r="P1555" s="5" t="n"/>
      <c r="Q1555" s="5" t="n"/>
      <c r="R1555" s="5" t="n"/>
      <c r="S1555" s="5" t="n"/>
      <c r="T1555" s="5" t="n"/>
      <c r="U1555" s="5" t="n"/>
      <c r="V1555" s="5" t="n"/>
      <c r="W1555" s="5" t="n"/>
      <c r="X1555" s="5" t="n"/>
      <c r="Y1555" s="5">
        <f>IF(I1555="","",IF(AND(I1555="Fail",K1555=""),"Classify Issue Source",IF(AND(I1555="Fail",W1555=""),"Set Confidence",IF(AND(K1555="Unknown",W1555&lt;&gt;"Low"),"Unknown must be Low confidence",IF(AND(OR(K1555="Backend",K1555="SAP"),N1555=""),"Add HTTP status + endpoint",IF(AND(OR(K1555="Backend",K1555="SAP",K1555="Network"),P1555=""),"Add Correlation ID",IF(AND(I1555="Fail",T1555=""),"Write Root Cause / evidence gap",IF(AND(I1555="Fail",V1555=""),"Assign team","OK"))))))))</f>
        <v/>
      </c>
    </row>
    <row r="1556">
      <c r="A1556" s="5" t="n"/>
      <c r="B1556" s="5" t="n"/>
      <c r="C1556" s="5" t="n"/>
      <c r="D1556" s="5" t="n"/>
      <c r="E1556" s="5" t="n"/>
      <c r="F1556" s="5" t="n"/>
      <c r="G1556" s="5" t="n"/>
      <c r="H1556" s="5" t="n"/>
      <c r="I1556" s="5" t="n"/>
      <c r="J1556" s="5" t="n"/>
      <c r="K1556" s="5" t="n"/>
      <c r="L1556" s="5" t="n"/>
      <c r="M1556" s="5" t="n"/>
      <c r="N1556" s="5" t="n"/>
      <c r="O1556" s="5" t="n"/>
      <c r="P1556" s="5" t="n"/>
      <c r="Q1556" s="5" t="n"/>
      <c r="R1556" s="5" t="n"/>
      <c r="S1556" s="5" t="n"/>
      <c r="T1556" s="5" t="n"/>
      <c r="U1556" s="5" t="n"/>
      <c r="V1556" s="5" t="n"/>
      <c r="W1556" s="5" t="n"/>
      <c r="X1556" s="5" t="n"/>
      <c r="Y1556" s="5">
        <f>IF(I1556="","",IF(AND(I1556="Fail",K1556=""),"Classify Issue Source",IF(AND(I1556="Fail",W1556=""),"Set Confidence",IF(AND(K1556="Unknown",W1556&lt;&gt;"Low"),"Unknown must be Low confidence",IF(AND(OR(K1556="Backend",K1556="SAP"),N1556=""),"Add HTTP status + endpoint",IF(AND(OR(K1556="Backend",K1556="SAP",K1556="Network"),P1556=""),"Add Correlation ID",IF(AND(I1556="Fail",T1556=""),"Write Root Cause / evidence gap",IF(AND(I1556="Fail",V1556=""),"Assign team","OK"))))))))</f>
        <v/>
      </c>
    </row>
    <row r="1557">
      <c r="A1557" s="5" t="n"/>
      <c r="B1557" s="5" t="n"/>
      <c r="C1557" s="5" t="n"/>
      <c r="D1557" s="5" t="n"/>
      <c r="E1557" s="5" t="n"/>
      <c r="F1557" s="5" t="n"/>
      <c r="G1557" s="5" t="n"/>
      <c r="H1557" s="5" t="n"/>
      <c r="I1557" s="5" t="n"/>
      <c r="J1557" s="5" t="n"/>
      <c r="K1557" s="5" t="n"/>
      <c r="L1557" s="5" t="n"/>
      <c r="M1557" s="5" t="n"/>
      <c r="N1557" s="5" t="n"/>
      <c r="O1557" s="5" t="n"/>
      <c r="P1557" s="5" t="n"/>
      <c r="Q1557" s="5" t="n"/>
      <c r="R1557" s="5" t="n"/>
      <c r="S1557" s="5" t="n"/>
      <c r="T1557" s="5" t="n"/>
      <c r="U1557" s="5" t="n"/>
      <c r="V1557" s="5" t="n"/>
      <c r="W1557" s="5" t="n"/>
      <c r="X1557" s="5" t="n"/>
      <c r="Y1557" s="5">
        <f>IF(I1557="","",IF(AND(I1557="Fail",K1557=""),"Classify Issue Source",IF(AND(I1557="Fail",W1557=""),"Set Confidence",IF(AND(K1557="Unknown",W1557&lt;&gt;"Low"),"Unknown must be Low confidence",IF(AND(OR(K1557="Backend",K1557="SAP"),N1557=""),"Add HTTP status + endpoint",IF(AND(OR(K1557="Backend",K1557="SAP",K1557="Network"),P1557=""),"Add Correlation ID",IF(AND(I1557="Fail",T1557=""),"Write Root Cause / evidence gap",IF(AND(I1557="Fail",V1557=""),"Assign team","OK"))))))))</f>
        <v/>
      </c>
    </row>
    <row r="1558">
      <c r="A1558" s="5" t="n"/>
      <c r="B1558" s="5" t="n"/>
      <c r="C1558" s="5" t="n"/>
      <c r="D1558" s="5" t="n"/>
      <c r="E1558" s="5" t="n"/>
      <c r="F1558" s="5" t="n"/>
      <c r="G1558" s="5" t="n"/>
      <c r="H1558" s="5" t="n"/>
      <c r="I1558" s="5" t="n"/>
      <c r="J1558" s="5" t="n"/>
      <c r="K1558" s="5" t="n"/>
      <c r="L1558" s="5" t="n"/>
      <c r="M1558" s="5" t="n"/>
      <c r="N1558" s="5" t="n"/>
      <c r="O1558" s="5" t="n"/>
      <c r="P1558" s="5" t="n"/>
      <c r="Q1558" s="5" t="n"/>
      <c r="R1558" s="5" t="n"/>
      <c r="S1558" s="5" t="n"/>
      <c r="T1558" s="5" t="n"/>
      <c r="U1558" s="5" t="n"/>
      <c r="V1558" s="5" t="n"/>
      <c r="W1558" s="5" t="n"/>
      <c r="X1558" s="5" t="n"/>
      <c r="Y1558" s="5">
        <f>IF(I1558="","",IF(AND(I1558="Fail",K1558=""),"Classify Issue Source",IF(AND(I1558="Fail",W1558=""),"Set Confidence",IF(AND(K1558="Unknown",W1558&lt;&gt;"Low"),"Unknown must be Low confidence",IF(AND(OR(K1558="Backend",K1558="SAP"),N1558=""),"Add HTTP status + endpoint",IF(AND(OR(K1558="Backend",K1558="SAP",K1558="Network"),P1558=""),"Add Correlation ID",IF(AND(I1558="Fail",T1558=""),"Write Root Cause / evidence gap",IF(AND(I1558="Fail",V1558=""),"Assign team","OK"))))))))</f>
        <v/>
      </c>
    </row>
    <row r="1559">
      <c r="A1559" s="5" t="n"/>
      <c r="B1559" s="5" t="n"/>
      <c r="C1559" s="5" t="n"/>
      <c r="D1559" s="5" t="n"/>
      <c r="E1559" s="5" t="n"/>
      <c r="F1559" s="5" t="n"/>
      <c r="G1559" s="5" t="n"/>
      <c r="H1559" s="5" t="n"/>
      <c r="I1559" s="5" t="n"/>
      <c r="J1559" s="5" t="n"/>
      <c r="K1559" s="5" t="n"/>
      <c r="L1559" s="5" t="n"/>
      <c r="M1559" s="5" t="n"/>
      <c r="N1559" s="5" t="n"/>
      <c r="O1559" s="5" t="n"/>
      <c r="P1559" s="5" t="n"/>
      <c r="Q1559" s="5" t="n"/>
      <c r="R1559" s="5" t="n"/>
      <c r="S1559" s="5" t="n"/>
      <c r="T1559" s="5" t="n"/>
      <c r="U1559" s="5" t="n"/>
      <c r="V1559" s="5" t="n"/>
      <c r="W1559" s="5" t="n"/>
      <c r="X1559" s="5" t="n"/>
      <c r="Y1559" s="5">
        <f>IF(I1559="","",IF(AND(I1559="Fail",K1559=""),"Classify Issue Source",IF(AND(I1559="Fail",W1559=""),"Set Confidence",IF(AND(K1559="Unknown",W1559&lt;&gt;"Low"),"Unknown must be Low confidence",IF(AND(OR(K1559="Backend",K1559="SAP"),N1559=""),"Add HTTP status + endpoint",IF(AND(OR(K1559="Backend",K1559="SAP",K1559="Network"),P1559=""),"Add Correlation ID",IF(AND(I1559="Fail",T1559=""),"Write Root Cause / evidence gap",IF(AND(I1559="Fail",V1559=""),"Assign team","OK"))))))))</f>
        <v/>
      </c>
    </row>
    <row r="1560">
      <c r="A1560" s="5" t="n"/>
      <c r="B1560" s="5" t="n"/>
      <c r="C1560" s="5" t="n"/>
      <c r="D1560" s="5" t="n"/>
      <c r="E1560" s="5" t="n"/>
      <c r="F1560" s="5" t="n"/>
      <c r="G1560" s="5" t="n"/>
      <c r="H1560" s="5" t="n"/>
      <c r="I1560" s="5" t="n"/>
      <c r="J1560" s="5" t="n"/>
      <c r="K1560" s="5" t="n"/>
      <c r="L1560" s="5" t="n"/>
      <c r="M1560" s="5" t="n"/>
      <c r="N1560" s="5" t="n"/>
      <c r="O1560" s="5" t="n"/>
      <c r="P1560" s="5" t="n"/>
      <c r="Q1560" s="5" t="n"/>
      <c r="R1560" s="5" t="n"/>
      <c r="S1560" s="5" t="n"/>
      <c r="T1560" s="5" t="n"/>
      <c r="U1560" s="5" t="n"/>
      <c r="V1560" s="5" t="n"/>
      <c r="W1560" s="5" t="n"/>
      <c r="X1560" s="5" t="n"/>
      <c r="Y1560" s="5">
        <f>IF(I1560="","",IF(AND(I1560="Fail",K1560=""),"Classify Issue Source",IF(AND(I1560="Fail",W1560=""),"Set Confidence",IF(AND(K1560="Unknown",W1560&lt;&gt;"Low"),"Unknown must be Low confidence",IF(AND(OR(K1560="Backend",K1560="SAP"),N1560=""),"Add HTTP status + endpoint",IF(AND(OR(K1560="Backend",K1560="SAP",K1560="Network"),P1560=""),"Add Correlation ID",IF(AND(I1560="Fail",T1560=""),"Write Root Cause / evidence gap",IF(AND(I1560="Fail",V1560=""),"Assign team","OK"))))))))</f>
        <v/>
      </c>
    </row>
    <row r="1561">
      <c r="A1561" s="5" t="n"/>
      <c r="B1561" s="5" t="n"/>
      <c r="C1561" s="5" t="n"/>
      <c r="D1561" s="5" t="n"/>
      <c r="E1561" s="5" t="n"/>
      <c r="F1561" s="5" t="n"/>
      <c r="G1561" s="5" t="n"/>
      <c r="H1561" s="5" t="n"/>
      <c r="I1561" s="5" t="n"/>
      <c r="J1561" s="5" t="n"/>
      <c r="K1561" s="5" t="n"/>
      <c r="L1561" s="5" t="n"/>
      <c r="M1561" s="5" t="n"/>
      <c r="N1561" s="5" t="n"/>
      <c r="O1561" s="5" t="n"/>
      <c r="P1561" s="5" t="n"/>
      <c r="Q1561" s="5" t="n"/>
      <c r="R1561" s="5" t="n"/>
      <c r="S1561" s="5" t="n"/>
      <c r="T1561" s="5" t="n"/>
      <c r="U1561" s="5" t="n"/>
      <c r="V1561" s="5" t="n"/>
      <c r="W1561" s="5" t="n"/>
      <c r="X1561" s="5" t="n"/>
      <c r="Y1561" s="5">
        <f>IF(I1561="","",IF(AND(I1561="Fail",K1561=""),"Classify Issue Source",IF(AND(I1561="Fail",W1561=""),"Set Confidence",IF(AND(K1561="Unknown",W1561&lt;&gt;"Low"),"Unknown must be Low confidence",IF(AND(OR(K1561="Backend",K1561="SAP"),N1561=""),"Add HTTP status + endpoint",IF(AND(OR(K1561="Backend",K1561="SAP",K1561="Network"),P1561=""),"Add Correlation ID",IF(AND(I1561="Fail",T1561=""),"Write Root Cause / evidence gap",IF(AND(I1561="Fail",V1561=""),"Assign team","OK"))))))))</f>
        <v/>
      </c>
    </row>
    <row r="1562">
      <c r="A1562" s="5" t="n"/>
      <c r="B1562" s="5" t="n"/>
      <c r="C1562" s="5" t="n"/>
      <c r="D1562" s="5" t="n"/>
      <c r="E1562" s="5" t="n"/>
      <c r="F1562" s="5" t="n"/>
      <c r="G1562" s="5" t="n"/>
      <c r="H1562" s="5" t="n"/>
      <c r="I1562" s="5" t="n"/>
      <c r="J1562" s="5" t="n"/>
      <c r="K1562" s="5" t="n"/>
      <c r="L1562" s="5" t="n"/>
      <c r="M1562" s="5" t="n"/>
      <c r="N1562" s="5" t="n"/>
      <c r="O1562" s="5" t="n"/>
      <c r="P1562" s="5" t="n"/>
      <c r="Q1562" s="5" t="n"/>
      <c r="R1562" s="5" t="n"/>
      <c r="S1562" s="5" t="n"/>
      <c r="T1562" s="5" t="n"/>
      <c r="U1562" s="5" t="n"/>
      <c r="V1562" s="5" t="n"/>
      <c r="W1562" s="5" t="n"/>
      <c r="X1562" s="5" t="n"/>
      <c r="Y1562" s="5">
        <f>IF(I1562="","",IF(AND(I1562="Fail",K1562=""),"Classify Issue Source",IF(AND(I1562="Fail",W1562=""),"Set Confidence",IF(AND(K1562="Unknown",W1562&lt;&gt;"Low"),"Unknown must be Low confidence",IF(AND(OR(K1562="Backend",K1562="SAP"),N1562=""),"Add HTTP status + endpoint",IF(AND(OR(K1562="Backend",K1562="SAP",K1562="Network"),P1562=""),"Add Correlation ID",IF(AND(I1562="Fail",T1562=""),"Write Root Cause / evidence gap",IF(AND(I1562="Fail",V1562=""),"Assign team","OK"))))))))</f>
        <v/>
      </c>
    </row>
    <row r="1563">
      <c r="A1563" s="5" t="n"/>
      <c r="B1563" s="5" t="n"/>
      <c r="C1563" s="5" t="n"/>
      <c r="D1563" s="5" t="n"/>
      <c r="E1563" s="5" t="n"/>
      <c r="F1563" s="5" t="n"/>
      <c r="G1563" s="5" t="n"/>
      <c r="H1563" s="5" t="n"/>
      <c r="I1563" s="5" t="n"/>
      <c r="J1563" s="5" t="n"/>
      <c r="K1563" s="5" t="n"/>
      <c r="L1563" s="5" t="n"/>
      <c r="M1563" s="5" t="n"/>
      <c r="N1563" s="5" t="n"/>
      <c r="O1563" s="5" t="n"/>
      <c r="P1563" s="5" t="n"/>
      <c r="Q1563" s="5" t="n"/>
      <c r="R1563" s="5" t="n"/>
      <c r="S1563" s="5" t="n"/>
      <c r="T1563" s="5" t="n"/>
      <c r="U1563" s="5" t="n"/>
      <c r="V1563" s="5" t="n"/>
      <c r="W1563" s="5" t="n"/>
      <c r="X1563" s="5" t="n"/>
      <c r="Y1563" s="5">
        <f>IF(I1563="","",IF(AND(I1563="Fail",K1563=""),"Classify Issue Source",IF(AND(I1563="Fail",W1563=""),"Set Confidence",IF(AND(K1563="Unknown",W1563&lt;&gt;"Low"),"Unknown must be Low confidence",IF(AND(OR(K1563="Backend",K1563="SAP"),N1563=""),"Add HTTP status + endpoint",IF(AND(OR(K1563="Backend",K1563="SAP",K1563="Network"),P1563=""),"Add Correlation ID",IF(AND(I1563="Fail",T1563=""),"Write Root Cause / evidence gap",IF(AND(I1563="Fail",V1563=""),"Assign team","OK"))))))))</f>
        <v/>
      </c>
    </row>
    <row r="1564">
      <c r="A1564" s="5" t="n"/>
      <c r="B1564" s="5" t="n"/>
      <c r="C1564" s="5" t="n"/>
      <c r="D1564" s="5" t="n"/>
      <c r="E1564" s="5" t="n"/>
      <c r="F1564" s="5" t="n"/>
      <c r="G1564" s="5" t="n"/>
      <c r="H1564" s="5" t="n"/>
      <c r="I1564" s="5" t="n"/>
      <c r="J1564" s="5" t="n"/>
      <c r="K1564" s="5" t="n"/>
      <c r="L1564" s="5" t="n"/>
      <c r="M1564" s="5" t="n"/>
      <c r="N1564" s="5" t="n"/>
      <c r="O1564" s="5" t="n"/>
      <c r="P1564" s="5" t="n"/>
      <c r="Q1564" s="5" t="n"/>
      <c r="R1564" s="5" t="n"/>
      <c r="S1564" s="5" t="n"/>
      <c r="T1564" s="5" t="n"/>
      <c r="U1564" s="5" t="n"/>
      <c r="V1564" s="5" t="n"/>
      <c r="W1564" s="5" t="n"/>
      <c r="X1564" s="5" t="n"/>
      <c r="Y1564" s="5">
        <f>IF(I1564="","",IF(AND(I1564="Fail",K1564=""),"Classify Issue Source",IF(AND(I1564="Fail",W1564=""),"Set Confidence",IF(AND(K1564="Unknown",W1564&lt;&gt;"Low"),"Unknown must be Low confidence",IF(AND(OR(K1564="Backend",K1564="SAP"),N1564=""),"Add HTTP status + endpoint",IF(AND(OR(K1564="Backend",K1564="SAP",K1564="Network"),P1564=""),"Add Correlation ID",IF(AND(I1564="Fail",T1564=""),"Write Root Cause / evidence gap",IF(AND(I1564="Fail",V1564=""),"Assign team","OK"))))))))</f>
        <v/>
      </c>
    </row>
    <row r="1565">
      <c r="A1565" s="5" t="n"/>
      <c r="B1565" s="5" t="n"/>
      <c r="C1565" s="5" t="n"/>
      <c r="D1565" s="5" t="n"/>
      <c r="E1565" s="5" t="n"/>
      <c r="F1565" s="5" t="n"/>
      <c r="G1565" s="5" t="n"/>
      <c r="H1565" s="5" t="n"/>
      <c r="I1565" s="5" t="n"/>
      <c r="J1565" s="5" t="n"/>
      <c r="K1565" s="5" t="n"/>
      <c r="L1565" s="5" t="n"/>
      <c r="M1565" s="5" t="n"/>
      <c r="N1565" s="5" t="n"/>
      <c r="O1565" s="5" t="n"/>
      <c r="P1565" s="5" t="n"/>
      <c r="Q1565" s="5" t="n"/>
      <c r="R1565" s="5" t="n"/>
      <c r="S1565" s="5" t="n"/>
      <c r="T1565" s="5" t="n"/>
      <c r="U1565" s="5" t="n"/>
      <c r="V1565" s="5" t="n"/>
      <c r="W1565" s="5" t="n"/>
      <c r="X1565" s="5" t="n"/>
      <c r="Y1565" s="5">
        <f>IF(I1565="","",IF(AND(I1565="Fail",K1565=""),"Classify Issue Source",IF(AND(I1565="Fail",W1565=""),"Set Confidence",IF(AND(K1565="Unknown",W1565&lt;&gt;"Low"),"Unknown must be Low confidence",IF(AND(OR(K1565="Backend",K1565="SAP"),N1565=""),"Add HTTP status + endpoint",IF(AND(OR(K1565="Backend",K1565="SAP",K1565="Network"),P1565=""),"Add Correlation ID",IF(AND(I1565="Fail",T1565=""),"Write Root Cause / evidence gap",IF(AND(I1565="Fail",V1565=""),"Assign team","OK"))))))))</f>
        <v/>
      </c>
    </row>
    <row r="1566">
      <c r="A1566" s="5" t="n"/>
      <c r="B1566" s="5" t="n"/>
      <c r="C1566" s="5" t="n"/>
      <c r="D1566" s="5" t="n"/>
      <c r="E1566" s="5" t="n"/>
      <c r="F1566" s="5" t="n"/>
      <c r="G1566" s="5" t="n"/>
      <c r="H1566" s="5" t="n"/>
      <c r="I1566" s="5" t="n"/>
      <c r="J1566" s="5" t="n"/>
      <c r="K1566" s="5" t="n"/>
      <c r="L1566" s="5" t="n"/>
      <c r="M1566" s="5" t="n"/>
      <c r="N1566" s="5" t="n"/>
      <c r="O1566" s="5" t="n"/>
      <c r="P1566" s="5" t="n"/>
      <c r="Q1566" s="5" t="n"/>
      <c r="R1566" s="5" t="n"/>
      <c r="S1566" s="5" t="n"/>
      <c r="T1566" s="5" t="n"/>
      <c r="U1566" s="5" t="n"/>
      <c r="V1566" s="5" t="n"/>
      <c r="W1566" s="5" t="n"/>
      <c r="X1566" s="5" t="n"/>
      <c r="Y1566" s="5">
        <f>IF(I1566="","",IF(AND(I1566="Fail",K1566=""),"Classify Issue Source",IF(AND(I1566="Fail",W1566=""),"Set Confidence",IF(AND(K1566="Unknown",W1566&lt;&gt;"Low"),"Unknown must be Low confidence",IF(AND(OR(K1566="Backend",K1566="SAP"),N1566=""),"Add HTTP status + endpoint",IF(AND(OR(K1566="Backend",K1566="SAP",K1566="Network"),P1566=""),"Add Correlation ID",IF(AND(I1566="Fail",T1566=""),"Write Root Cause / evidence gap",IF(AND(I1566="Fail",V1566=""),"Assign team","OK"))))))))</f>
        <v/>
      </c>
    </row>
    <row r="1567">
      <c r="A1567" s="5" t="n"/>
      <c r="B1567" s="5" t="n"/>
      <c r="C1567" s="5" t="n"/>
      <c r="D1567" s="5" t="n"/>
      <c r="E1567" s="5" t="n"/>
      <c r="F1567" s="5" t="n"/>
      <c r="G1567" s="5" t="n"/>
      <c r="H1567" s="5" t="n"/>
      <c r="I1567" s="5" t="n"/>
      <c r="J1567" s="5" t="n"/>
      <c r="K1567" s="5" t="n"/>
      <c r="L1567" s="5" t="n"/>
      <c r="M1567" s="5" t="n"/>
      <c r="N1567" s="5" t="n"/>
      <c r="O1567" s="5" t="n"/>
      <c r="P1567" s="5" t="n"/>
      <c r="Q1567" s="5" t="n"/>
      <c r="R1567" s="5" t="n"/>
      <c r="S1567" s="5" t="n"/>
      <c r="T1567" s="5" t="n"/>
      <c r="U1567" s="5" t="n"/>
      <c r="V1567" s="5" t="n"/>
      <c r="W1567" s="5" t="n"/>
      <c r="X1567" s="5" t="n"/>
      <c r="Y1567" s="5">
        <f>IF(I1567="","",IF(AND(I1567="Fail",K1567=""),"Classify Issue Source",IF(AND(I1567="Fail",W1567=""),"Set Confidence",IF(AND(K1567="Unknown",W1567&lt;&gt;"Low"),"Unknown must be Low confidence",IF(AND(OR(K1567="Backend",K1567="SAP"),N1567=""),"Add HTTP status + endpoint",IF(AND(OR(K1567="Backend",K1567="SAP",K1567="Network"),P1567=""),"Add Correlation ID",IF(AND(I1567="Fail",T1567=""),"Write Root Cause / evidence gap",IF(AND(I1567="Fail",V1567=""),"Assign team","OK"))))))))</f>
        <v/>
      </c>
    </row>
    <row r="1568">
      <c r="A1568" s="5" t="n"/>
      <c r="B1568" s="5" t="n"/>
      <c r="C1568" s="5" t="n"/>
      <c r="D1568" s="5" t="n"/>
      <c r="E1568" s="5" t="n"/>
      <c r="F1568" s="5" t="n"/>
      <c r="G1568" s="5" t="n"/>
      <c r="H1568" s="5" t="n"/>
      <c r="I1568" s="5" t="n"/>
      <c r="J1568" s="5" t="n"/>
      <c r="K1568" s="5" t="n"/>
      <c r="L1568" s="5" t="n"/>
      <c r="M1568" s="5" t="n"/>
      <c r="N1568" s="5" t="n"/>
      <c r="O1568" s="5" t="n"/>
      <c r="P1568" s="5" t="n"/>
      <c r="Q1568" s="5" t="n"/>
      <c r="R1568" s="5" t="n"/>
      <c r="S1568" s="5" t="n"/>
      <c r="T1568" s="5" t="n"/>
      <c r="U1568" s="5" t="n"/>
      <c r="V1568" s="5" t="n"/>
      <c r="W1568" s="5" t="n"/>
      <c r="X1568" s="5" t="n"/>
      <c r="Y1568" s="5">
        <f>IF(I1568="","",IF(AND(I1568="Fail",K1568=""),"Classify Issue Source",IF(AND(I1568="Fail",W1568=""),"Set Confidence",IF(AND(K1568="Unknown",W1568&lt;&gt;"Low"),"Unknown must be Low confidence",IF(AND(OR(K1568="Backend",K1568="SAP"),N1568=""),"Add HTTP status + endpoint",IF(AND(OR(K1568="Backend",K1568="SAP",K1568="Network"),P1568=""),"Add Correlation ID",IF(AND(I1568="Fail",T1568=""),"Write Root Cause / evidence gap",IF(AND(I1568="Fail",V1568=""),"Assign team","OK"))))))))</f>
        <v/>
      </c>
    </row>
    <row r="1569">
      <c r="A1569" s="5" t="n"/>
      <c r="B1569" s="5" t="n"/>
      <c r="C1569" s="5" t="n"/>
      <c r="D1569" s="5" t="n"/>
      <c r="E1569" s="5" t="n"/>
      <c r="F1569" s="5" t="n"/>
      <c r="G1569" s="5" t="n"/>
      <c r="H1569" s="5" t="n"/>
      <c r="I1569" s="5" t="n"/>
      <c r="J1569" s="5" t="n"/>
      <c r="K1569" s="5" t="n"/>
      <c r="L1569" s="5" t="n"/>
      <c r="M1569" s="5" t="n"/>
      <c r="N1569" s="5" t="n"/>
      <c r="O1569" s="5" t="n"/>
      <c r="P1569" s="5" t="n"/>
      <c r="Q1569" s="5" t="n"/>
      <c r="R1569" s="5" t="n"/>
      <c r="S1569" s="5" t="n"/>
      <c r="T1569" s="5" t="n"/>
      <c r="U1569" s="5" t="n"/>
      <c r="V1569" s="5" t="n"/>
      <c r="W1569" s="5" t="n"/>
      <c r="X1569" s="5" t="n"/>
      <c r="Y1569" s="5">
        <f>IF(I1569="","",IF(AND(I1569="Fail",K1569=""),"Classify Issue Source",IF(AND(I1569="Fail",W1569=""),"Set Confidence",IF(AND(K1569="Unknown",W1569&lt;&gt;"Low"),"Unknown must be Low confidence",IF(AND(OR(K1569="Backend",K1569="SAP"),N1569=""),"Add HTTP status + endpoint",IF(AND(OR(K1569="Backend",K1569="SAP",K1569="Network"),P1569=""),"Add Correlation ID",IF(AND(I1569="Fail",T1569=""),"Write Root Cause / evidence gap",IF(AND(I1569="Fail",V1569=""),"Assign team","OK"))))))))</f>
        <v/>
      </c>
    </row>
    <row r="1570">
      <c r="A1570" s="5" t="n"/>
      <c r="B1570" s="5" t="n"/>
      <c r="C1570" s="5" t="n"/>
      <c r="D1570" s="5" t="n"/>
      <c r="E1570" s="5" t="n"/>
      <c r="F1570" s="5" t="n"/>
      <c r="G1570" s="5" t="n"/>
      <c r="H1570" s="5" t="n"/>
      <c r="I1570" s="5" t="n"/>
      <c r="J1570" s="5" t="n"/>
      <c r="K1570" s="5" t="n"/>
      <c r="L1570" s="5" t="n"/>
      <c r="M1570" s="5" t="n"/>
      <c r="N1570" s="5" t="n"/>
      <c r="O1570" s="5" t="n"/>
      <c r="P1570" s="5" t="n"/>
      <c r="Q1570" s="5" t="n"/>
      <c r="R1570" s="5" t="n"/>
      <c r="S1570" s="5" t="n"/>
      <c r="T1570" s="5" t="n"/>
      <c r="U1570" s="5" t="n"/>
      <c r="V1570" s="5" t="n"/>
      <c r="W1570" s="5" t="n"/>
      <c r="X1570" s="5" t="n"/>
      <c r="Y1570" s="5">
        <f>IF(I1570="","",IF(AND(I1570="Fail",K1570=""),"Classify Issue Source",IF(AND(I1570="Fail",W1570=""),"Set Confidence",IF(AND(K1570="Unknown",W1570&lt;&gt;"Low"),"Unknown must be Low confidence",IF(AND(OR(K1570="Backend",K1570="SAP"),N1570=""),"Add HTTP status + endpoint",IF(AND(OR(K1570="Backend",K1570="SAP",K1570="Network"),P1570=""),"Add Correlation ID",IF(AND(I1570="Fail",T1570=""),"Write Root Cause / evidence gap",IF(AND(I1570="Fail",V1570=""),"Assign team","OK"))))))))</f>
        <v/>
      </c>
    </row>
    <row r="1571">
      <c r="A1571" s="5" t="n"/>
      <c r="B1571" s="5" t="n"/>
      <c r="C1571" s="5" t="n"/>
      <c r="D1571" s="5" t="n"/>
      <c r="E1571" s="5" t="n"/>
      <c r="F1571" s="5" t="n"/>
      <c r="G1571" s="5" t="n"/>
      <c r="H1571" s="5" t="n"/>
      <c r="I1571" s="5" t="n"/>
      <c r="J1571" s="5" t="n"/>
      <c r="K1571" s="5" t="n"/>
      <c r="L1571" s="5" t="n"/>
      <c r="M1571" s="5" t="n"/>
      <c r="N1571" s="5" t="n"/>
      <c r="O1571" s="5" t="n"/>
      <c r="P1571" s="5" t="n"/>
      <c r="Q1571" s="5" t="n"/>
      <c r="R1571" s="5" t="n"/>
      <c r="S1571" s="5" t="n"/>
      <c r="T1571" s="5" t="n"/>
      <c r="U1571" s="5" t="n"/>
      <c r="V1571" s="5" t="n"/>
      <c r="W1571" s="5" t="n"/>
      <c r="X1571" s="5" t="n"/>
      <c r="Y1571" s="5">
        <f>IF(I1571="","",IF(AND(I1571="Fail",K1571=""),"Classify Issue Source",IF(AND(I1571="Fail",W1571=""),"Set Confidence",IF(AND(K1571="Unknown",W1571&lt;&gt;"Low"),"Unknown must be Low confidence",IF(AND(OR(K1571="Backend",K1571="SAP"),N1571=""),"Add HTTP status + endpoint",IF(AND(OR(K1571="Backend",K1571="SAP",K1571="Network"),P1571=""),"Add Correlation ID",IF(AND(I1571="Fail",T1571=""),"Write Root Cause / evidence gap",IF(AND(I1571="Fail",V1571=""),"Assign team","OK"))))))))</f>
        <v/>
      </c>
    </row>
    <row r="1572">
      <c r="A1572" s="5" t="n"/>
      <c r="B1572" s="5" t="n"/>
      <c r="C1572" s="5" t="n"/>
      <c r="D1572" s="5" t="n"/>
      <c r="E1572" s="5" t="n"/>
      <c r="F1572" s="5" t="n"/>
      <c r="G1572" s="5" t="n"/>
      <c r="H1572" s="5" t="n"/>
      <c r="I1572" s="5" t="n"/>
      <c r="J1572" s="5" t="n"/>
      <c r="K1572" s="5" t="n"/>
      <c r="L1572" s="5" t="n"/>
      <c r="M1572" s="5" t="n"/>
      <c r="N1572" s="5" t="n"/>
      <c r="O1572" s="5" t="n"/>
      <c r="P1572" s="5" t="n"/>
      <c r="Q1572" s="5" t="n"/>
      <c r="R1572" s="5" t="n"/>
      <c r="S1572" s="5" t="n"/>
      <c r="T1572" s="5" t="n"/>
      <c r="U1572" s="5" t="n"/>
      <c r="V1572" s="5" t="n"/>
      <c r="W1572" s="5" t="n"/>
      <c r="X1572" s="5" t="n"/>
      <c r="Y1572" s="5">
        <f>IF(I1572="","",IF(AND(I1572="Fail",K1572=""),"Classify Issue Source",IF(AND(I1572="Fail",W1572=""),"Set Confidence",IF(AND(K1572="Unknown",W1572&lt;&gt;"Low"),"Unknown must be Low confidence",IF(AND(OR(K1572="Backend",K1572="SAP"),N1572=""),"Add HTTP status + endpoint",IF(AND(OR(K1572="Backend",K1572="SAP",K1572="Network"),P1572=""),"Add Correlation ID",IF(AND(I1572="Fail",T1572=""),"Write Root Cause / evidence gap",IF(AND(I1572="Fail",V1572=""),"Assign team","OK"))))))))</f>
        <v/>
      </c>
    </row>
    <row r="1573">
      <c r="A1573" s="5" t="n"/>
      <c r="B1573" s="5" t="n"/>
      <c r="C1573" s="5" t="n"/>
      <c r="D1573" s="5" t="n"/>
      <c r="E1573" s="5" t="n"/>
      <c r="F1573" s="5" t="n"/>
      <c r="G1573" s="5" t="n"/>
      <c r="H1573" s="5" t="n"/>
      <c r="I1573" s="5" t="n"/>
      <c r="J1573" s="5" t="n"/>
      <c r="K1573" s="5" t="n"/>
      <c r="L1573" s="5" t="n"/>
      <c r="M1573" s="5" t="n"/>
      <c r="N1573" s="5" t="n"/>
      <c r="O1573" s="5" t="n"/>
      <c r="P1573" s="5" t="n"/>
      <c r="Q1573" s="5" t="n"/>
      <c r="R1573" s="5" t="n"/>
      <c r="S1573" s="5" t="n"/>
      <c r="T1573" s="5" t="n"/>
      <c r="U1573" s="5" t="n"/>
      <c r="V1573" s="5" t="n"/>
      <c r="W1573" s="5" t="n"/>
      <c r="X1573" s="5" t="n"/>
      <c r="Y1573" s="5">
        <f>IF(I1573="","",IF(AND(I1573="Fail",K1573=""),"Classify Issue Source",IF(AND(I1573="Fail",W1573=""),"Set Confidence",IF(AND(K1573="Unknown",W1573&lt;&gt;"Low"),"Unknown must be Low confidence",IF(AND(OR(K1573="Backend",K1573="SAP"),N1573=""),"Add HTTP status + endpoint",IF(AND(OR(K1573="Backend",K1573="SAP",K1573="Network"),P1573=""),"Add Correlation ID",IF(AND(I1573="Fail",T1573=""),"Write Root Cause / evidence gap",IF(AND(I1573="Fail",V1573=""),"Assign team","OK"))))))))</f>
        <v/>
      </c>
    </row>
    <row r="1574">
      <c r="A1574" s="5" t="n"/>
      <c r="B1574" s="5" t="n"/>
      <c r="C1574" s="5" t="n"/>
      <c r="D1574" s="5" t="n"/>
      <c r="E1574" s="5" t="n"/>
      <c r="F1574" s="5" t="n"/>
      <c r="G1574" s="5" t="n"/>
      <c r="H1574" s="5" t="n"/>
      <c r="I1574" s="5" t="n"/>
      <c r="J1574" s="5" t="n"/>
      <c r="K1574" s="5" t="n"/>
      <c r="L1574" s="5" t="n"/>
      <c r="M1574" s="5" t="n"/>
      <c r="N1574" s="5" t="n"/>
      <c r="O1574" s="5" t="n"/>
      <c r="P1574" s="5" t="n"/>
      <c r="Q1574" s="5" t="n"/>
      <c r="R1574" s="5" t="n"/>
      <c r="S1574" s="5" t="n"/>
      <c r="T1574" s="5" t="n"/>
      <c r="U1574" s="5" t="n"/>
      <c r="V1574" s="5" t="n"/>
      <c r="W1574" s="5" t="n"/>
      <c r="X1574" s="5" t="n"/>
      <c r="Y1574" s="5">
        <f>IF(I1574="","",IF(AND(I1574="Fail",K1574=""),"Classify Issue Source",IF(AND(I1574="Fail",W1574=""),"Set Confidence",IF(AND(K1574="Unknown",W1574&lt;&gt;"Low"),"Unknown must be Low confidence",IF(AND(OR(K1574="Backend",K1574="SAP"),N1574=""),"Add HTTP status + endpoint",IF(AND(OR(K1574="Backend",K1574="SAP",K1574="Network"),P1574=""),"Add Correlation ID",IF(AND(I1574="Fail",T1574=""),"Write Root Cause / evidence gap",IF(AND(I1574="Fail",V1574=""),"Assign team","OK"))))))))</f>
        <v/>
      </c>
    </row>
    <row r="1575">
      <c r="A1575" s="5" t="n"/>
      <c r="B1575" s="5" t="n"/>
      <c r="C1575" s="5" t="n"/>
      <c r="D1575" s="5" t="n"/>
      <c r="E1575" s="5" t="n"/>
      <c r="F1575" s="5" t="n"/>
      <c r="G1575" s="5" t="n"/>
      <c r="H1575" s="5" t="n"/>
      <c r="I1575" s="5" t="n"/>
      <c r="J1575" s="5" t="n"/>
      <c r="K1575" s="5" t="n"/>
      <c r="L1575" s="5" t="n"/>
      <c r="M1575" s="5" t="n"/>
      <c r="N1575" s="5" t="n"/>
      <c r="O1575" s="5" t="n"/>
      <c r="P1575" s="5" t="n"/>
      <c r="Q1575" s="5" t="n"/>
      <c r="R1575" s="5" t="n"/>
      <c r="S1575" s="5" t="n"/>
      <c r="T1575" s="5" t="n"/>
      <c r="U1575" s="5" t="n"/>
      <c r="V1575" s="5" t="n"/>
      <c r="W1575" s="5" t="n"/>
      <c r="X1575" s="5" t="n"/>
      <c r="Y1575" s="5">
        <f>IF(I1575="","",IF(AND(I1575="Fail",K1575=""),"Classify Issue Source",IF(AND(I1575="Fail",W1575=""),"Set Confidence",IF(AND(K1575="Unknown",W1575&lt;&gt;"Low"),"Unknown must be Low confidence",IF(AND(OR(K1575="Backend",K1575="SAP"),N1575=""),"Add HTTP status + endpoint",IF(AND(OR(K1575="Backend",K1575="SAP",K1575="Network"),P1575=""),"Add Correlation ID",IF(AND(I1575="Fail",T1575=""),"Write Root Cause / evidence gap",IF(AND(I1575="Fail",V1575=""),"Assign team","OK"))))))))</f>
        <v/>
      </c>
    </row>
    <row r="1576">
      <c r="A1576" s="5" t="n"/>
      <c r="B1576" s="5" t="n"/>
      <c r="C1576" s="5" t="n"/>
      <c r="D1576" s="5" t="n"/>
      <c r="E1576" s="5" t="n"/>
      <c r="F1576" s="5" t="n"/>
      <c r="G1576" s="5" t="n"/>
      <c r="H1576" s="5" t="n"/>
      <c r="I1576" s="5" t="n"/>
      <c r="J1576" s="5" t="n"/>
      <c r="K1576" s="5" t="n"/>
      <c r="L1576" s="5" t="n"/>
      <c r="M1576" s="5" t="n"/>
      <c r="N1576" s="5" t="n"/>
      <c r="O1576" s="5" t="n"/>
      <c r="P1576" s="5" t="n"/>
      <c r="Q1576" s="5" t="n"/>
      <c r="R1576" s="5" t="n"/>
      <c r="S1576" s="5" t="n"/>
      <c r="T1576" s="5" t="n"/>
      <c r="U1576" s="5" t="n"/>
      <c r="V1576" s="5" t="n"/>
      <c r="W1576" s="5" t="n"/>
      <c r="X1576" s="5" t="n"/>
      <c r="Y1576" s="5">
        <f>IF(I1576="","",IF(AND(I1576="Fail",K1576=""),"Classify Issue Source",IF(AND(I1576="Fail",W1576=""),"Set Confidence",IF(AND(K1576="Unknown",W1576&lt;&gt;"Low"),"Unknown must be Low confidence",IF(AND(OR(K1576="Backend",K1576="SAP"),N1576=""),"Add HTTP status + endpoint",IF(AND(OR(K1576="Backend",K1576="SAP",K1576="Network"),P1576=""),"Add Correlation ID",IF(AND(I1576="Fail",T1576=""),"Write Root Cause / evidence gap",IF(AND(I1576="Fail",V1576=""),"Assign team","OK"))))))))</f>
        <v/>
      </c>
    </row>
    <row r="1577">
      <c r="A1577" s="5" t="n"/>
      <c r="B1577" s="5" t="n"/>
      <c r="C1577" s="5" t="n"/>
      <c r="D1577" s="5" t="n"/>
      <c r="E1577" s="5" t="n"/>
      <c r="F1577" s="5" t="n"/>
      <c r="G1577" s="5" t="n"/>
      <c r="H1577" s="5" t="n"/>
      <c r="I1577" s="5" t="n"/>
      <c r="J1577" s="5" t="n"/>
      <c r="K1577" s="5" t="n"/>
      <c r="L1577" s="5" t="n"/>
      <c r="M1577" s="5" t="n"/>
      <c r="N1577" s="5" t="n"/>
      <c r="O1577" s="5" t="n"/>
      <c r="P1577" s="5" t="n"/>
      <c r="Q1577" s="5" t="n"/>
      <c r="R1577" s="5" t="n"/>
      <c r="S1577" s="5" t="n"/>
      <c r="T1577" s="5" t="n"/>
      <c r="U1577" s="5" t="n"/>
      <c r="V1577" s="5" t="n"/>
      <c r="W1577" s="5" t="n"/>
      <c r="X1577" s="5" t="n"/>
      <c r="Y1577" s="5">
        <f>IF(I1577="","",IF(AND(I1577="Fail",K1577=""),"Classify Issue Source",IF(AND(I1577="Fail",W1577=""),"Set Confidence",IF(AND(K1577="Unknown",W1577&lt;&gt;"Low"),"Unknown must be Low confidence",IF(AND(OR(K1577="Backend",K1577="SAP"),N1577=""),"Add HTTP status + endpoint",IF(AND(OR(K1577="Backend",K1577="SAP",K1577="Network"),P1577=""),"Add Correlation ID",IF(AND(I1577="Fail",T1577=""),"Write Root Cause / evidence gap",IF(AND(I1577="Fail",V1577=""),"Assign team","OK"))))))))</f>
        <v/>
      </c>
    </row>
    <row r="1578">
      <c r="A1578" s="5" t="n"/>
      <c r="B1578" s="5" t="n"/>
      <c r="C1578" s="5" t="n"/>
      <c r="D1578" s="5" t="n"/>
      <c r="E1578" s="5" t="n"/>
      <c r="F1578" s="5" t="n"/>
      <c r="G1578" s="5" t="n"/>
      <c r="H1578" s="5" t="n"/>
      <c r="I1578" s="5" t="n"/>
      <c r="J1578" s="5" t="n"/>
      <c r="K1578" s="5" t="n"/>
      <c r="L1578" s="5" t="n"/>
      <c r="M1578" s="5" t="n"/>
      <c r="N1578" s="5" t="n"/>
      <c r="O1578" s="5" t="n"/>
      <c r="P1578" s="5" t="n"/>
      <c r="Q1578" s="5" t="n"/>
      <c r="R1578" s="5" t="n"/>
      <c r="S1578" s="5" t="n"/>
      <c r="T1578" s="5" t="n"/>
      <c r="U1578" s="5" t="n"/>
      <c r="V1578" s="5" t="n"/>
      <c r="W1578" s="5" t="n"/>
      <c r="X1578" s="5" t="n"/>
      <c r="Y1578" s="5">
        <f>IF(I1578="","",IF(AND(I1578="Fail",K1578=""),"Classify Issue Source",IF(AND(I1578="Fail",W1578=""),"Set Confidence",IF(AND(K1578="Unknown",W1578&lt;&gt;"Low"),"Unknown must be Low confidence",IF(AND(OR(K1578="Backend",K1578="SAP"),N1578=""),"Add HTTP status + endpoint",IF(AND(OR(K1578="Backend",K1578="SAP",K1578="Network"),P1578=""),"Add Correlation ID",IF(AND(I1578="Fail",T1578=""),"Write Root Cause / evidence gap",IF(AND(I1578="Fail",V1578=""),"Assign team","OK"))))))))</f>
        <v/>
      </c>
    </row>
    <row r="1579">
      <c r="A1579" s="5" t="n"/>
      <c r="B1579" s="5" t="n"/>
      <c r="C1579" s="5" t="n"/>
      <c r="D1579" s="5" t="n"/>
      <c r="E1579" s="5" t="n"/>
      <c r="F1579" s="5" t="n"/>
      <c r="G1579" s="5" t="n"/>
      <c r="H1579" s="5" t="n"/>
      <c r="I1579" s="5" t="n"/>
      <c r="J1579" s="5" t="n"/>
      <c r="K1579" s="5" t="n"/>
      <c r="L1579" s="5" t="n"/>
      <c r="M1579" s="5" t="n"/>
      <c r="N1579" s="5" t="n"/>
      <c r="O1579" s="5" t="n"/>
      <c r="P1579" s="5" t="n"/>
      <c r="Q1579" s="5" t="n"/>
      <c r="R1579" s="5" t="n"/>
      <c r="S1579" s="5" t="n"/>
      <c r="T1579" s="5" t="n"/>
      <c r="U1579" s="5" t="n"/>
      <c r="V1579" s="5" t="n"/>
      <c r="W1579" s="5" t="n"/>
      <c r="X1579" s="5" t="n"/>
      <c r="Y1579" s="5">
        <f>IF(I1579="","",IF(AND(I1579="Fail",K1579=""),"Classify Issue Source",IF(AND(I1579="Fail",W1579=""),"Set Confidence",IF(AND(K1579="Unknown",W1579&lt;&gt;"Low"),"Unknown must be Low confidence",IF(AND(OR(K1579="Backend",K1579="SAP"),N1579=""),"Add HTTP status + endpoint",IF(AND(OR(K1579="Backend",K1579="SAP",K1579="Network"),P1579=""),"Add Correlation ID",IF(AND(I1579="Fail",T1579=""),"Write Root Cause / evidence gap",IF(AND(I1579="Fail",V1579=""),"Assign team","OK"))))))))</f>
        <v/>
      </c>
    </row>
    <row r="1580">
      <c r="A1580" s="5" t="n"/>
      <c r="B1580" s="5" t="n"/>
      <c r="C1580" s="5" t="n"/>
      <c r="D1580" s="5" t="n"/>
      <c r="E1580" s="5" t="n"/>
      <c r="F1580" s="5" t="n"/>
      <c r="G1580" s="5" t="n"/>
      <c r="H1580" s="5" t="n"/>
      <c r="I1580" s="5" t="n"/>
      <c r="J1580" s="5" t="n"/>
      <c r="K1580" s="5" t="n"/>
      <c r="L1580" s="5" t="n"/>
      <c r="M1580" s="5" t="n"/>
      <c r="N1580" s="5" t="n"/>
      <c r="O1580" s="5" t="n"/>
      <c r="P1580" s="5" t="n"/>
      <c r="Q1580" s="5" t="n"/>
      <c r="R1580" s="5" t="n"/>
      <c r="S1580" s="5" t="n"/>
      <c r="T1580" s="5" t="n"/>
      <c r="U1580" s="5" t="n"/>
      <c r="V1580" s="5" t="n"/>
      <c r="W1580" s="5" t="n"/>
      <c r="X1580" s="5" t="n"/>
      <c r="Y1580" s="5">
        <f>IF(I1580="","",IF(AND(I1580="Fail",K1580=""),"Classify Issue Source",IF(AND(I1580="Fail",W1580=""),"Set Confidence",IF(AND(K1580="Unknown",W1580&lt;&gt;"Low"),"Unknown must be Low confidence",IF(AND(OR(K1580="Backend",K1580="SAP"),N1580=""),"Add HTTP status + endpoint",IF(AND(OR(K1580="Backend",K1580="SAP",K1580="Network"),P1580=""),"Add Correlation ID",IF(AND(I1580="Fail",T1580=""),"Write Root Cause / evidence gap",IF(AND(I1580="Fail",V1580=""),"Assign team","OK"))))))))</f>
        <v/>
      </c>
    </row>
    <row r="1581">
      <c r="A1581" s="5" t="n"/>
      <c r="B1581" s="5" t="n"/>
      <c r="C1581" s="5" t="n"/>
      <c r="D1581" s="5" t="n"/>
      <c r="E1581" s="5" t="n"/>
      <c r="F1581" s="5" t="n"/>
      <c r="G1581" s="5" t="n"/>
      <c r="H1581" s="5" t="n"/>
      <c r="I1581" s="5" t="n"/>
      <c r="J1581" s="5" t="n"/>
      <c r="K1581" s="5" t="n"/>
      <c r="L1581" s="5" t="n"/>
      <c r="M1581" s="5" t="n"/>
      <c r="N1581" s="5" t="n"/>
      <c r="O1581" s="5" t="n"/>
      <c r="P1581" s="5" t="n"/>
      <c r="Q1581" s="5" t="n"/>
      <c r="R1581" s="5" t="n"/>
      <c r="S1581" s="5" t="n"/>
      <c r="T1581" s="5" t="n"/>
      <c r="U1581" s="5" t="n"/>
      <c r="V1581" s="5" t="n"/>
      <c r="W1581" s="5" t="n"/>
      <c r="X1581" s="5" t="n"/>
      <c r="Y1581" s="5">
        <f>IF(I1581="","",IF(AND(I1581="Fail",K1581=""),"Classify Issue Source",IF(AND(I1581="Fail",W1581=""),"Set Confidence",IF(AND(K1581="Unknown",W1581&lt;&gt;"Low"),"Unknown must be Low confidence",IF(AND(OR(K1581="Backend",K1581="SAP"),N1581=""),"Add HTTP status + endpoint",IF(AND(OR(K1581="Backend",K1581="SAP",K1581="Network"),P1581=""),"Add Correlation ID",IF(AND(I1581="Fail",T1581=""),"Write Root Cause / evidence gap",IF(AND(I1581="Fail",V1581=""),"Assign team","OK"))))))))</f>
        <v/>
      </c>
    </row>
    <row r="1582">
      <c r="A1582" s="5" t="n"/>
      <c r="B1582" s="5" t="n"/>
      <c r="C1582" s="5" t="n"/>
      <c r="D1582" s="5" t="n"/>
      <c r="E1582" s="5" t="n"/>
      <c r="F1582" s="5" t="n"/>
      <c r="G1582" s="5" t="n"/>
      <c r="H1582" s="5" t="n"/>
      <c r="I1582" s="5" t="n"/>
      <c r="J1582" s="5" t="n"/>
      <c r="K1582" s="5" t="n"/>
      <c r="L1582" s="5" t="n"/>
      <c r="M1582" s="5" t="n"/>
      <c r="N1582" s="5" t="n"/>
      <c r="O1582" s="5" t="n"/>
      <c r="P1582" s="5" t="n"/>
      <c r="Q1582" s="5" t="n"/>
      <c r="R1582" s="5" t="n"/>
      <c r="S1582" s="5" t="n"/>
      <c r="T1582" s="5" t="n"/>
      <c r="U1582" s="5" t="n"/>
      <c r="V1582" s="5" t="n"/>
      <c r="W1582" s="5" t="n"/>
      <c r="X1582" s="5" t="n"/>
      <c r="Y1582" s="5">
        <f>IF(I1582="","",IF(AND(I1582="Fail",K1582=""),"Classify Issue Source",IF(AND(I1582="Fail",W1582=""),"Set Confidence",IF(AND(K1582="Unknown",W1582&lt;&gt;"Low"),"Unknown must be Low confidence",IF(AND(OR(K1582="Backend",K1582="SAP"),N1582=""),"Add HTTP status + endpoint",IF(AND(OR(K1582="Backend",K1582="SAP",K1582="Network"),P1582=""),"Add Correlation ID",IF(AND(I1582="Fail",T1582=""),"Write Root Cause / evidence gap",IF(AND(I1582="Fail",V1582=""),"Assign team","OK"))))))))</f>
        <v/>
      </c>
    </row>
    <row r="1583">
      <c r="A1583" s="5" t="n"/>
      <c r="B1583" s="5" t="n"/>
      <c r="C1583" s="5" t="n"/>
      <c r="D1583" s="5" t="n"/>
      <c r="E1583" s="5" t="n"/>
      <c r="F1583" s="5" t="n"/>
      <c r="G1583" s="5" t="n"/>
      <c r="H1583" s="5" t="n"/>
      <c r="I1583" s="5" t="n"/>
      <c r="J1583" s="5" t="n"/>
      <c r="K1583" s="5" t="n"/>
      <c r="L1583" s="5" t="n"/>
      <c r="M1583" s="5" t="n"/>
      <c r="N1583" s="5" t="n"/>
      <c r="O1583" s="5" t="n"/>
      <c r="P1583" s="5" t="n"/>
      <c r="Q1583" s="5" t="n"/>
      <c r="R1583" s="5" t="n"/>
      <c r="S1583" s="5" t="n"/>
      <c r="T1583" s="5" t="n"/>
      <c r="U1583" s="5" t="n"/>
      <c r="V1583" s="5" t="n"/>
      <c r="W1583" s="5" t="n"/>
      <c r="X1583" s="5" t="n"/>
      <c r="Y1583" s="5">
        <f>IF(I1583="","",IF(AND(I1583="Fail",K1583=""),"Classify Issue Source",IF(AND(I1583="Fail",W1583=""),"Set Confidence",IF(AND(K1583="Unknown",W1583&lt;&gt;"Low"),"Unknown must be Low confidence",IF(AND(OR(K1583="Backend",K1583="SAP"),N1583=""),"Add HTTP status + endpoint",IF(AND(OR(K1583="Backend",K1583="SAP",K1583="Network"),P1583=""),"Add Correlation ID",IF(AND(I1583="Fail",T1583=""),"Write Root Cause / evidence gap",IF(AND(I1583="Fail",V1583=""),"Assign team","OK"))))))))</f>
        <v/>
      </c>
    </row>
    <row r="1584">
      <c r="A1584" s="5" t="n"/>
      <c r="B1584" s="5" t="n"/>
      <c r="C1584" s="5" t="n"/>
      <c r="D1584" s="5" t="n"/>
      <c r="E1584" s="5" t="n"/>
      <c r="F1584" s="5" t="n"/>
      <c r="G1584" s="5" t="n"/>
      <c r="H1584" s="5" t="n"/>
      <c r="I1584" s="5" t="n"/>
      <c r="J1584" s="5" t="n"/>
      <c r="K1584" s="5" t="n"/>
      <c r="L1584" s="5" t="n"/>
      <c r="M1584" s="5" t="n"/>
      <c r="N1584" s="5" t="n"/>
      <c r="O1584" s="5" t="n"/>
      <c r="P1584" s="5" t="n"/>
      <c r="Q1584" s="5" t="n"/>
      <c r="R1584" s="5" t="n"/>
      <c r="S1584" s="5" t="n"/>
      <c r="T1584" s="5" t="n"/>
      <c r="U1584" s="5" t="n"/>
      <c r="V1584" s="5" t="n"/>
      <c r="W1584" s="5" t="n"/>
      <c r="X1584" s="5" t="n"/>
      <c r="Y1584" s="5">
        <f>IF(I1584="","",IF(AND(I1584="Fail",K1584=""),"Classify Issue Source",IF(AND(I1584="Fail",W1584=""),"Set Confidence",IF(AND(K1584="Unknown",W1584&lt;&gt;"Low"),"Unknown must be Low confidence",IF(AND(OR(K1584="Backend",K1584="SAP"),N1584=""),"Add HTTP status + endpoint",IF(AND(OR(K1584="Backend",K1584="SAP",K1584="Network"),P1584=""),"Add Correlation ID",IF(AND(I1584="Fail",T1584=""),"Write Root Cause / evidence gap",IF(AND(I1584="Fail",V1584=""),"Assign team","OK"))))))))</f>
        <v/>
      </c>
    </row>
    <row r="1585">
      <c r="A1585" s="5" t="n"/>
      <c r="B1585" s="5" t="n"/>
      <c r="C1585" s="5" t="n"/>
      <c r="D1585" s="5" t="n"/>
      <c r="E1585" s="5" t="n"/>
      <c r="F1585" s="5" t="n"/>
      <c r="G1585" s="5" t="n"/>
      <c r="H1585" s="5" t="n"/>
      <c r="I1585" s="5" t="n"/>
      <c r="J1585" s="5" t="n"/>
      <c r="K1585" s="5" t="n"/>
      <c r="L1585" s="5" t="n"/>
      <c r="M1585" s="5" t="n"/>
      <c r="N1585" s="5" t="n"/>
      <c r="O1585" s="5" t="n"/>
      <c r="P1585" s="5" t="n"/>
      <c r="Q1585" s="5" t="n"/>
      <c r="R1585" s="5" t="n"/>
      <c r="S1585" s="5" t="n"/>
      <c r="T1585" s="5" t="n"/>
      <c r="U1585" s="5" t="n"/>
      <c r="V1585" s="5" t="n"/>
      <c r="W1585" s="5" t="n"/>
      <c r="X1585" s="5" t="n"/>
      <c r="Y1585" s="5">
        <f>IF(I1585="","",IF(AND(I1585="Fail",K1585=""),"Classify Issue Source",IF(AND(I1585="Fail",W1585=""),"Set Confidence",IF(AND(K1585="Unknown",W1585&lt;&gt;"Low"),"Unknown must be Low confidence",IF(AND(OR(K1585="Backend",K1585="SAP"),N1585=""),"Add HTTP status + endpoint",IF(AND(OR(K1585="Backend",K1585="SAP",K1585="Network"),P1585=""),"Add Correlation ID",IF(AND(I1585="Fail",T1585=""),"Write Root Cause / evidence gap",IF(AND(I1585="Fail",V1585=""),"Assign team","OK"))))))))</f>
        <v/>
      </c>
    </row>
    <row r="1586">
      <c r="A1586" s="5" t="n"/>
      <c r="B1586" s="5" t="n"/>
      <c r="C1586" s="5" t="n"/>
      <c r="D1586" s="5" t="n"/>
      <c r="E1586" s="5" t="n"/>
      <c r="F1586" s="5" t="n"/>
      <c r="G1586" s="5" t="n"/>
      <c r="H1586" s="5" t="n"/>
      <c r="I1586" s="5" t="n"/>
      <c r="J1586" s="5" t="n"/>
      <c r="K1586" s="5" t="n"/>
      <c r="L1586" s="5" t="n"/>
      <c r="M1586" s="5" t="n"/>
      <c r="N1586" s="5" t="n"/>
      <c r="O1586" s="5" t="n"/>
      <c r="P1586" s="5" t="n"/>
      <c r="Q1586" s="5" t="n"/>
      <c r="R1586" s="5" t="n"/>
      <c r="S1586" s="5" t="n"/>
      <c r="T1586" s="5" t="n"/>
      <c r="U1586" s="5" t="n"/>
      <c r="V1586" s="5" t="n"/>
      <c r="W1586" s="5" t="n"/>
      <c r="X1586" s="5" t="n"/>
      <c r="Y1586" s="5">
        <f>IF(I1586="","",IF(AND(I1586="Fail",K1586=""),"Classify Issue Source",IF(AND(I1586="Fail",W1586=""),"Set Confidence",IF(AND(K1586="Unknown",W1586&lt;&gt;"Low"),"Unknown must be Low confidence",IF(AND(OR(K1586="Backend",K1586="SAP"),N1586=""),"Add HTTP status + endpoint",IF(AND(OR(K1586="Backend",K1586="SAP",K1586="Network"),P1586=""),"Add Correlation ID",IF(AND(I1586="Fail",T1586=""),"Write Root Cause / evidence gap",IF(AND(I1586="Fail",V1586=""),"Assign team","OK"))))))))</f>
        <v/>
      </c>
    </row>
    <row r="1587">
      <c r="A1587" s="5" t="n"/>
      <c r="B1587" s="5" t="n"/>
      <c r="C1587" s="5" t="n"/>
      <c r="D1587" s="5" t="n"/>
      <c r="E1587" s="5" t="n"/>
      <c r="F1587" s="5" t="n"/>
      <c r="G1587" s="5" t="n"/>
      <c r="H1587" s="5" t="n"/>
      <c r="I1587" s="5" t="n"/>
      <c r="J1587" s="5" t="n"/>
      <c r="K1587" s="5" t="n"/>
      <c r="L1587" s="5" t="n"/>
      <c r="M1587" s="5" t="n"/>
      <c r="N1587" s="5" t="n"/>
      <c r="O1587" s="5" t="n"/>
      <c r="P1587" s="5" t="n"/>
      <c r="Q1587" s="5" t="n"/>
      <c r="R1587" s="5" t="n"/>
      <c r="S1587" s="5" t="n"/>
      <c r="T1587" s="5" t="n"/>
      <c r="U1587" s="5" t="n"/>
      <c r="V1587" s="5" t="n"/>
      <c r="W1587" s="5" t="n"/>
      <c r="X1587" s="5" t="n"/>
      <c r="Y1587" s="5">
        <f>IF(I1587="","",IF(AND(I1587="Fail",K1587=""),"Classify Issue Source",IF(AND(I1587="Fail",W1587=""),"Set Confidence",IF(AND(K1587="Unknown",W1587&lt;&gt;"Low"),"Unknown must be Low confidence",IF(AND(OR(K1587="Backend",K1587="SAP"),N1587=""),"Add HTTP status + endpoint",IF(AND(OR(K1587="Backend",K1587="SAP",K1587="Network"),P1587=""),"Add Correlation ID",IF(AND(I1587="Fail",T1587=""),"Write Root Cause / evidence gap",IF(AND(I1587="Fail",V1587=""),"Assign team","OK"))))))))</f>
        <v/>
      </c>
    </row>
    <row r="1588">
      <c r="A1588" s="5" t="n"/>
      <c r="B1588" s="5" t="n"/>
      <c r="C1588" s="5" t="n"/>
      <c r="D1588" s="5" t="n"/>
      <c r="E1588" s="5" t="n"/>
      <c r="F1588" s="5" t="n"/>
      <c r="G1588" s="5" t="n"/>
      <c r="H1588" s="5" t="n"/>
      <c r="I1588" s="5" t="n"/>
      <c r="J1588" s="5" t="n"/>
      <c r="K1588" s="5" t="n"/>
      <c r="L1588" s="5" t="n"/>
      <c r="M1588" s="5" t="n"/>
      <c r="N1588" s="5" t="n"/>
      <c r="O1588" s="5" t="n"/>
      <c r="P1588" s="5" t="n"/>
      <c r="Q1588" s="5" t="n"/>
      <c r="R1588" s="5" t="n"/>
      <c r="S1588" s="5" t="n"/>
      <c r="T1588" s="5" t="n"/>
      <c r="U1588" s="5" t="n"/>
      <c r="V1588" s="5" t="n"/>
      <c r="W1588" s="5" t="n"/>
      <c r="X1588" s="5" t="n"/>
      <c r="Y1588" s="5">
        <f>IF(I1588="","",IF(AND(I1588="Fail",K1588=""),"Classify Issue Source",IF(AND(I1588="Fail",W1588=""),"Set Confidence",IF(AND(K1588="Unknown",W1588&lt;&gt;"Low"),"Unknown must be Low confidence",IF(AND(OR(K1588="Backend",K1588="SAP"),N1588=""),"Add HTTP status + endpoint",IF(AND(OR(K1588="Backend",K1588="SAP",K1588="Network"),P1588=""),"Add Correlation ID",IF(AND(I1588="Fail",T1588=""),"Write Root Cause / evidence gap",IF(AND(I1588="Fail",V1588=""),"Assign team","OK"))))))))</f>
        <v/>
      </c>
    </row>
    <row r="1589">
      <c r="A1589" s="5" t="n"/>
      <c r="B1589" s="5" t="n"/>
      <c r="C1589" s="5" t="n"/>
      <c r="D1589" s="5" t="n"/>
      <c r="E1589" s="5" t="n"/>
      <c r="F1589" s="5" t="n"/>
      <c r="G1589" s="5" t="n"/>
      <c r="H1589" s="5" t="n"/>
      <c r="I1589" s="5" t="n"/>
      <c r="J1589" s="5" t="n"/>
      <c r="K1589" s="5" t="n"/>
      <c r="L1589" s="5" t="n"/>
      <c r="M1589" s="5" t="n"/>
      <c r="N1589" s="5" t="n"/>
      <c r="O1589" s="5" t="n"/>
      <c r="P1589" s="5" t="n"/>
      <c r="Q1589" s="5" t="n"/>
      <c r="R1589" s="5" t="n"/>
      <c r="S1589" s="5" t="n"/>
      <c r="T1589" s="5" t="n"/>
      <c r="U1589" s="5" t="n"/>
      <c r="V1589" s="5" t="n"/>
      <c r="W1589" s="5" t="n"/>
      <c r="X1589" s="5" t="n"/>
      <c r="Y1589" s="5">
        <f>IF(I1589="","",IF(AND(I1589="Fail",K1589=""),"Classify Issue Source",IF(AND(I1589="Fail",W1589=""),"Set Confidence",IF(AND(K1589="Unknown",W1589&lt;&gt;"Low"),"Unknown must be Low confidence",IF(AND(OR(K1589="Backend",K1589="SAP"),N1589=""),"Add HTTP status + endpoint",IF(AND(OR(K1589="Backend",K1589="SAP",K1589="Network"),P1589=""),"Add Correlation ID",IF(AND(I1589="Fail",T1589=""),"Write Root Cause / evidence gap",IF(AND(I1589="Fail",V1589=""),"Assign team","OK"))))))))</f>
        <v/>
      </c>
    </row>
    <row r="1590">
      <c r="A1590" s="5" t="n"/>
      <c r="B1590" s="5" t="n"/>
      <c r="C1590" s="5" t="n"/>
      <c r="D1590" s="5" t="n"/>
      <c r="E1590" s="5" t="n"/>
      <c r="F1590" s="5" t="n"/>
      <c r="G1590" s="5" t="n"/>
      <c r="H1590" s="5" t="n"/>
      <c r="I1590" s="5" t="n"/>
      <c r="J1590" s="5" t="n"/>
      <c r="K1590" s="5" t="n"/>
      <c r="L1590" s="5" t="n"/>
      <c r="M1590" s="5" t="n"/>
      <c r="N1590" s="5" t="n"/>
      <c r="O1590" s="5" t="n"/>
      <c r="P1590" s="5" t="n"/>
      <c r="Q1590" s="5" t="n"/>
      <c r="R1590" s="5" t="n"/>
      <c r="S1590" s="5" t="n"/>
      <c r="T1590" s="5" t="n"/>
      <c r="U1590" s="5" t="n"/>
      <c r="V1590" s="5" t="n"/>
      <c r="W1590" s="5" t="n"/>
      <c r="X1590" s="5" t="n"/>
      <c r="Y1590" s="5">
        <f>IF(I1590="","",IF(AND(I1590="Fail",K1590=""),"Classify Issue Source",IF(AND(I1590="Fail",W1590=""),"Set Confidence",IF(AND(K1590="Unknown",W1590&lt;&gt;"Low"),"Unknown must be Low confidence",IF(AND(OR(K1590="Backend",K1590="SAP"),N1590=""),"Add HTTP status + endpoint",IF(AND(OR(K1590="Backend",K1590="SAP",K1590="Network"),P1590=""),"Add Correlation ID",IF(AND(I1590="Fail",T1590=""),"Write Root Cause / evidence gap",IF(AND(I1590="Fail",V1590=""),"Assign team","OK"))))))))</f>
        <v/>
      </c>
    </row>
    <row r="1591">
      <c r="A1591" s="5" t="n"/>
      <c r="B1591" s="5" t="n"/>
      <c r="C1591" s="5" t="n"/>
      <c r="D1591" s="5" t="n"/>
      <c r="E1591" s="5" t="n"/>
      <c r="F1591" s="5" t="n"/>
      <c r="G1591" s="5" t="n"/>
      <c r="H1591" s="5" t="n"/>
      <c r="I1591" s="5" t="n"/>
      <c r="J1591" s="5" t="n"/>
      <c r="K1591" s="5" t="n"/>
      <c r="L1591" s="5" t="n"/>
      <c r="M1591" s="5" t="n"/>
      <c r="N1591" s="5" t="n"/>
      <c r="O1591" s="5" t="n"/>
      <c r="P1591" s="5" t="n"/>
      <c r="Q1591" s="5" t="n"/>
      <c r="R1591" s="5" t="n"/>
      <c r="S1591" s="5" t="n"/>
      <c r="T1591" s="5" t="n"/>
      <c r="U1591" s="5" t="n"/>
      <c r="V1591" s="5" t="n"/>
      <c r="W1591" s="5" t="n"/>
      <c r="X1591" s="5" t="n"/>
      <c r="Y1591" s="5">
        <f>IF(I1591="","",IF(AND(I1591="Fail",K1591=""),"Classify Issue Source",IF(AND(I1591="Fail",W1591=""),"Set Confidence",IF(AND(K1591="Unknown",W1591&lt;&gt;"Low"),"Unknown must be Low confidence",IF(AND(OR(K1591="Backend",K1591="SAP"),N1591=""),"Add HTTP status + endpoint",IF(AND(OR(K1591="Backend",K1591="SAP",K1591="Network"),P1591=""),"Add Correlation ID",IF(AND(I1591="Fail",T1591=""),"Write Root Cause / evidence gap",IF(AND(I1591="Fail",V1591=""),"Assign team","OK"))))))))</f>
        <v/>
      </c>
    </row>
    <row r="1592">
      <c r="A1592" s="5" t="n"/>
      <c r="B1592" s="5" t="n"/>
      <c r="C1592" s="5" t="n"/>
      <c r="D1592" s="5" t="n"/>
      <c r="E1592" s="5" t="n"/>
      <c r="F1592" s="5" t="n"/>
      <c r="G1592" s="5" t="n"/>
      <c r="H1592" s="5" t="n"/>
      <c r="I1592" s="5" t="n"/>
      <c r="J1592" s="5" t="n"/>
      <c r="K1592" s="5" t="n"/>
      <c r="L1592" s="5" t="n"/>
      <c r="M1592" s="5" t="n"/>
      <c r="N1592" s="5" t="n"/>
      <c r="O1592" s="5" t="n"/>
      <c r="P1592" s="5" t="n"/>
      <c r="Q1592" s="5" t="n"/>
      <c r="R1592" s="5" t="n"/>
      <c r="S1592" s="5" t="n"/>
      <c r="T1592" s="5" t="n"/>
      <c r="U1592" s="5" t="n"/>
      <c r="V1592" s="5" t="n"/>
      <c r="W1592" s="5" t="n"/>
      <c r="X1592" s="5" t="n"/>
      <c r="Y1592" s="5">
        <f>IF(I1592="","",IF(AND(I1592="Fail",K1592=""),"Classify Issue Source",IF(AND(I1592="Fail",W1592=""),"Set Confidence",IF(AND(K1592="Unknown",W1592&lt;&gt;"Low"),"Unknown must be Low confidence",IF(AND(OR(K1592="Backend",K1592="SAP"),N1592=""),"Add HTTP status + endpoint",IF(AND(OR(K1592="Backend",K1592="SAP",K1592="Network"),P1592=""),"Add Correlation ID",IF(AND(I1592="Fail",T1592=""),"Write Root Cause / evidence gap",IF(AND(I1592="Fail",V1592=""),"Assign team","OK"))))))))</f>
        <v/>
      </c>
    </row>
    <row r="1593">
      <c r="A1593" s="5" t="n"/>
      <c r="B1593" s="5" t="n"/>
      <c r="C1593" s="5" t="n"/>
      <c r="D1593" s="5" t="n"/>
      <c r="E1593" s="5" t="n"/>
      <c r="F1593" s="5" t="n"/>
      <c r="G1593" s="5" t="n"/>
      <c r="H1593" s="5" t="n"/>
      <c r="I1593" s="5" t="n"/>
      <c r="J1593" s="5" t="n"/>
      <c r="K1593" s="5" t="n"/>
      <c r="L1593" s="5" t="n"/>
      <c r="M1593" s="5" t="n"/>
      <c r="N1593" s="5" t="n"/>
      <c r="O1593" s="5" t="n"/>
      <c r="P1593" s="5" t="n"/>
      <c r="Q1593" s="5" t="n"/>
      <c r="R1593" s="5" t="n"/>
      <c r="S1593" s="5" t="n"/>
      <c r="T1593" s="5" t="n"/>
      <c r="U1593" s="5" t="n"/>
      <c r="V1593" s="5" t="n"/>
      <c r="W1593" s="5" t="n"/>
      <c r="X1593" s="5" t="n"/>
      <c r="Y1593" s="5">
        <f>IF(I1593="","",IF(AND(I1593="Fail",K1593=""),"Classify Issue Source",IF(AND(I1593="Fail",W1593=""),"Set Confidence",IF(AND(K1593="Unknown",W1593&lt;&gt;"Low"),"Unknown must be Low confidence",IF(AND(OR(K1593="Backend",K1593="SAP"),N1593=""),"Add HTTP status + endpoint",IF(AND(OR(K1593="Backend",K1593="SAP",K1593="Network"),P1593=""),"Add Correlation ID",IF(AND(I1593="Fail",T1593=""),"Write Root Cause / evidence gap",IF(AND(I1593="Fail",V1593=""),"Assign team","OK"))))))))</f>
        <v/>
      </c>
    </row>
    <row r="1594">
      <c r="A1594" s="5" t="n"/>
      <c r="B1594" s="5" t="n"/>
      <c r="C1594" s="5" t="n"/>
      <c r="D1594" s="5" t="n"/>
      <c r="E1594" s="5" t="n"/>
      <c r="F1594" s="5" t="n"/>
      <c r="G1594" s="5" t="n"/>
      <c r="H1594" s="5" t="n"/>
      <c r="I1594" s="5" t="n"/>
      <c r="J1594" s="5" t="n"/>
      <c r="K1594" s="5" t="n"/>
      <c r="L1594" s="5" t="n"/>
      <c r="M1594" s="5" t="n"/>
      <c r="N1594" s="5" t="n"/>
      <c r="O1594" s="5" t="n"/>
      <c r="P1594" s="5" t="n"/>
      <c r="Q1594" s="5" t="n"/>
      <c r="R1594" s="5" t="n"/>
      <c r="S1594" s="5" t="n"/>
      <c r="T1594" s="5" t="n"/>
      <c r="U1594" s="5" t="n"/>
      <c r="V1594" s="5" t="n"/>
      <c r="W1594" s="5" t="n"/>
      <c r="X1594" s="5" t="n"/>
      <c r="Y1594" s="5">
        <f>IF(I1594="","",IF(AND(I1594="Fail",K1594=""),"Classify Issue Source",IF(AND(I1594="Fail",W1594=""),"Set Confidence",IF(AND(K1594="Unknown",W1594&lt;&gt;"Low"),"Unknown must be Low confidence",IF(AND(OR(K1594="Backend",K1594="SAP"),N1594=""),"Add HTTP status + endpoint",IF(AND(OR(K1594="Backend",K1594="SAP",K1594="Network"),P1594=""),"Add Correlation ID",IF(AND(I1594="Fail",T1594=""),"Write Root Cause / evidence gap",IF(AND(I1594="Fail",V1594=""),"Assign team","OK"))))))))</f>
        <v/>
      </c>
    </row>
    <row r="1595">
      <c r="A1595" s="5" t="n"/>
      <c r="B1595" s="5" t="n"/>
      <c r="C1595" s="5" t="n"/>
      <c r="D1595" s="5" t="n"/>
      <c r="E1595" s="5" t="n"/>
      <c r="F1595" s="5" t="n"/>
      <c r="G1595" s="5" t="n"/>
      <c r="H1595" s="5" t="n"/>
      <c r="I1595" s="5" t="n"/>
      <c r="J1595" s="5" t="n"/>
      <c r="K1595" s="5" t="n"/>
      <c r="L1595" s="5" t="n"/>
      <c r="M1595" s="5" t="n"/>
      <c r="N1595" s="5" t="n"/>
      <c r="O1595" s="5" t="n"/>
      <c r="P1595" s="5" t="n"/>
      <c r="Q1595" s="5" t="n"/>
      <c r="R1595" s="5" t="n"/>
      <c r="S1595" s="5" t="n"/>
      <c r="T1595" s="5" t="n"/>
      <c r="U1595" s="5" t="n"/>
      <c r="V1595" s="5" t="n"/>
      <c r="W1595" s="5" t="n"/>
      <c r="X1595" s="5" t="n"/>
      <c r="Y1595" s="5">
        <f>IF(I1595="","",IF(AND(I1595="Fail",K1595=""),"Classify Issue Source",IF(AND(I1595="Fail",W1595=""),"Set Confidence",IF(AND(K1595="Unknown",W1595&lt;&gt;"Low"),"Unknown must be Low confidence",IF(AND(OR(K1595="Backend",K1595="SAP"),N1595=""),"Add HTTP status + endpoint",IF(AND(OR(K1595="Backend",K1595="SAP",K1595="Network"),P1595=""),"Add Correlation ID",IF(AND(I1595="Fail",T1595=""),"Write Root Cause / evidence gap",IF(AND(I1595="Fail",V1595=""),"Assign team","OK"))))))))</f>
        <v/>
      </c>
    </row>
    <row r="1596">
      <c r="A1596" s="5" t="n"/>
      <c r="B1596" s="5" t="n"/>
      <c r="C1596" s="5" t="n"/>
      <c r="D1596" s="5" t="n"/>
      <c r="E1596" s="5" t="n"/>
      <c r="F1596" s="5" t="n"/>
      <c r="G1596" s="5" t="n"/>
      <c r="H1596" s="5" t="n"/>
      <c r="I1596" s="5" t="n"/>
      <c r="J1596" s="5" t="n"/>
      <c r="K1596" s="5" t="n"/>
      <c r="L1596" s="5" t="n"/>
      <c r="M1596" s="5" t="n"/>
      <c r="N1596" s="5" t="n"/>
      <c r="O1596" s="5" t="n"/>
      <c r="P1596" s="5" t="n"/>
      <c r="Q1596" s="5" t="n"/>
      <c r="R1596" s="5" t="n"/>
      <c r="S1596" s="5" t="n"/>
      <c r="T1596" s="5" t="n"/>
      <c r="U1596" s="5" t="n"/>
      <c r="V1596" s="5" t="n"/>
      <c r="W1596" s="5" t="n"/>
      <c r="X1596" s="5" t="n"/>
      <c r="Y1596" s="5">
        <f>IF(I1596="","",IF(AND(I1596="Fail",K1596=""),"Classify Issue Source",IF(AND(I1596="Fail",W1596=""),"Set Confidence",IF(AND(K1596="Unknown",W1596&lt;&gt;"Low"),"Unknown must be Low confidence",IF(AND(OR(K1596="Backend",K1596="SAP"),N1596=""),"Add HTTP status + endpoint",IF(AND(OR(K1596="Backend",K1596="SAP",K1596="Network"),P1596=""),"Add Correlation ID",IF(AND(I1596="Fail",T1596=""),"Write Root Cause / evidence gap",IF(AND(I1596="Fail",V1596=""),"Assign team","OK"))))))))</f>
        <v/>
      </c>
    </row>
    <row r="1597">
      <c r="A1597" s="5" t="n"/>
      <c r="B1597" s="5" t="n"/>
      <c r="C1597" s="5" t="n"/>
      <c r="D1597" s="5" t="n"/>
      <c r="E1597" s="5" t="n"/>
      <c r="F1597" s="5" t="n"/>
      <c r="G1597" s="5" t="n"/>
      <c r="H1597" s="5" t="n"/>
      <c r="I1597" s="5" t="n"/>
      <c r="J1597" s="5" t="n"/>
      <c r="K1597" s="5" t="n"/>
      <c r="L1597" s="5" t="n"/>
      <c r="M1597" s="5" t="n"/>
      <c r="N1597" s="5" t="n"/>
      <c r="O1597" s="5" t="n"/>
      <c r="P1597" s="5" t="n"/>
      <c r="Q1597" s="5" t="n"/>
      <c r="R1597" s="5" t="n"/>
      <c r="S1597" s="5" t="n"/>
      <c r="T1597" s="5" t="n"/>
      <c r="U1597" s="5" t="n"/>
      <c r="V1597" s="5" t="n"/>
      <c r="W1597" s="5" t="n"/>
      <c r="X1597" s="5" t="n"/>
      <c r="Y1597" s="5">
        <f>IF(I1597="","",IF(AND(I1597="Fail",K1597=""),"Classify Issue Source",IF(AND(I1597="Fail",W1597=""),"Set Confidence",IF(AND(K1597="Unknown",W1597&lt;&gt;"Low"),"Unknown must be Low confidence",IF(AND(OR(K1597="Backend",K1597="SAP"),N1597=""),"Add HTTP status + endpoint",IF(AND(OR(K1597="Backend",K1597="SAP",K1597="Network"),P1597=""),"Add Correlation ID",IF(AND(I1597="Fail",T1597=""),"Write Root Cause / evidence gap",IF(AND(I1597="Fail",V1597=""),"Assign team","OK"))))))))</f>
        <v/>
      </c>
    </row>
    <row r="1598">
      <c r="A1598" s="5" t="n"/>
      <c r="B1598" s="5" t="n"/>
      <c r="C1598" s="5" t="n"/>
      <c r="D1598" s="5" t="n"/>
      <c r="E1598" s="5" t="n"/>
      <c r="F1598" s="5" t="n"/>
      <c r="G1598" s="5" t="n"/>
      <c r="H1598" s="5" t="n"/>
      <c r="I1598" s="5" t="n"/>
      <c r="J1598" s="5" t="n"/>
      <c r="K1598" s="5" t="n"/>
      <c r="L1598" s="5" t="n"/>
      <c r="M1598" s="5" t="n"/>
      <c r="N1598" s="5" t="n"/>
      <c r="O1598" s="5" t="n"/>
      <c r="P1598" s="5" t="n"/>
      <c r="Q1598" s="5" t="n"/>
      <c r="R1598" s="5" t="n"/>
      <c r="S1598" s="5" t="n"/>
      <c r="T1598" s="5" t="n"/>
      <c r="U1598" s="5" t="n"/>
      <c r="V1598" s="5" t="n"/>
      <c r="W1598" s="5" t="n"/>
      <c r="X1598" s="5" t="n"/>
      <c r="Y1598" s="5">
        <f>IF(I1598="","",IF(AND(I1598="Fail",K1598=""),"Classify Issue Source",IF(AND(I1598="Fail",W1598=""),"Set Confidence",IF(AND(K1598="Unknown",W1598&lt;&gt;"Low"),"Unknown must be Low confidence",IF(AND(OR(K1598="Backend",K1598="SAP"),N1598=""),"Add HTTP status + endpoint",IF(AND(OR(K1598="Backend",K1598="SAP",K1598="Network"),P1598=""),"Add Correlation ID",IF(AND(I1598="Fail",T1598=""),"Write Root Cause / evidence gap",IF(AND(I1598="Fail",V1598=""),"Assign team","OK"))))))))</f>
        <v/>
      </c>
    </row>
    <row r="1599">
      <c r="A1599" s="5" t="n"/>
      <c r="B1599" s="5" t="n"/>
      <c r="C1599" s="5" t="n"/>
      <c r="D1599" s="5" t="n"/>
      <c r="E1599" s="5" t="n"/>
      <c r="F1599" s="5" t="n"/>
      <c r="G1599" s="5" t="n"/>
      <c r="H1599" s="5" t="n"/>
      <c r="I1599" s="5" t="n"/>
      <c r="J1599" s="5" t="n"/>
      <c r="K1599" s="5" t="n"/>
      <c r="L1599" s="5" t="n"/>
      <c r="M1599" s="5" t="n"/>
      <c r="N1599" s="5" t="n"/>
      <c r="O1599" s="5" t="n"/>
      <c r="P1599" s="5" t="n"/>
      <c r="Q1599" s="5" t="n"/>
      <c r="R1599" s="5" t="n"/>
      <c r="S1599" s="5" t="n"/>
      <c r="T1599" s="5" t="n"/>
      <c r="U1599" s="5" t="n"/>
      <c r="V1599" s="5" t="n"/>
      <c r="W1599" s="5" t="n"/>
      <c r="X1599" s="5" t="n"/>
      <c r="Y1599" s="5">
        <f>IF(I1599="","",IF(AND(I1599="Fail",K1599=""),"Classify Issue Source",IF(AND(I1599="Fail",W1599=""),"Set Confidence",IF(AND(K1599="Unknown",W1599&lt;&gt;"Low"),"Unknown must be Low confidence",IF(AND(OR(K1599="Backend",K1599="SAP"),N1599=""),"Add HTTP status + endpoint",IF(AND(OR(K1599="Backend",K1599="SAP",K1599="Network"),P1599=""),"Add Correlation ID",IF(AND(I1599="Fail",T1599=""),"Write Root Cause / evidence gap",IF(AND(I1599="Fail",V1599=""),"Assign team","OK"))))))))</f>
        <v/>
      </c>
    </row>
    <row r="1600">
      <c r="A1600" s="5" t="n"/>
      <c r="B1600" s="5" t="n"/>
      <c r="C1600" s="5" t="n"/>
      <c r="D1600" s="5" t="n"/>
      <c r="E1600" s="5" t="n"/>
      <c r="F1600" s="5" t="n"/>
      <c r="G1600" s="5" t="n"/>
      <c r="H1600" s="5" t="n"/>
      <c r="I1600" s="5" t="n"/>
      <c r="J1600" s="5" t="n"/>
      <c r="K1600" s="5" t="n"/>
      <c r="L1600" s="5" t="n"/>
      <c r="M1600" s="5" t="n"/>
      <c r="N1600" s="5" t="n"/>
      <c r="O1600" s="5" t="n"/>
      <c r="P1600" s="5" t="n"/>
      <c r="Q1600" s="5" t="n"/>
      <c r="R1600" s="5" t="n"/>
      <c r="S1600" s="5" t="n"/>
      <c r="T1600" s="5" t="n"/>
      <c r="U1600" s="5" t="n"/>
      <c r="V1600" s="5" t="n"/>
      <c r="W1600" s="5" t="n"/>
      <c r="X1600" s="5" t="n"/>
      <c r="Y1600" s="5">
        <f>IF(I1600="","",IF(AND(I1600="Fail",K1600=""),"Classify Issue Source",IF(AND(I1600="Fail",W1600=""),"Set Confidence",IF(AND(K1600="Unknown",W1600&lt;&gt;"Low"),"Unknown must be Low confidence",IF(AND(OR(K1600="Backend",K1600="SAP"),N1600=""),"Add HTTP status + endpoint",IF(AND(OR(K1600="Backend",K1600="SAP",K1600="Network"),P1600=""),"Add Correlation ID",IF(AND(I1600="Fail",T1600=""),"Write Root Cause / evidence gap",IF(AND(I1600="Fail",V1600=""),"Assign team","OK"))))))))</f>
        <v/>
      </c>
    </row>
    <row r="1601">
      <c r="A1601" s="5" t="n"/>
      <c r="B1601" s="5" t="n"/>
      <c r="C1601" s="5" t="n"/>
      <c r="D1601" s="5" t="n"/>
      <c r="E1601" s="5" t="n"/>
      <c r="F1601" s="5" t="n"/>
      <c r="G1601" s="5" t="n"/>
      <c r="H1601" s="5" t="n"/>
      <c r="I1601" s="5" t="n"/>
      <c r="J1601" s="5" t="n"/>
      <c r="K1601" s="5" t="n"/>
      <c r="L1601" s="5" t="n"/>
      <c r="M1601" s="5" t="n"/>
      <c r="N1601" s="5" t="n"/>
      <c r="O1601" s="5" t="n"/>
      <c r="P1601" s="5" t="n"/>
      <c r="Q1601" s="5" t="n"/>
      <c r="R1601" s="5" t="n"/>
      <c r="S1601" s="5" t="n"/>
      <c r="T1601" s="5" t="n"/>
      <c r="U1601" s="5" t="n"/>
      <c r="V1601" s="5" t="n"/>
      <c r="W1601" s="5" t="n"/>
      <c r="X1601" s="5" t="n"/>
      <c r="Y1601" s="5">
        <f>IF(I1601="","",IF(AND(I1601="Fail",K1601=""),"Classify Issue Source",IF(AND(I1601="Fail",W1601=""),"Set Confidence",IF(AND(K1601="Unknown",W1601&lt;&gt;"Low"),"Unknown must be Low confidence",IF(AND(OR(K1601="Backend",K1601="SAP"),N1601=""),"Add HTTP status + endpoint",IF(AND(OR(K1601="Backend",K1601="SAP",K1601="Network"),P1601=""),"Add Correlation ID",IF(AND(I1601="Fail",T1601=""),"Write Root Cause / evidence gap",IF(AND(I1601="Fail",V1601=""),"Assign team","OK"))))))))</f>
        <v/>
      </c>
    </row>
    <row r="1602">
      <c r="A1602" s="5" t="n"/>
      <c r="B1602" s="5" t="n"/>
      <c r="C1602" s="5" t="n"/>
      <c r="D1602" s="5" t="n"/>
      <c r="E1602" s="5" t="n"/>
      <c r="F1602" s="5" t="n"/>
      <c r="G1602" s="5" t="n"/>
      <c r="H1602" s="5" t="n"/>
      <c r="I1602" s="5" t="n"/>
      <c r="J1602" s="5" t="n"/>
      <c r="K1602" s="5" t="n"/>
      <c r="L1602" s="5" t="n"/>
      <c r="M1602" s="5" t="n"/>
      <c r="N1602" s="5" t="n"/>
      <c r="O1602" s="5" t="n"/>
      <c r="P1602" s="5" t="n"/>
      <c r="Q1602" s="5" t="n"/>
      <c r="R1602" s="5" t="n"/>
      <c r="S1602" s="5" t="n"/>
      <c r="T1602" s="5" t="n"/>
      <c r="U1602" s="5" t="n"/>
      <c r="V1602" s="5" t="n"/>
      <c r="W1602" s="5" t="n"/>
      <c r="X1602" s="5" t="n"/>
      <c r="Y1602" s="5">
        <f>IF(I1602="","",IF(AND(I1602="Fail",K1602=""),"Classify Issue Source",IF(AND(I1602="Fail",W1602=""),"Set Confidence",IF(AND(K1602="Unknown",W1602&lt;&gt;"Low"),"Unknown must be Low confidence",IF(AND(OR(K1602="Backend",K1602="SAP"),N1602=""),"Add HTTP status + endpoint",IF(AND(OR(K1602="Backend",K1602="SAP",K1602="Network"),P1602=""),"Add Correlation ID",IF(AND(I1602="Fail",T1602=""),"Write Root Cause / evidence gap",IF(AND(I1602="Fail",V1602=""),"Assign team","OK"))))))))</f>
        <v/>
      </c>
    </row>
    <row r="1603">
      <c r="A1603" s="5" t="n"/>
      <c r="B1603" s="5" t="n"/>
      <c r="C1603" s="5" t="n"/>
      <c r="D1603" s="5" t="n"/>
      <c r="E1603" s="5" t="n"/>
      <c r="F1603" s="5" t="n"/>
      <c r="G1603" s="5" t="n"/>
      <c r="H1603" s="5" t="n"/>
      <c r="I1603" s="5" t="n"/>
      <c r="J1603" s="5" t="n"/>
      <c r="K1603" s="5" t="n"/>
      <c r="L1603" s="5" t="n"/>
      <c r="M1603" s="5" t="n"/>
      <c r="N1603" s="5" t="n"/>
      <c r="O1603" s="5" t="n"/>
      <c r="P1603" s="5" t="n"/>
      <c r="Q1603" s="5" t="n"/>
      <c r="R1603" s="5" t="n"/>
      <c r="S1603" s="5" t="n"/>
      <c r="T1603" s="5" t="n"/>
      <c r="U1603" s="5" t="n"/>
      <c r="V1603" s="5" t="n"/>
      <c r="W1603" s="5" t="n"/>
      <c r="X1603" s="5" t="n"/>
      <c r="Y1603" s="5">
        <f>IF(I1603="","",IF(AND(I1603="Fail",K1603=""),"Classify Issue Source",IF(AND(I1603="Fail",W1603=""),"Set Confidence",IF(AND(K1603="Unknown",W1603&lt;&gt;"Low"),"Unknown must be Low confidence",IF(AND(OR(K1603="Backend",K1603="SAP"),N1603=""),"Add HTTP status + endpoint",IF(AND(OR(K1603="Backend",K1603="SAP",K1603="Network"),P1603=""),"Add Correlation ID",IF(AND(I1603="Fail",T1603=""),"Write Root Cause / evidence gap",IF(AND(I1603="Fail",V1603=""),"Assign team","OK"))))))))</f>
        <v/>
      </c>
    </row>
    <row r="1604">
      <c r="A1604" s="5" t="n"/>
      <c r="B1604" s="5" t="n"/>
      <c r="C1604" s="5" t="n"/>
      <c r="D1604" s="5" t="n"/>
      <c r="E1604" s="5" t="n"/>
      <c r="F1604" s="5" t="n"/>
      <c r="G1604" s="5" t="n"/>
      <c r="H1604" s="5" t="n"/>
      <c r="I1604" s="5" t="n"/>
      <c r="J1604" s="5" t="n"/>
      <c r="K1604" s="5" t="n"/>
      <c r="L1604" s="5" t="n"/>
      <c r="M1604" s="5" t="n"/>
      <c r="N1604" s="5" t="n"/>
      <c r="O1604" s="5" t="n"/>
      <c r="P1604" s="5" t="n"/>
      <c r="Q1604" s="5" t="n"/>
      <c r="R1604" s="5" t="n"/>
      <c r="S1604" s="5" t="n"/>
      <c r="T1604" s="5" t="n"/>
      <c r="U1604" s="5" t="n"/>
      <c r="V1604" s="5" t="n"/>
      <c r="W1604" s="5" t="n"/>
      <c r="X1604" s="5" t="n"/>
      <c r="Y1604" s="5">
        <f>IF(I1604="","",IF(AND(I1604="Fail",K1604=""),"Classify Issue Source",IF(AND(I1604="Fail",W1604=""),"Set Confidence",IF(AND(K1604="Unknown",W1604&lt;&gt;"Low"),"Unknown must be Low confidence",IF(AND(OR(K1604="Backend",K1604="SAP"),N1604=""),"Add HTTP status + endpoint",IF(AND(OR(K1604="Backend",K1604="SAP",K1604="Network"),P1604=""),"Add Correlation ID",IF(AND(I1604="Fail",T1604=""),"Write Root Cause / evidence gap",IF(AND(I1604="Fail",V1604=""),"Assign team","OK"))))))))</f>
        <v/>
      </c>
    </row>
    <row r="1605">
      <c r="A1605" s="5" t="n"/>
      <c r="B1605" s="5" t="n"/>
      <c r="C1605" s="5" t="n"/>
      <c r="D1605" s="5" t="n"/>
      <c r="E1605" s="5" t="n"/>
      <c r="F1605" s="5" t="n"/>
      <c r="G1605" s="5" t="n"/>
      <c r="H1605" s="5" t="n"/>
      <c r="I1605" s="5" t="n"/>
      <c r="J1605" s="5" t="n"/>
      <c r="K1605" s="5" t="n"/>
      <c r="L1605" s="5" t="n"/>
      <c r="M1605" s="5" t="n"/>
      <c r="N1605" s="5" t="n"/>
      <c r="O1605" s="5" t="n"/>
      <c r="P1605" s="5" t="n"/>
      <c r="Q1605" s="5" t="n"/>
      <c r="R1605" s="5" t="n"/>
      <c r="S1605" s="5" t="n"/>
      <c r="T1605" s="5" t="n"/>
      <c r="U1605" s="5" t="n"/>
      <c r="V1605" s="5" t="n"/>
      <c r="W1605" s="5" t="n"/>
      <c r="X1605" s="5" t="n"/>
      <c r="Y1605" s="5">
        <f>IF(I1605="","",IF(AND(I1605="Fail",K1605=""),"Classify Issue Source",IF(AND(I1605="Fail",W1605=""),"Set Confidence",IF(AND(K1605="Unknown",W1605&lt;&gt;"Low"),"Unknown must be Low confidence",IF(AND(OR(K1605="Backend",K1605="SAP"),N1605=""),"Add HTTP status + endpoint",IF(AND(OR(K1605="Backend",K1605="SAP",K1605="Network"),P1605=""),"Add Correlation ID",IF(AND(I1605="Fail",T1605=""),"Write Root Cause / evidence gap",IF(AND(I1605="Fail",V1605=""),"Assign team","OK"))))))))</f>
        <v/>
      </c>
    </row>
    <row r="1606">
      <c r="A1606" s="5" t="n"/>
      <c r="B1606" s="5" t="n"/>
      <c r="C1606" s="5" t="n"/>
      <c r="D1606" s="5" t="n"/>
      <c r="E1606" s="5" t="n"/>
      <c r="F1606" s="5" t="n"/>
      <c r="G1606" s="5" t="n"/>
      <c r="H1606" s="5" t="n"/>
      <c r="I1606" s="5" t="n"/>
      <c r="J1606" s="5" t="n"/>
      <c r="K1606" s="5" t="n"/>
      <c r="L1606" s="5" t="n"/>
      <c r="M1606" s="5" t="n"/>
      <c r="N1606" s="5" t="n"/>
      <c r="O1606" s="5" t="n"/>
      <c r="P1606" s="5" t="n"/>
      <c r="Q1606" s="5" t="n"/>
      <c r="R1606" s="5" t="n"/>
      <c r="S1606" s="5" t="n"/>
      <c r="T1606" s="5" t="n"/>
      <c r="U1606" s="5" t="n"/>
      <c r="V1606" s="5" t="n"/>
      <c r="W1606" s="5" t="n"/>
      <c r="X1606" s="5" t="n"/>
      <c r="Y1606" s="5">
        <f>IF(I1606="","",IF(AND(I1606="Fail",K1606=""),"Classify Issue Source",IF(AND(I1606="Fail",W1606=""),"Set Confidence",IF(AND(K1606="Unknown",W1606&lt;&gt;"Low"),"Unknown must be Low confidence",IF(AND(OR(K1606="Backend",K1606="SAP"),N1606=""),"Add HTTP status + endpoint",IF(AND(OR(K1606="Backend",K1606="SAP",K1606="Network"),P1606=""),"Add Correlation ID",IF(AND(I1606="Fail",T1606=""),"Write Root Cause / evidence gap",IF(AND(I1606="Fail",V1606=""),"Assign team","OK"))))))))</f>
        <v/>
      </c>
    </row>
    <row r="1607">
      <c r="A1607" s="5" t="n"/>
      <c r="B1607" s="5" t="n"/>
      <c r="C1607" s="5" t="n"/>
      <c r="D1607" s="5" t="n"/>
      <c r="E1607" s="5" t="n"/>
      <c r="F1607" s="5" t="n"/>
      <c r="G1607" s="5" t="n"/>
      <c r="H1607" s="5" t="n"/>
      <c r="I1607" s="5" t="n"/>
      <c r="J1607" s="5" t="n"/>
      <c r="K1607" s="5" t="n"/>
      <c r="L1607" s="5" t="n"/>
      <c r="M1607" s="5" t="n"/>
      <c r="N1607" s="5" t="n"/>
      <c r="O1607" s="5" t="n"/>
      <c r="P1607" s="5" t="n"/>
      <c r="Q1607" s="5" t="n"/>
      <c r="R1607" s="5" t="n"/>
      <c r="S1607" s="5" t="n"/>
      <c r="T1607" s="5" t="n"/>
      <c r="U1607" s="5" t="n"/>
      <c r="V1607" s="5" t="n"/>
      <c r="W1607" s="5" t="n"/>
      <c r="X1607" s="5" t="n"/>
      <c r="Y1607" s="5">
        <f>IF(I1607="","",IF(AND(I1607="Fail",K1607=""),"Classify Issue Source",IF(AND(I1607="Fail",W1607=""),"Set Confidence",IF(AND(K1607="Unknown",W1607&lt;&gt;"Low"),"Unknown must be Low confidence",IF(AND(OR(K1607="Backend",K1607="SAP"),N1607=""),"Add HTTP status + endpoint",IF(AND(OR(K1607="Backend",K1607="SAP",K1607="Network"),P1607=""),"Add Correlation ID",IF(AND(I1607="Fail",T1607=""),"Write Root Cause / evidence gap",IF(AND(I1607="Fail",V1607=""),"Assign team","OK"))))))))</f>
        <v/>
      </c>
    </row>
    <row r="1608">
      <c r="A1608" s="5" t="n"/>
      <c r="B1608" s="5" t="n"/>
      <c r="C1608" s="5" t="n"/>
      <c r="D1608" s="5" t="n"/>
      <c r="E1608" s="5" t="n"/>
      <c r="F1608" s="5" t="n"/>
      <c r="G1608" s="5" t="n"/>
      <c r="H1608" s="5" t="n"/>
      <c r="I1608" s="5" t="n"/>
      <c r="J1608" s="5" t="n"/>
      <c r="K1608" s="5" t="n"/>
      <c r="L1608" s="5" t="n"/>
      <c r="M1608" s="5" t="n"/>
      <c r="N1608" s="5" t="n"/>
      <c r="O1608" s="5" t="n"/>
      <c r="P1608" s="5" t="n"/>
      <c r="Q1608" s="5" t="n"/>
      <c r="R1608" s="5" t="n"/>
      <c r="S1608" s="5" t="n"/>
      <c r="T1608" s="5" t="n"/>
      <c r="U1608" s="5" t="n"/>
      <c r="V1608" s="5" t="n"/>
      <c r="W1608" s="5" t="n"/>
      <c r="X1608" s="5" t="n"/>
      <c r="Y1608" s="5">
        <f>IF(I1608="","",IF(AND(I1608="Fail",K1608=""),"Classify Issue Source",IF(AND(I1608="Fail",W1608=""),"Set Confidence",IF(AND(K1608="Unknown",W1608&lt;&gt;"Low"),"Unknown must be Low confidence",IF(AND(OR(K1608="Backend",K1608="SAP"),N1608=""),"Add HTTP status + endpoint",IF(AND(OR(K1608="Backend",K1608="SAP",K1608="Network"),P1608=""),"Add Correlation ID",IF(AND(I1608="Fail",T1608=""),"Write Root Cause / evidence gap",IF(AND(I1608="Fail",V1608=""),"Assign team","OK"))))))))</f>
        <v/>
      </c>
    </row>
    <row r="1609">
      <c r="A1609" s="5" t="n"/>
      <c r="B1609" s="5" t="n"/>
      <c r="C1609" s="5" t="n"/>
      <c r="D1609" s="5" t="n"/>
      <c r="E1609" s="5" t="n"/>
      <c r="F1609" s="5" t="n"/>
      <c r="G1609" s="5" t="n"/>
      <c r="H1609" s="5" t="n"/>
      <c r="I1609" s="5" t="n"/>
      <c r="J1609" s="5" t="n"/>
      <c r="K1609" s="5" t="n"/>
      <c r="L1609" s="5" t="n"/>
      <c r="M1609" s="5" t="n"/>
      <c r="N1609" s="5" t="n"/>
      <c r="O1609" s="5" t="n"/>
      <c r="P1609" s="5" t="n"/>
      <c r="Q1609" s="5" t="n"/>
      <c r="R1609" s="5" t="n"/>
      <c r="S1609" s="5" t="n"/>
      <c r="T1609" s="5" t="n"/>
      <c r="U1609" s="5" t="n"/>
      <c r="V1609" s="5" t="n"/>
      <c r="W1609" s="5" t="n"/>
      <c r="X1609" s="5" t="n"/>
      <c r="Y1609" s="5">
        <f>IF(I1609="","",IF(AND(I1609="Fail",K1609=""),"Classify Issue Source",IF(AND(I1609="Fail",W1609=""),"Set Confidence",IF(AND(K1609="Unknown",W1609&lt;&gt;"Low"),"Unknown must be Low confidence",IF(AND(OR(K1609="Backend",K1609="SAP"),N1609=""),"Add HTTP status + endpoint",IF(AND(OR(K1609="Backend",K1609="SAP",K1609="Network"),P1609=""),"Add Correlation ID",IF(AND(I1609="Fail",T1609=""),"Write Root Cause / evidence gap",IF(AND(I1609="Fail",V1609=""),"Assign team","OK"))))))))</f>
        <v/>
      </c>
    </row>
    <row r="1610">
      <c r="A1610" s="5" t="n"/>
      <c r="B1610" s="5" t="n"/>
      <c r="C1610" s="5" t="n"/>
      <c r="D1610" s="5" t="n"/>
      <c r="E1610" s="5" t="n"/>
      <c r="F1610" s="5" t="n"/>
      <c r="G1610" s="5" t="n"/>
      <c r="H1610" s="5" t="n"/>
      <c r="I1610" s="5" t="n"/>
      <c r="J1610" s="5" t="n"/>
      <c r="K1610" s="5" t="n"/>
      <c r="L1610" s="5" t="n"/>
      <c r="M1610" s="5" t="n"/>
      <c r="N1610" s="5" t="n"/>
      <c r="O1610" s="5" t="n"/>
      <c r="P1610" s="5" t="n"/>
      <c r="Q1610" s="5" t="n"/>
      <c r="R1610" s="5" t="n"/>
      <c r="S1610" s="5" t="n"/>
      <c r="T1610" s="5" t="n"/>
      <c r="U1610" s="5" t="n"/>
      <c r="V1610" s="5" t="n"/>
      <c r="W1610" s="5" t="n"/>
      <c r="X1610" s="5" t="n"/>
      <c r="Y1610" s="5">
        <f>IF(I1610="","",IF(AND(I1610="Fail",K1610=""),"Classify Issue Source",IF(AND(I1610="Fail",W1610=""),"Set Confidence",IF(AND(K1610="Unknown",W1610&lt;&gt;"Low"),"Unknown must be Low confidence",IF(AND(OR(K1610="Backend",K1610="SAP"),N1610=""),"Add HTTP status + endpoint",IF(AND(OR(K1610="Backend",K1610="SAP",K1610="Network"),P1610=""),"Add Correlation ID",IF(AND(I1610="Fail",T1610=""),"Write Root Cause / evidence gap",IF(AND(I1610="Fail",V1610=""),"Assign team","OK"))))))))</f>
        <v/>
      </c>
    </row>
    <row r="1611">
      <c r="A1611" s="5" t="n"/>
      <c r="B1611" s="5" t="n"/>
      <c r="C1611" s="5" t="n"/>
      <c r="D1611" s="5" t="n"/>
      <c r="E1611" s="5" t="n"/>
      <c r="F1611" s="5" t="n"/>
      <c r="G1611" s="5" t="n"/>
      <c r="H1611" s="5" t="n"/>
      <c r="I1611" s="5" t="n"/>
      <c r="J1611" s="5" t="n"/>
      <c r="K1611" s="5" t="n"/>
      <c r="L1611" s="5" t="n"/>
      <c r="M1611" s="5" t="n"/>
      <c r="N1611" s="5" t="n"/>
      <c r="O1611" s="5" t="n"/>
      <c r="P1611" s="5" t="n"/>
      <c r="Q1611" s="5" t="n"/>
      <c r="R1611" s="5" t="n"/>
      <c r="S1611" s="5" t="n"/>
      <c r="T1611" s="5" t="n"/>
      <c r="U1611" s="5" t="n"/>
      <c r="V1611" s="5" t="n"/>
      <c r="W1611" s="5" t="n"/>
      <c r="X1611" s="5" t="n"/>
      <c r="Y1611" s="5">
        <f>IF(I1611="","",IF(AND(I1611="Fail",K1611=""),"Classify Issue Source",IF(AND(I1611="Fail",W1611=""),"Set Confidence",IF(AND(K1611="Unknown",W1611&lt;&gt;"Low"),"Unknown must be Low confidence",IF(AND(OR(K1611="Backend",K1611="SAP"),N1611=""),"Add HTTP status + endpoint",IF(AND(OR(K1611="Backend",K1611="SAP",K1611="Network"),P1611=""),"Add Correlation ID",IF(AND(I1611="Fail",T1611=""),"Write Root Cause / evidence gap",IF(AND(I1611="Fail",V1611=""),"Assign team","OK"))))))))</f>
        <v/>
      </c>
    </row>
    <row r="1612">
      <c r="A1612" s="5" t="n"/>
      <c r="B1612" s="5" t="n"/>
      <c r="C1612" s="5" t="n"/>
      <c r="D1612" s="5" t="n"/>
      <c r="E1612" s="5" t="n"/>
      <c r="F1612" s="5" t="n"/>
      <c r="G1612" s="5" t="n"/>
      <c r="H1612" s="5" t="n"/>
      <c r="I1612" s="5" t="n"/>
      <c r="J1612" s="5" t="n"/>
      <c r="K1612" s="5" t="n"/>
      <c r="L1612" s="5" t="n"/>
      <c r="M1612" s="5" t="n"/>
      <c r="N1612" s="5" t="n"/>
      <c r="O1612" s="5" t="n"/>
      <c r="P1612" s="5" t="n"/>
      <c r="Q1612" s="5" t="n"/>
      <c r="R1612" s="5" t="n"/>
      <c r="S1612" s="5" t="n"/>
      <c r="T1612" s="5" t="n"/>
      <c r="U1612" s="5" t="n"/>
      <c r="V1612" s="5" t="n"/>
      <c r="W1612" s="5" t="n"/>
      <c r="X1612" s="5" t="n"/>
      <c r="Y1612" s="5">
        <f>IF(I1612="","",IF(AND(I1612="Fail",K1612=""),"Classify Issue Source",IF(AND(I1612="Fail",W1612=""),"Set Confidence",IF(AND(K1612="Unknown",W1612&lt;&gt;"Low"),"Unknown must be Low confidence",IF(AND(OR(K1612="Backend",K1612="SAP"),N1612=""),"Add HTTP status + endpoint",IF(AND(OR(K1612="Backend",K1612="SAP",K1612="Network"),P1612=""),"Add Correlation ID",IF(AND(I1612="Fail",T1612=""),"Write Root Cause / evidence gap",IF(AND(I1612="Fail",V1612=""),"Assign team","OK"))))))))</f>
        <v/>
      </c>
    </row>
    <row r="1613">
      <c r="A1613" s="5" t="n"/>
      <c r="B1613" s="5" t="n"/>
      <c r="C1613" s="5" t="n"/>
      <c r="D1613" s="5" t="n"/>
      <c r="E1613" s="5" t="n"/>
      <c r="F1613" s="5" t="n"/>
      <c r="G1613" s="5" t="n"/>
      <c r="H1613" s="5" t="n"/>
      <c r="I1613" s="5" t="n"/>
      <c r="J1613" s="5" t="n"/>
      <c r="K1613" s="5" t="n"/>
      <c r="L1613" s="5" t="n"/>
      <c r="M1613" s="5" t="n"/>
      <c r="N1613" s="5" t="n"/>
      <c r="O1613" s="5" t="n"/>
      <c r="P1613" s="5" t="n"/>
      <c r="Q1613" s="5" t="n"/>
      <c r="R1613" s="5" t="n"/>
      <c r="S1613" s="5" t="n"/>
      <c r="T1613" s="5" t="n"/>
      <c r="U1613" s="5" t="n"/>
      <c r="V1613" s="5" t="n"/>
      <c r="W1613" s="5" t="n"/>
      <c r="X1613" s="5" t="n"/>
      <c r="Y1613" s="5">
        <f>IF(I1613="","",IF(AND(I1613="Fail",K1613=""),"Classify Issue Source",IF(AND(I1613="Fail",W1613=""),"Set Confidence",IF(AND(K1613="Unknown",W1613&lt;&gt;"Low"),"Unknown must be Low confidence",IF(AND(OR(K1613="Backend",K1613="SAP"),N1613=""),"Add HTTP status + endpoint",IF(AND(OR(K1613="Backend",K1613="SAP",K1613="Network"),P1613=""),"Add Correlation ID",IF(AND(I1613="Fail",T1613=""),"Write Root Cause / evidence gap",IF(AND(I1613="Fail",V1613=""),"Assign team","OK"))))))))</f>
        <v/>
      </c>
    </row>
    <row r="1614">
      <c r="A1614" s="5" t="n"/>
      <c r="B1614" s="5" t="n"/>
      <c r="C1614" s="5" t="n"/>
      <c r="D1614" s="5" t="n"/>
      <c r="E1614" s="5" t="n"/>
      <c r="F1614" s="5" t="n"/>
      <c r="G1614" s="5" t="n"/>
      <c r="H1614" s="5" t="n"/>
      <c r="I1614" s="5" t="n"/>
      <c r="J1614" s="5" t="n"/>
      <c r="K1614" s="5" t="n"/>
      <c r="L1614" s="5" t="n"/>
      <c r="M1614" s="5" t="n"/>
      <c r="N1614" s="5" t="n"/>
      <c r="O1614" s="5" t="n"/>
      <c r="P1614" s="5" t="n"/>
      <c r="Q1614" s="5" t="n"/>
      <c r="R1614" s="5" t="n"/>
      <c r="S1614" s="5" t="n"/>
      <c r="T1614" s="5" t="n"/>
      <c r="U1614" s="5" t="n"/>
      <c r="V1614" s="5" t="n"/>
      <c r="W1614" s="5" t="n"/>
      <c r="X1614" s="5" t="n"/>
      <c r="Y1614" s="5">
        <f>IF(I1614="","",IF(AND(I1614="Fail",K1614=""),"Classify Issue Source",IF(AND(I1614="Fail",W1614=""),"Set Confidence",IF(AND(K1614="Unknown",W1614&lt;&gt;"Low"),"Unknown must be Low confidence",IF(AND(OR(K1614="Backend",K1614="SAP"),N1614=""),"Add HTTP status + endpoint",IF(AND(OR(K1614="Backend",K1614="SAP",K1614="Network"),P1614=""),"Add Correlation ID",IF(AND(I1614="Fail",T1614=""),"Write Root Cause / evidence gap",IF(AND(I1614="Fail",V1614=""),"Assign team","OK"))))))))</f>
        <v/>
      </c>
    </row>
    <row r="1615">
      <c r="A1615" s="5" t="n"/>
      <c r="B1615" s="5" t="n"/>
      <c r="C1615" s="5" t="n"/>
      <c r="D1615" s="5" t="n"/>
      <c r="E1615" s="5" t="n"/>
      <c r="F1615" s="5" t="n"/>
      <c r="G1615" s="5" t="n"/>
      <c r="H1615" s="5" t="n"/>
      <c r="I1615" s="5" t="n"/>
      <c r="J1615" s="5" t="n"/>
      <c r="K1615" s="5" t="n"/>
      <c r="L1615" s="5" t="n"/>
      <c r="M1615" s="5" t="n"/>
      <c r="N1615" s="5" t="n"/>
      <c r="O1615" s="5" t="n"/>
      <c r="P1615" s="5" t="n"/>
      <c r="Q1615" s="5" t="n"/>
      <c r="R1615" s="5" t="n"/>
      <c r="S1615" s="5" t="n"/>
      <c r="T1615" s="5" t="n"/>
      <c r="U1615" s="5" t="n"/>
      <c r="V1615" s="5" t="n"/>
      <c r="W1615" s="5" t="n"/>
      <c r="X1615" s="5" t="n"/>
      <c r="Y1615" s="5">
        <f>IF(I1615="","",IF(AND(I1615="Fail",K1615=""),"Classify Issue Source",IF(AND(I1615="Fail",W1615=""),"Set Confidence",IF(AND(K1615="Unknown",W1615&lt;&gt;"Low"),"Unknown must be Low confidence",IF(AND(OR(K1615="Backend",K1615="SAP"),N1615=""),"Add HTTP status + endpoint",IF(AND(OR(K1615="Backend",K1615="SAP",K1615="Network"),P1615=""),"Add Correlation ID",IF(AND(I1615="Fail",T1615=""),"Write Root Cause / evidence gap",IF(AND(I1615="Fail",V1615=""),"Assign team","OK"))))))))</f>
        <v/>
      </c>
    </row>
    <row r="1616">
      <c r="A1616" s="5" t="n"/>
      <c r="B1616" s="5" t="n"/>
      <c r="C1616" s="5" t="n"/>
      <c r="D1616" s="5" t="n"/>
      <c r="E1616" s="5" t="n"/>
      <c r="F1616" s="5" t="n"/>
      <c r="G1616" s="5" t="n"/>
      <c r="H1616" s="5" t="n"/>
      <c r="I1616" s="5" t="n"/>
      <c r="J1616" s="5" t="n"/>
      <c r="K1616" s="5" t="n"/>
      <c r="L1616" s="5" t="n"/>
      <c r="M1616" s="5" t="n"/>
      <c r="N1616" s="5" t="n"/>
      <c r="O1616" s="5" t="n"/>
      <c r="P1616" s="5" t="n"/>
      <c r="Q1616" s="5" t="n"/>
      <c r="R1616" s="5" t="n"/>
      <c r="S1616" s="5" t="n"/>
      <c r="T1616" s="5" t="n"/>
      <c r="U1616" s="5" t="n"/>
      <c r="V1616" s="5" t="n"/>
      <c r="W1616" s="5" t="n"/>
      <c r="X1616" s="5" t="n"/>
      <c r="Y1616" s="5">
        <f>IF(I1616="","",IF(AND(I1616="Fail",K1616=""),"Classify Issue Source",IF(AND(I1616="Fail",W1616=""),"Set Confidence",IF(AND(K1616="Unknown",W1616&lt;&gt;"Low"),"Unknown must be Low confidence",IF(AND(OR(K1616="Backend",K1616="SAP"),N1616=""),"Add HTTP status + endpoint",IF(AND(OR(K1616="Backend",K1616="SAP",K1616="Network"),P1616=""),"Add Correlation ID",IF(AND(I1616="Fail",T1616=""),"Write Root Cause / evidence gap",IF(AND(I1616="Fail",V1616=""),"Assign team","OK"))))))))</f>
        <v/>
      </c>
    </row>
    <row r="1617">
      <c r="A1617" s="5" t="n"/>
      <c r="B1617" s="5" t="n"/>
      <c r="C1617" s="5" t="n"/>
      <c r="D1617" s="5" t="n"/>
      <c r="E1617" s="5" t="n"/>
      <c r="F1617" s="5" t="n"/>
      <c r="G1617" s="5" t="n"/>
      <c r="H1617" s="5" t="n"/>
      <c r="I1617" s="5" t="n"/>
      <c r="J1617" s="5" t="n"/>
      <c r="K1617" s="5" t="n"/>
      <c r="L1617" s="5" t="n"/>
      <c r="M1617" s="5" t="n"/>
      <c r="N1617" s="5" t="n"/>
      <c r="O1617" s="5" t="n"/>
      <c r="P1617" s="5" t="n"/>
      <c r="Q1617" s="5" t="n"/>
      <c r="R1617" s="5" t="n"/>
      <c r="S1617" s="5" t="n"/>
      <c r="T1617" s="5" t="n"/>
      <c r="U1617" s="5" t="n"/>
      <c r="V1617" s="5" t="n"/>
      <c r="W1617" s="5" t="n"/>
      <c r="X1617" s="5" t="n"/>
      <c r="Y1617" s="5">
        <f>IF(I1617="","",IF(AND(I1617="Fail",K1617=""),"Classify Issue Source",IF(AND(I1617="Fail",W1617=""),"Set Confidence",IF(AND(K1617="Unknown",W1617&lt;&gt;"Low"),"Unknown must be Low confidence",IF(AND(OR(K1617="Backend",K1617="SAP"),N1617=""),"Add HTTP status + endpoint",IF(AND(OR(K1617="Backend",K1617="SAP",K1617="Network"),P1617=""),"Add Correlation ID",IF(AND(I1617="Fail",T1617=""),"Write Root Cause / evidence gap",IF(AND(I1617="Fail",V1617=""),"Assign team","OK"))))))))</f>
        <v/>
      </c>
    </row>
    <row r="1618">
      <c r="A1618" s="5" t="n"/>
      <c r="B1618" s="5" t="n"/>
      <c r="C1618" s="5" t="n"/>
      <c r="D1618" s="5" t="n"/>
      <c r="E1618" s="5" t="n"/>
      <c r="F1618" s="5" t="n"/>
      <c r="G1618" s="5" t="n"/>
      <c r="H1618" s="5" t="n"/>
      <c r="I1618" s="5" t="n"/>
      <c r="J1618" s="5" t="n"/>
      <c r="K1618" s="5" t="n"/>
      <c r="L1618" s="5" t="n"/>
      <c r="M1618" s="5" t="n"/>
      <c r="N1618" s="5" t="n"/>
      <c r="O1618" s="5" t="n"/>
      <c r="P1618" s="5" t="n"/>
      <c r="Q1618" s="5" t="n"/>
      <c r="R1618" s="5" t="n"/>
      <c r="S1618" s="5" t="n"/>
      <c r="T1618" s="5" t="n"/>
      <c r="U1618" s="5" t="n"/>
      <c r="V1618" s="5" t="n"/>
      <c r="W1618" s="5" t="n"/>
      <c r="X1618" s="5" t="n"/>
      <c r="Y1618" s="5">
        <f>IF(I1618="","",IF(AND(I1618="Fail",K1618=""),"Classify Issue Source",IF(AND(I1618="Fail",W1618=""),"Set Confidence",IF(AND(K1618="Unknown",W1618&lt;&gt;"Low"),"Unknown must be Low confidence",IF(AND(OR(K1618="Backend",K1618="SAP"),N1618=""),"Add HTTP status + endpoint",IF(AND(OR(K1618="Backend",K1618="SAP",K1618="Network"),P1618=""),"Add Correlation ID",IF(AND(I1618="Fail",T1618=""),"Write Root Cause / evidence gap",IF(AND(I1618="Fail",V1618=""),"Assign team","OK"))))))))</f>
        <v/>
      </c>
    </row>
    <row r="1619">
      <c r="A1619" s="5" t="n"/>
      <c r="B1619" s="5" t="n"/>
      <c r="C1619" s="5" t="n"/>
      <c r="D1619" s="5" t="n"/>
      <c r="E1619" s="5" t="n"/>
      <c r="F1619" s="5" t="n"/>
      <c r="G1619" s="5" t="n"/>
      <c r="H1619" s="5" t="n"/>
      <c r="I1619" s="5" t="n"/>
      <c r="J1619" s="5" t="n"/>
      <c r="K1619" s="5" t="n"/>
      <c r="L1619" s="5" t="n"/>
      <c r="M1619" s="5" t="n"/>
      <c r="N1619" s="5" t="n"/>
      <c r="O1619" s="5" t="n"/>
      <c r="P1619" s="5" t="n"/>
      <c r="Q1619" s="5" t="n"/>
      <c r="R1619" s="5" t="n"/>
      <c r="S1619" s="5" t="n"/>
      <c r="T1619" s="5" t="n"/>
      <c r="U1619" s="5" t="n"/>
      <c r="V1619" s="5" t="n"/>
      <c r="W1619" s="5" t="n"/>
      <c r="X1619" s="5" t="n"/>
      <c r="Y1619" s="5">
        <f>IF(I1619="","",IF(AND(I1619="Fail",K1619=""),"Classify Issue Source",IF(AND(I1619="Fail",W1619=""),"Set Confidence",IF(AND(K1619="Unknown",W1619&lt;&gt;"Low"),"Unknown must be Low confidence",IF(AND(OR(K1619="Backend",K1619="SAP"),N1619=""),"Add HTTP status + endpoint",IF(AND(OR(K1619="Backend",K1619="SAP",K1619="Network"),P1619=""),"Add Correlation ID",IF(AND(I1619="Fail",T1619=""),"Write Root Cause / evidence gap",IF(AND(I1619="Fail",V1619=""),"Assign team","OK"))))))))</f>
        <v/>
      </c>
    </row>
    <row r="1620">
      <c r="A1620" s="5" t="n"/>
      <c r="B1620" s="5" t="n"/>
      <c r="C1620" s="5" t="n"/>
      <c r="D1620" s="5" t="n"/>
      <c r="E1620" s="5" t="n"/>
      <c r="F1620" s="5" t="n"/>
      <c r="G1620" s="5" t="n"/>
      <c r="H1620" s="5" t="n"/>
      <c r="I1620" s="5" t="n"/>
      <c r="J1620" s="5" t="n"/>
      <c r="K1620" s="5" t="n"/>
      <c r="L1620" s="5" t="n"/>
      <c r="M1620" s="5" t="n"/>
      <c r="N1620" s="5" t="n"/>
      <c r="O1620" s="5" t="n"/>
      <c r="P1620" s="5" t="n"/>
      <c r="Q1620" s="5" t="n"/>
      <c r="R1620" s="5" t="n"/>
      <c r="S1620" s="5" t="n"/>
      <c r="T1620" s="5" t="n"/>
      <c r="U1620" s="5" t="n"/>
      <c r="V1620" s="5" t="n"/>
      <c r="W1620" s="5" t="n"/>
      <c r="X1620" s="5" t="n"/>
      <c r="Y1620" s="5">
        <f>IF(I1620="","",IF(AND(I1620="Fail",K1620=""),"Classify Issue Source",IF(AND(I1620="Fail",W1620=""),"Set Confidence",IF(AND(K1620="Unknown",W1620&lt;&gt;"Low"),"Unknown must be Low confidence",IF(AND(OR(K1620="Backend",K1620="SAP"),N1620=""),"Add HTTP status + endpoint",IF(AND(OR(K1620="Backend",K1620="SAP",K1620="Network"),P1620=""),"Add Correlation ID",IF(AND(I1620="Fail",T1620=""),"Write Root Cause / evidence gap",IF(AND(I1620="Fail",V1620=""),"Assign team","OK"))))))))</f>
        <v/>
      </c>
    </row>
    <row r="1621">
      <c r="A1621" s="5" t="n"/>
      <c r="B1621" s="5" t="n"/>
      <c r="C1621" s="5" t="n"/>
      <c r="D1621" s="5" t="n"/>
      <c r="E1621" s="5" t="n"/>
      <c r="F1621" s="5" t="n"/>
      <c r="G1621" s="5" t="n"/>
      <c r="H1621" s="5" t="n"/>
      <c r="I1621" s="5" t="n"/>
      <c r="J1621" s="5" t="n"/>
      <c r="K1621" s="5" t="n"/>
      <c r="L1621" s="5" t="n"/>
      <c r="M1621" s="5" t="n"/>
      <c r="N1621" s="5" t="n"/>
      <c r="O1621" s="5" t="n"/>
      <c r="P1621" s="5" t="n"/>
      <c r="Q1621" s="5" t="n"/>
      <c r="R1621" s="5" t="n"/>
      <c r="S1621" s="5" t="n"/>
      <c r="T1621" s="5" t="n"/>
      <c r="U1621" s="5" t="n"/>
      <c r="V1621" s="5" t="n"/>
      <c r="W1621" s="5" t="n"/>
      <c r="X1621" s="5" t="n"/>
      <c r="Y1621" s="5">
        <f>IF(I1621="","",IF(AND(I1621="Fail",K1621=""),"Classify Issue Source",IF(AND(I1621="Fail",W1621=""),"Set Confidence",IF(AND(K1621="Unknown",W1621&lt;&gt;"Low"),"Unknown must be Low confidence",IF(AND(OR(K1621="Backend",K1621="SAP"),N1621=""),"Add HTTP status + endpoint",IF(AND(OR(K1621="Backend",K1621="SAP",K1621="Network"),P1621=""),"Add Correlation ID",IF(AND(I1621="Fail",T1621=""),"Write Root Cause / evidence gap",IF(AND(I1621="Fail",V1621=""),"Assign team","OK"))))))))</f>
        <v/>
      </c>
    </row>
    <row r="1622">
      <c r="A1622" s="5" t="n"/>
      <c r="B1622" s="5" t="n"/>
      <c r="C1622" s="5" t="n"/>
      <c r="D1622" s="5" t="n"/>
      <c r="E1622" s="5" t="n"/>
      <c r="F1622" s="5" t="n"/>
      <c r="G1622" s="5" t="n"/>
      <c r="H1622" s="5" t="n"/>
      <c r="I1622" s="5" t="n"/>
      <c r="J1622" s="5" t="n"/>
      <c r="K1622" s="5" t="n"/>
      <c r="L1622" s="5" t="n"/>
      <c r="M1622" s="5" t="n"/>
      <c r="N1622" s="5" t="n"/>
      <c r="O1622" s="5" t="n"/>
      <c r="P1622" s="5" t="n"/>
      <c r="Q1622" s="5" t="n"/>
      <c r="R1622" s="5" t="n"/>
      <c r="S1622" s="5" t="n"/>
      <c r="T1622" s="5" t="n"/>
      <c r="U1622" s="5" t="n"/>
      <c r="V1622" s="5" t="n"/>
      <c r="W1622" s="5" t="n"/>
      <c r="X1622" s="5" t="n"/>
      <c r="Y1622" s="5">
        <f>IF(I1622="","",IF(AND(I1622="Fail",K1622=""),"Classify Issue Source",IF(AND(I1622="Fail",W1622=""),"Set Confidence",IF(AND(K1622="Unknown",W1622&lt;&gt;"Low"),"Unknown must be Low confidence",IF(AND(OR(K1622="Backend",K1622="SAP"),N1622=""),"Add HTTP status + endpoint",IF(AND(OR(K1622="Backend",K1622="SAP",K1622="Network"),P1622=""),"Add Correlation ID",IF(AND(I1622="Fail",T1622=""),"Write Root Cause / evidence gap",IF(AND(I1622="Fail",V1622=""),"Assign team","OK"))))))))</f>
        <v/>
      </c>
    </row>
    <row r="1623">
      <c r="A1623" s="5" t="n"/>
      <c r="B1623" s="5" t="n"/>
      <c r="C1623" s="5" t="n"/>
      <c r="D1623" s="5" t="n"/>
      <c r="E1623" s="5" t="n"/>
      <c r="F1623" s="5" t="n"/>
      <c r="G1623" s="5" t="n"/>
      <c r="H1623" s="5" t="n"/>
      <c r="I1623" s="5" t="n"/>
      <c r="J1623" s="5" t="n"/>
      <c r="K1623" s="5" t="n"/>
      <c r="L1623" s="5" t="n"/>
      <c r="M1623" s="5" t="n"/>
      <c r="N1623" s="5" t="n"/>
      <c r="O1623" s="5" t="n"/>
      <c r="P1623" s="5" t="n"/>
      <c r="Q1623" s="5" t="n"/>
      <c r="R1623" s="5" t="n"/>
      <c r="S1623" s="5" t="n"/>
      <c r="T1623" s="5" t="n"/>
      <c r="U1623" s="5" t="n"/>
      <c r="V1623" s="5" t="n"/>
      <c r="W1623" s="5" t="n"/>
      <c r="X1623" s="5" t="n"/>
      <c r="Y1623" s="5">
        <f>IF(I1623="","",IF(AND(I1623="Fail",K1623=""),"Classify Issue Source",IF(AND(I1623="Fail",W1623=""),"Set Confidence",IF(AND(K1623="Unknown",W1623&lt;&gt;"Low"),"Unknown must be Low confidence",IF(AND(OR(K1623="Backend",K1623="SAP"),N1623=""),"Add HTTP status + endpoint",IF(AND(OR(K1623="Backend",K1623="SAP",K1623="Network"),P1623=""),"Add Correlation ID",IF(AND(I1623="Fail",T1623=""),"Write Root Cause / evidence gap",IF(AND(I1623="Fail",V1623=""),"Assign team","OK"))))))))</f>
        <v/>
      </c>
    </row>
    <row r="1624">
      <c r="A1624" s="5" t="n"/>
      <c r="B1624" s="5" t="n"/>
      <c r="C1624" s="5" t="n"/>
      <c r="D1624" s="5" t="n"/>
      <c r="E1624" s="5" t="n"/>
      <c r="F1624" s="5" t="n"/>
      <c r="G1624" s="5" t="n"/>
      <c r="H1624" s="5" t="n"/>
      <c r="I1624" s="5" t="n"/>
      <c r="J1624" s="5" t="n"/>
      <c r="K1624" s="5" t="n"/>
      <c r="L1624" s="5" t="n"/>
      <c r="M1624" s="5" t="n"/>
      <c r="N1624" s="5" t="n"/>
      <c r="O1624" s="5" t="n"/>
      <c r="P1624" s="5" t="n"/>
      <c r="Q1624" s="5" t="n"/>
      <c r="R1624" s="5" t="n"/>
      <c r="S1624" s="5" t="n"/>
      <c r="T1624" s="5" t="n"/>
      <c r="U1624" s="5" t="n"/>
      <c r="V1624" s="5" t="n"/>
      <c r="W1624" s="5" t="n"/>
      <c r="X1624" s="5" t="n"/>
      <c r="Y1624" s="5">
        <f>IF(I1624="","",IF(AND(I1624="Fail",K1624=""),"Classify Issue Source",IF(AND(I1624="Fail",W1624=""),"Set Confidence",IF(AND(K1624="Unknown",W1624&lt;&gt;"Low"),"Unknown must be Low confidence",IF(AND(OR(K1624="Backend",K1624="SAP"),N1624=""),"Add HTTP status + endpoint",IF(AND(OR(K1624="Backend",K1624="SAP",K1624="Network"),P1624=""),"Add Correlation ID",IF(AND(I1624="Fail",T1624=""),"Write Root Cause / evidence gap",IF(AND(I1624="Fail",V1624=""),"Assign team","OK"))))))))</f>
        <v/>
      </c>
    </row>
    <row r="1625">
      <c r="A1625" s="5" t="n"/>
      <c r="B1625" s="5" t="n"/>
      <c r="C1625" s="5" t="n"/>
      <c r="D1625" s="5" t="n"/>
      <c r="E1625" s="5" t="n"/>
      <c r="F1625" s="5" t="n"/>
      <c r="G1625" s="5" t="n"/>
      <c r="H1625" s="5" t="n"/>
      <c r="I1625" s="5" t="n"/>
      <c r="J1625" s="5" t="n"/>
      <c r="K1625" s="5" t="n"/>
      <c r="L1625" s="5" t="n"/>
      <c r="M1625" s="5" t="n"/>
      <c r="N1625" s="5" t="n"/>
      <c r="O1625" s="5" t="n"/>
      <c r="P1625" s="5" t="n"/>
      <c r="Q1625" s="5" t="n"/>
      <c r="R1625" s="5" t="n"/>
      <c r="S1625" s="5" t="n"/>
      <c r="T1625" s="5" t="n"/>
      <c r="U1625" s="5" t="n"/>
      <c r="V1625" s="5" t="n"/>
      <c r="W1625" s="5" t="n"/>
      <c r="X1625" s="5" t="n"/>
      <c r="Y1625" s="5">
        <f>IF(I1625="","",IF(AND(I1625="Fail",K1625=""),"Classify Issue Source",IF(AND(I1625="Fail",W1625=""),"Set Confidence",IF(AND(K1625="Unknown",W1625&lt;&gt;"Low"),"Unknown must be Low confidence",IF(AND(OR(K1625="Backend",K1625="SAP"),N1625=""),"Add HTTP status + endpoint",IF(AND(OR(K1625="Backend",K1625="SAP",K1625="Network"),P1625=""),"Add Correlation ID",IF(AND(I1625="Fail",T1625=""),"Write Root Cause / evidence gap",IF(AND(I1625="Fail",V1625=""),"Assign team","OK"))))))))</f>
        <v/>
      </c>
    </row>
    <row r="1626">
      <c r="A1626" s="5" t="n"/>
      <c r="B1626" s="5" t="n"/>
      <c r="C1626" s="5" t="n"/>
      <c r="D1626" s="5" t="n"/>
      <c r="E1626" s="5" t="n"/>
      <c r="F1626" s="5" t="n"/>
      <c r="G1626" s="5" t="n"/>
      <c r="H1626" s="5" t="n"/>
      <c r="I1626" s="5" t="n"/>
      <c r="J1626" s="5" t="n"/>
      <c r="K1626" s="5" t="n"/>
      <c r="L1626" s="5" t="n"/>
      <c r="M1626" s="5" t="n"/>
      <c r="N1626" s="5" t="n"/>
      <c r="O1626" s="5" t="n"/>
      <c r="P1626" s="5" t="n"/>
      <c r="Q1626" s="5" t="n"/>
      <c r="R1626" s="5" t="n"/>
      <c r="S1626" s="5" t="n"/>
      <c r="T1626" s="5" t="n"/>
      <c r="U1626" s="5" t="n"/>
      <c r="V1626" s="5" t="n"/>
      <c r="W1626" s="5" t="n"/>
      <c r="X1626" s="5" t="n"/>
      <c r="Y1626" s="5">
        <f>IF(I1626="","",IF(AND(I1626="Fail",K1626=""),"Classify Issue Source",IF(AND(I1626="Fail",W1626=""),"Set Confidence",IF(AND(K1626="Unknown",W1626&lt;&gt;"Low"),"Unknown must be Low confidence",IF(AND(OR(K1626="Backend",K1626="SAP"),N1626=""),"Add HTTP status + endpoint",IF(AND(OR(K1626="Backend",K1626="SAP",K1626="Network"),P1626=""),"Add Correlation ID",IF(AND(I1626="Fail",T1626=""),"Write Root Cause / evidence gap",IF(AND(I1626="Fail",V1626=""),"Assign team","OK"))))))))</f>
        <v/>
      </c>
    </row>
    <row r="1627">
      <c r="A1627" s="5" t="n"/>
      <c r="B1627" s="5" t="n"/>
      <c r="C1627" s="5" t="n"/>
      <c r="D1627" s="5" t="n"/>
      <c r="E1627" s="5" t="n"/>
      <c r="F1627" s="5" t="n"/>
      <c r="G1627" s="5" t="n"/>
      <c r="H1627" s="5" t="n"/>
      <c r="I1627" s="5" t="n"/>
      <c r="J1627" s="5" t="n"/>
      <c r="K1627" s="5" t="n"/>
      <c r="L1627" s="5" t="n"/>
      <c r="M1627" s="5" t="n"/>
      <c r="N1627" s="5" t="n"/>
      <c r="O1627" s="5" t="n"/>
      <c r="P1627" s="5" t="n"/>
      <c r="Q1627" s="5" t="n"/>
      <c r="R1627" s="5" t="n"/>
      <c r="S1627" s="5" t="n"/>
      <c r="T1627" s="5" t="n"/>
      <c r="U1627" s="5" t="n"/>
      <c r="V1627" s="5" t="n"/>
      <c r="W1627" s="5" t="n"/>
      <c r="X1627" s="5" t="n"/>
      <c r="Y1627" s="5">
        <f>IF(I1627="","",IF(AND(I1627="Fail",K1627=""),"Classify Issue Source",IF(AND(I1627="Fail",W1627=""),"Set Confidence",IF(AND(K1627="Unknown",W1627&lt;&gt;"Low"),"Unknown must be Low confidence",IF(AND(OR(K1627="Backend",K1627="SAP"),N1627=""),"Add HTTP status + endpoint",IF(AND(OR(K1627="Backend",K1627="SAP",K1627="Network"),P1627=""),"Add Correlation ID",IF(AND(I1627="Fail",T1627=""),"Write Root Cause / evidence gap",IF(AND(I1627="Fail",V1627=""),"Assign team","OK"))))))))</f>
        <v/>
      </c>
    </row>
    <row r="1628">
      <c r="A1628" s="5" t="n"/>
      <c r="B1628" s="5" t="n"/>
      <c r="C1628" s="5" t="n"/>
      <c r="D1628" s="5" t="n"/>
      <c r="E1628" s="5" t="n"/>
      <c r="F1628" s="5" t="n"/>
      <c r="G1628" s="5" t="n"/>
      <c r="H1628" s="5" t="n"/>
      <c r="I1628" s="5" t="n"/>
      <c r="J1628" s="5" t="n"/>
      <c r="K1628" s="5" t="n"/>
      <c r="L1628" s="5" t="n"/>
      <c r="M1628" s="5" t="n"/>
      <c r="N1628" s="5" t="n"/>
      <c r="O1628" s="5" t="n"/>
      <c r="P1628" s="5" t="n"/>
      <c r="Q1628" s="5" t="n"/>
      <c r="R1628" s="5" t="n"/>
      <c r="S1628" s="5" t="n"/>
      <c r="T1628" s="5" t="n"/>
      <c r="U1628" s="5" t="n"/>
      <c r="V1628" s="5" t="n"/>
      <c r="W1628" s="5" t="n"/>
      <c r="X1628" s="5" t="n"/>
      <c r="Y1628" s="5">
        <f>IF(I1628="","",IF(AND(I1628="Fail",K1628=""),"Classify Issue Source",IF(AND(I1628="Fail",W1628=""),"Set Confidence",IF(AND(K1628="Unknown",W1628&lt;&gt;"Low"),"Unknown must be Low confidence",IF(AND(OR(K1628="Backend",K1628="SAP"),N1628=""),"Add HTTP status + endpoint",IF(AND(OR(K1628="Backend",K1628="SAP",K1628="Network"),P1628=""),"Add Correlation ID",IF(AND(I1628="Fail",T1628=""),"Write Root Cause / evidence gap",IF(AND(I1628="Fail",V1628=""),"Assign team","OK"))))))))</f>
        <v/>
      </c>
    </row>
    <row r="1629">
      <c r="A1629" s="5" t="n"/>
      <c r="B1629" s="5" t="n"/>
      <c r="C1629" s="5" t="n"/>
      <c r="D1629" s="5" t="n"/>
      <c r="E1629" s="5" t="n"/>
      <c r="F1629" s="5" t="n"/>
      <c r="G1629" s="5" t="n"/>
      <c r="H1629" s="5" t="n"/>
      <c r="I1629" s="5" t="n"/>
      <c r="J1629" s="5" t="n"/>
      <c r="K1629" s="5" t="n"/>
      <c r="L1629" s="5" t="n"/>
      <c r="M1629" s="5" t="n"/>
      <c r="N1629" s="5" t="n"/>
      <c r="O1629" s="5" t="n"/>
      <c r="P1629" s="5" t="n"/>
      <c r="Q1629" s="5" t="n"/>
      <c r="R1629" s="5" t="n"/>
      <c r="S1629" s="5" t="n"/>
      <c r="T1629" s="5" t="n"/>
      <c r="U1629" s="5" t="n"/>
      <c r="V1629" s="5" t="n"/>
      <c r="W1629" s="5" t="n"/>
      <c r="X1629" s="5" t="n"/>
      <c r="Y1629" s="5">
        <f>IF(I1629="","",IF(AND(I1629="Fail",K1629=""),"Classify Issue Source",IF(AND(I1629="Fail",W1629=""),"Set Confidence",IF(AND(K1629="Unknown",W1629&lt;&gt;"Low"),"Unknown must be Low confidence",IF(AND(OR(K1629="Backend",K1629="SAP"),N1629=""),"Add HTTP status + endpoint",IF(AND(OR(K1629="Backend",K1629="SAP",K1629="Network"),P1629=""),"Add Correlation ID",IF(AND(I1629="Fail",T1629=""),"Write Root Cause / evidence gap",IF(AND(I1629="Fail",V1629=""),"Assign team","OK"))))))))</f>
        <v/>
      </c>
    </row>
    <row r="1630">
      <c r="A1630" s="5" t="n"/>
      <c r="B1630" s="5" t="n"/>
      <c r="C1630" s="5" t="n"/>
      <c r="D1630" s="5" t="n"/>
      <c r="E1630" s="5" t="n"/>
      <c r="F1630" s="5" t="n"/>
      <c r="G1630" s="5" t="n"/>
      <c r="H1630" s="5" t="n"/>
      <c r="I1630" s="5" t="n"/>
      <c r="J1630" s="5" t="n"/>
      <c r="K1630" s="5" t="n"/>
      <c r="L1630" s="5" t="n"/>
      <c r="M1630" s="5" t="n"/>
      <c r="N1630" s="5" t="n"/>
      <c r="O1630" s="5" t="n"/>
      <c r="P1630" s="5" t="n"/>
      <c r="Q1630" s="5" t="n"/>
      <c r="R1630" s="5" t="n"/>
      <c r="S1630" s="5" t="n"/>
      <c r="T1630" s="5" t="n"/>
      <c r="U1630" s="5" t="n"/>
      <c r="V1630" s="5" t="n"/>
      <c r="W1630" s="5" t="n"/>
      <c r="X1630" s="5" t="n"/>
      <c r="Y1630" s="5">
        <f>IF(I1630="","",IF(AND(I1630="Fail",K1630=""),"Classify Issue Source",IF(AND(I1630="Fail",W1630=""),"Set Confidence",IF(AND(K1630="Unknown",W1630&lt;&gt;"Low"),"Unknown must be Low confidence",IF(AND(OR(K1630="Backend",K1630="SAP"),N1630=""),"Add HTTP status + endpoint",IF(AND(OR(K1630="Backend",K1630="SAP",K1630="Network"),P1630=""),"Add Correlation ID",IF(AND(I1630="Fail",T1630=""),"Write Root Cause / evidence gap",IF(AND(I1630="Fail",V1630=""),"Assign team","OK"))))))))</f>
        <v/>
      </c>
    </row>
    <row r="1631">
      <c r="A1631" s="5" t="n"/>
      <c r="B1631" s="5" t="n"/>
      <c r="C1631" s="5" t="n"/>
      <c r="D1631" s="5" t="n"/>
      <c r="E1631" s="5" t="n"/>
      <c r="F1631" s="5" t="n"/>
      <c r="G1631" s="5" t="n"/>
      <c r="H1631" s="5" t="n"/>
      <c r="I1631" s="5" t="n"/>
      <c r="J1631" s="5" t="n"/>
      <c r="K1631" s="5" t="n"/>
      <c r="L1631" s="5" t="n"/>
      <c r="M1631" s="5" t="n"/>
      <c r="N1631" s="5" t="n"/>
      <c r="O1631" s="5" t="n"/>
      <c r="P1631" s="5" t="n"/>
      <c r="Q1631" s="5" t="n"/>
      <c r="R1631" s="5" t="n"/>
      <c r="S1631" s="5" t="n"/>
      <c r="T1631" s="5" t="n"/>
      <c r="U1631" s="5" t="n"/>
      <c r="V1631" s="5" t="n"/>
      <c r="W1631" s="5" t="n"/>
      <c r="X1631" s="5" t="n"/>
      <c r="Y1631" s="5">
        <f>IF(I1631="","",IF(AND(I1631="Fail",K1631=""),"Classify Issue Source",IF(AND(I1631="Fail",W1631=""),"Set Confidence",IF(AND(K1631="Unknown",W1631&lt;&gt;"Low"),"Unknown must be Low confidence",IF(AND(OR(K1631="Backend",K1631="SAP"),N1631=""),"Add HTTP status + endpoint",IF(AND(OR(K1631="Backend",K1631="SAP",K1631="Network"),P1631=""),"Add Correlation ID",IF(AND(I1631="Fail",T1631=""),"Write Root Cause / evidence gap",IF(AND(I1631="Fail",V1631=""),"Assign team","OK"))))))))</f>
        <v/>
      </c>
    </row>
    <row r="1632">
      <c r="A1632" s="5" t="n"/>
      <c r="B1632" s="5" t="n"/>
      <c r="C1632" s="5" t="n"/>
      <c r="D1632" s="5" t="n"/>
      <c r="E1632" s="5" t="n"/>
      <c r="F1632" s="5" t="n"/>
      <c r="G1632" s="5" t="n"/>
      <c r="H1632" s="5" t="n"/>
      <c r="I1632" s="5" t="n"/>
      <c r="J1632" s="5" t="n"/>
      <c r="K1632" s="5" t="n"/>
      <c r="L1632" s="5" t="n"/>
      <c r="M1632" s="5" t="n"/>
      <c r="N1632" s="5" t="n"/>
      <c r="O1632" s="5" t="n"/>
      <c r="P1632" s="5" t="n"/>
      <c r="Q1632" s="5" t="n"/>
      <c r="R1632" s="5" t="n"/>
      <c r="S1632" s="5" t="n"/>
      <c r="T1632" s="5" t="n"/>
      <c r="U1632" s="5" t="n"/>
      <c r="V1632" s="5" t="n"/>
      <c r="W1632" s="5" t="n"/>
      <c r="X1632" s="5" t="n"/>
      <c r="Y1632" s="5">
        <f>IF(I1632="","",IF(AND(I1632="Fail",K1632=""),"Classify Issue Source",IF(AND(I1632="Fail",W1632=""),"Set Confidence",IF(AND(K1632="Unknown",W1632&lt;&gt;"Low"),"Unknown must be Low confidence",IF(AND(OR(K1632="Backend",K1632="SAP"),N1632=""),"Add HTTP status + endpoint",IF(AND(OR(K1632="Backend",K1632="SAP",K1632="Network"),P1632=""),"Add Correlation ID",IF(AND(I1632="Fail",T1632=""),"Write Root Cause / evidence gap",IF(AND(I1632="Fail",V1632=""),"Assign team","OK"))))))))</f>
        <v/>
      </c>
    </row>
    <row r="1633">
      <c r="A1633" s="5" t="n"/>
      <c r="B1633" s="5" t="n"/>
      <c r="C1633" s="5" t="n"/>
      <c r="D1633" s="5" t="n"/>
      <c r="E1633" s="5" t="n"/>
      <c r="F1633" s="5" t="n"/>
      <c r="G1633" s="5" t="n"/>
      <c r="H1633" s="5" t="n"/>
      <c r="I1633" s="5" t="n"/>
      <c r="J1633" s="5" t="n"/>
      <c r="K1633" s="5" t="n"/>
      <c r="L1633" s="5" t="n"/>
      <c r="M1633" s="5" t="n"/>
      <c r="N1633" s="5" t="n"/>
      <c r="O1633" s="5" t="n"/>
      <c r="P1633" s="5" t="n"/>
      <c r="Q1633" s="5" t="n"/>
      <c r="R1633" s="5" t="n"/>
      <c r="S1633" s="5" t="n"/>
      <c r="T1633" s="5" t="n"/>
      <c r="U1633" s="5" t="n"/>
      <c r="V1633" s="5" t="n"/>
      <c r="W1633" s="5" t="n"/>
      <c r="X1633" s="5" t="n"/>
      <c r="Y1633" s="5">
        <f>IF(I1633="","",IF(AND(I1633="Fail",K1633=""),"Classify Issue Source",IF(AND(I1633="Fail",W1633=""),"Set Confidence",IF(AND(K1633="Unknown",W1633&lt;&gt;"Low"),"Unknown must be Low confidence",IF(AND(OR(K1633="Backend",K1633="SAP"),N1633=""),"Add HTTP status + endpoint",IF(AND(OR(K1633="Backend",K1633="SAP",K1633="Network"),P1633=""),"Add Correlation ID",IF(AND(I1633="Fail",T1633=""),"Write Root Cause / evidence gap",IF(AND(I1633="Fail",V1633=""),"Assign team","OK"))))))))</f>
        <v/>
      </c>
    </row>
    <row r="1634">
      <c r="A1634" s="5" t="n"/>
      <c r="B1634" s="5" t="n"/>
      <c r="C1634" s="5" t="n"/>
      <c r="D1634" s="5" t="n"/>
      <c r="E1634" s="5" t="n"/>
      <c r="F1634" s="5" t="n"/>
      <c r="G1634" s="5" t="n"/>
      <c r="H1634" s="5" t="n"/>
      <c r="I1634" s="5" t="n"/>
      <c r="J1634" s="5" t="n"/>
      <c r="K1634" s="5" t="n"/>
      <c r="L1634" s="5" t="n"/>
      <c r="M1634" s="5" t="n"/>
      <c r="N1634" s="5" t="n"/>
      <c r="O1634" s="5" t="n"/>
      <c r="P1634" s="5" t="n"/>
      <c r="Q1634" s="5" t="n"/>
      <c r="R1634" s="5" t="n"/>
      <c r="S1634" s="5" t="n"/>
      <c r="T1634" s="5" t="n"/>
      <c r="U1634" s="5" t="n"/>
      <c r="V1634" s="5" t="n"/>
      <c r="W1634" s="5" t="n"/>
      <c r="X1634" s="5" t="n"/>
      <c r="Y1634" s="5">
        <f>IF(I1634="","",IF(AND(I1634="Fail",K1634=""),"Classify Issue Source",IF(AND(I1634="Fail",W1634=""),"Set Confidence",IF(AND(K1634="Unknown",W1634&lt;&gt;"Low"),"Unknown must be Low confidence",IF(AND(OR(K1634="Backend",K1634="SAP"),N1634=""),"Add HTTP status + endpoint",IF(AND(OR(K1634="Backend",K1634="SAP",K1634="Network"),P1634=""),"Add Correlation ID",IF(AND(I1634="Fail",T1634=""),"Write Root Cause / evidence gap",IF(AND(I1634="Fail",V1634=""),"Assign team","OK"))))))))</f>
        <v/>
      </c>
    </row>
    <row r="1635">
      <c r="A1635" s="5" t="n"/>
      <c r="B1635" s="5" t="n"/>
      <c r="C1635" s="5" t="n"/>
      <c r="D1635" s="5" t="n"/>
      <c r="E1635" s="5" t="n"/>
      <c r="F1635" s="5" t="n"/>
      <c r="G1635" s="5" t="n"/>
      <c r="H1635" s="5" t="n"/>
      <c r="I1635" s="5" t="n"/>
      <c r="J1635" s="5" t="n"/>
      <c r="K1635" s="5" t="n"/>
      <c r="L1635" s="5" t="n"/>
      <c r="M1635" s="5" t="n"/>
      <c r="N1635" s="5" t="n"/>
      <c r="O1635" s="5" t="n"/>
      <c r="P1635" s="5" t="n"/>
      <c r="Q1635" s="5" t="n"/>
      <c r="R1635" s="5" t="n"/>
      <c r="S1635" s="5" t="n"/>
      <c r="T1635" s="5" t="n"/>
      <c r="U1635" s="5" t="n"/>
      <c r="V1635" s="5" t="n"/>
      <c r="W1635" s="5" t="n"/>
      <c r="X1635" s="5" t="n"/>
      <c r="Y1635" s="5">
        <f>IF(I1635="","",IF(AND(I1635="Fail",K1635=""),"Classify Issue Source",IF(AND(I1635="Fail",W1635=""),"Set Confidence",IF(AND(K1635="Unknown",W1635&lt;&gt;"Low"),"Unknown must be Low confidence",IF(AND(OR(K1635="Backend",K1635="SAP"),N1635=""),"Add HTTP status + endpoint",IF(AND(OR(K1635="Backend",K1635="SAP",K1635="Network"),P1635=""),"Add Correlation ID",IF(AND(I1635="Fail",T1635=""),"Write Root Cause / evidence gap",IF(AND(I1635="Fail",V1635=""),"Assign team","OK"))))))))</f>
        <v/>
      </c>
    </row>
    <row r="1636">
      <c r="A1636" s="5" t="n"/>
      <c r="B1636" s="5" t="n"/>
      <c r="C1636" s="5" t="n"/>
      <c r="D1636" s="5" t="n"/>
      <c r="E1636" s="5" t="n"/>
      <c r="F1636" s="5" t="n"/>
      <c r="G1636" s="5" t="n"/>
      <c r="H1636" s="5" t="n"/>
      <c r="I1636" s="5" t="n"/>
      <c r="J1636" s="5" t="n"/>
      <c r="K1636" s="5" t="n"/>
      <c r="L1636" s="5" t="n"/>
      <c r="M1636" s="5" t="n"/>
      <c r="N1636" s="5" t="n"/>
      <c r="O1636" s="5" t="n"/>
      <c r="P1636" s="5" t="n"/>
      <c r="Q1636" s="5" t="n"/>
      <c r="R1636" s="5" t="n"/>
      <c r="S1636" s="5" t="n"/>
      <c r="T1636" s="5" t="n"/>
      <c r="U1636" s="5" t="n"/>
      <c r="V1636" s="5" t="n"/>
      <c r="W1636" s="5" t="n"/>
      <c r="X1636" s="5" t="n"/>
      <c r="Y1636" s="5">
        <f>IF(I1636="","",IF(AND(I1636="Fail",K1636=""),"Classify Issue Source",IF(AND(I1636="Fail",W1636=""),"Set Confidence",IF(AND(K1636="Unknown",W1636&lt;&gt;"Low"),"Unknown must be Low confidence",IF(AND(OR(K1636="Backend",K1636="SAP"),N1636=""),"Add HTTP status + endpoint",IF(AND(OR(K1636="Backend",K1636="SAP",K1636="Network"),P1636=""),"Add Correlation ID",IF(AND(I1636="Fail",T1636=""),"Write Root Cause / evidence gap",IF(AND(I1636="Fail",V1636=""),"Assign team","OK"))))))))</f>
        <v/>
      </c>
    </row>
    <row r="1637">
      <c r="A1637" s="5" t="n"/>
      <c r="B1637" s="5" t="n"/>
      <c r="C1637" s="5" t="n"/>
      <c r="D1637" s="5" t="n"/>
      <c r="E1637" s="5" t="n"/>
      <c r="F1637" s="5" t="n"/>
      <c r="G1637" s="5" t="n"/>
      <c r="H1637" s="5" t="n"/>
      <c r="I1637" s="5" t="n"/>
      <c r="J1637" s="5" t="n"/>
      <c r="K1637" s="5" t="n"/>
      <c r="L1637" s="5" t="n"/>
      <c r="M1637" s="5" t="n"/>
      <c r="N1637" s="5" t="n"/>
      <c r="O1637" s="5" t="n"/>
      <c r="P1637" s="5" t="n"/>
      <c r="Q1637" s="5" t="n"/>
      <c r="R1637" s="5" t="n"/>
      <c r="S1637" s="5" t="n"/>
      <c r="T1637" s="5" t="n"/>
      <c r="U1637" s="5" t="n"/>
      <c r="V1637" s="5" t="n"/>
      <c r="W1637" s="5" t="n"/>
      <c r="X1637" s="5" t="n"/>
      <c r="Y1637" s="5">
        <f>IF(I1637="","",IF(AND(I1637="Fail",K1637=""),"Classify Issue Source",IF(AND(I1637="Fail",W1637=""),"Set Confidence",IF(AND(K1637="Unknown",W1637&lt;&gt;"Low"),"Unknown must be Low confidence",IF(AND(OR(K1637="Backend",K1637="SAP"),N1637=""),"Add HTTP status + endpoint",IF(AND(OR(K1637="Backend",K1637="SAP",K1637="Network"),P1637=""),"Add Correlation ID",IF(AND(I1637="Fail",T1637=""),"Write Root Cause / evidence gap",IF(AND(I1637="Fail",V1637=""),"Assign team","OK"))))))))</f>
        <v/>
      </c>
    </row>
    <row r="1638">
      <c r="A1638" s="5" t="n"/>
      <c r="B1638" s="5" t="n"/>
      <c r="C1638" s="5" t="n"/>
      <c r="D1638" s="5" t="n"/>
      <c r="E1638" s="5" t="n"/>
      <c r="F1638" s="5" t="n"/>
      <c r="G1638" s="5" t="n"/>
      <c r="H1638" s="5" t="n"/>
      <c r="I1638" s="5" t="n"/>
      <c r="J1638" s="5" t="n"/>
      <c r="K1638" s="5" t="n"/>
      <c r="L1638" s="5" t="n"/>
      <c r="M1638" s="5" t="n"/>
      <c r="N1638" s="5" t="n"/>
      <c r="O1638" s="5" t="n"/>
      <c r="P1638" s="5" t="n"/>
      <c r="Q1638" s="5" t="n"/>
      <c r="R1638" s="5" t="n"/>
      <c r="S1638" s="5" t="n"/>
      <c r="T1638" s="5" t="n"/>
      <c r="U1638" s="5" t="n"/>
      <c r="V1638" s="5" t="n"/>
      <c r="W1638" s="5" t="n"/>
      <c r="X1638" s="5" t="n"/>
      <c r="Y1638" s="5">
        <f>IF(I1638="","",IF(AND(I1638="Fail",K1638=""),"Classify Issue Source",IF(AND(I1638="Fail",W1638=""),"Set Confidence",IF(AND(K1638="Unknown",W1638&lt;&gt;"Low"),"Unknown must be Low confidence",IF(AND(OR(K1638="Backend",K1638="SAP"),N1638=""),"Add HTTP status + endpoint",IF(AND(OR(K1638="Backend",K1638="SAP",K1638="Network"),P1638=""),"Add Correlation ID",IF(AND(I1638="Fail",T1638=""),"Write Root Cause / evidence gap",IF(AND(I1638="Fail",V1638=""),"Assign team","OK"))))))))</f>
        <v/>
      </c>
    </row>
    <row r="1639">
      <c r="A1639" s="5" t="n"/>
      <c r="B1639" s="5" t="n"/>
      <c r="C1639" s="5" t="n"/>
      <c r="D1639" s="5" t="n"/>
      <c r="E1639" s="5" t="n"/>
      <c r="F1639" s="5" t="n"/>
      <c r="G1639" s="5" t="n"/>
      <c r="H1639" s="5" t="n"/>
      <c r="I1639" s="5" t="n"/>
      <c r="J1639" s="5" t="n"/>
      <c r="K1639" s="5" t="n"/>
      <c r="L1639" s="5" t="n"/>
      <c r="M1639" s="5" t="n"/>
      <c r="N1639" s="5" t="n"/>
      <c r="O1639" s="5" t="n"/>
      <c r="P1639" s="5" t="n"/>
      <c r="Q1639" s="5" t="n"/>
      <c r="R1639" s="5" t="n"/>
      <c r="S1639" s="5" t="n"/>
      <c r="T1639" s="5" t="n"/>
      <c r="U1639" s="5" t="n"/>
      <c r="V1639" s="5" t="n"/>
      <c r="W1639" s="5" t="n"/>
      <c r="X1639" s="5" t="n"/>
      <c r="Y1639" s="5">
        <f>IF(I1639="","",IF(AND(I1639="Fail",K1639=""),"Classify Issue Source",IF(AND(I1639="Fail",W1639=""),"Set Confidence",IF(AND(K1639="Unknown",W1639&lt;&gt;"Low"),"Unknown must be Low confidence",IF(AND(OR(K1639="Backend",K1639="SAP"),N1639=""),"Add HTTP status + endpoint",IF(AND(OR(K1639="Backend",K1639="SAP",K1639="Network"),P1639=""),"Add Correlation ID",IF(AND(I1639="Fail",T1639=""),"Write Root Cause / evidence gap",IF(AND(I1639="Fail",V1639=""),"Assign team","OK"))))))))</f>
        <v/>
      </c>
    </row>
    <row r="1640">
      <c r="A1640" s="5" t="n"/>
      <c r="B1640" s="5" t="n"/>
      <c r="C1640" s="5" t="n"/>
      <c r="D1640" s="5" t="n"/>
      <c r="E1640" s="5" t="n"/>
      <c r="F1640" s="5" t="n"/>
      <c r="G1640" s="5" t="n"/>
      <c r="H1640" s="5" t="n"/>
      <c r="I1640" s="5" t="n"/>
      <c r="J1640" s="5" t="n"/>
      <c r="K1640" s="5" t="n"/>
      <c r="L1640" s="5" t="n"/>
      <c r="M1640" s="5" t="n"/>
      <c r="N1640" s="5" t="n"/>
      <c r="O1640" s="5" t="n"/>
      <c r="P1640" s="5" t="n"/>
      <c r="Q1640" s="5" t="n"/>
      <c r="R1640" s="5" t="n"/>
      <c r="S1640" s="5" t="n"/>
      <c r="T1640" s="5" t="n"/>
      <c r="U1640" s="5" t="n"/>
      <c r="V1640" s="5" t="n"/>
      <c r="W1640" s="5" t="n"/>
      <c r="X1640" s="5" t="n"/>
      <c r="Y1640" s="5">
        <f>IF(I1640="","",IF(AND(I1640="Fail",K1640=""),"Classify Issue Source",IF(AND(I1640="Fail",W1640=""),"Set Confidence",IF(AND(K1640="Unknown",W1640&lt;&gt;"Low"),"Unknown must be Low confidence",IF(AND(OR(K1640="Backend",K1640="SAP"),N1640=""),"Add HTTP status + endpoint",IF(AND(OR(K1640="Backend",K1640="SAP",K1640="Network"),P1640=""),"Add Correlation ID",IF(AND(I1640="Fail",T1640=""),"Write Root Cause / evidence gap",IF(AND(I1640="Fail",V1640=""),"Assign team","OK"))))))))</f>
        <v/>
      </c>
    </row>
    <row r="1641">
      <c r="A1641" s="5" t="n"/>
      <c r="B1641" s="5" t="n"/>
      <c r="C1641" s="5" t="n"/>
      <c r="D1641" s="5" t="n"/>
      <c r="E1641" s="5" t="n"/>
      <c r="F1641" s="5" t="n"/>
      <c r="G1641" s="5" t="n"/>
      <c r="H1641" s="5" t="n"/>
      <c r="I1641" s="5" t="n"/>
      <c r="J1641" s="5" t="n"/>
      <c r="K1641" s="5" t="n"/>
      <c r="L1641" s="5" t="n"/>
      <c r="M1641" s="5" t="n"/>
      <c r="N1641" s="5" t="n"/>
      <c r="O1641" s="5" t="n"/>
      <c r="P1641" s="5" t="n"/>
      <c r="Q1641" s="5" t="n"/>
      <c r="R1641" s="5" t="n"/>
      <c r="S1641" s="5" t="n"/>
      <c r="T1641" s="5" t="n"/>
      <c r="U1641" s="5" t="n"/>
      <c r="V1641" s="5" t="n"/>
      <c r="W1641" s="5" t="n"/>
      <c r="X1641" s="5" t="n"/>
      <c r="Y1641" s="5">
        <f>IF(I1641="","",IF(AND(I1641="Fail",K1641=""),"Classify Issue Source",IF(AND(I1641="Fail",W1641=""),"Set Confidence",IF(AND(K1641="Unknown",W1641&lt;&gt;"Low"),"Unknown must be Low confidence",IF(AND(OR(K1641="Backend",K1641="SAP"),N1641=""),"Add HTTP status + endpoint",IF(AND(OR(K1641="Backend",K1641="SAP",K1641="Network"),P1641=""),"Add Correlation ID",IF(AND(I1641="Fail",T1641=""),"Write Root Cause / evidence gap",IF(AND(I1641="Fail",V1641=""),"Assign team","OK"))))))))</f>
        <v/>
      </c>
    </row>
    <row r="1642">
      <c r="A1642" s="5" t="n"/>
      <c r="B1642" s="5" t="n"/>
      <c r="C1642" s="5" t="n"/>
      <c r="D1642" s="5" t="n"/>
      <c r="E1642" s="5" t="n"/>
      <c r="F1642" s="5" t="n"/>
      <c r="G1642" s="5" t="n"/>
      <c r="H1642" s="5" t="n"/>
      <c r="I1642" s="5" t="n"/>
      <c r="J1642" s="5" t="n"/>
      <c r="K1642" s="5" t="n"/>
      <c r="L1642" s="5" t="n"/>
      <c r="M1642" s="5" t="n"/>
      <c r="N1642" s="5" t="n"/>
      <c r="O1642" s="5" t="n"/>
      <c r="P1642" s="5" t="n"/>
      <c r="Q1642" s="5" t="n"/>
      <c r="R1642" s="5" t="n"/>
      <c r="S1642" s="5" t="n"/>
      <c r="T1642" s="5" t="n"/>
      <c r="U1642" s="5" t="n"/>
      <c r="V1642" s="5" t="n"/>
      <c r="W1642" s="5" t="n"/>
      <c r="X1642" s="5" t="n"/>
      <c r="Y1642" s="5">
        <f>IF(I1642="","",IF(AND(I1642="Fail",K1642=""),"Classify Issue Source",IF(AND(I1642="Fail",W1642=""),"Set Confidence",IF(AND(K1642="Unknown",W1642&lt;&gt;"Low"),"Unknown must be Low confidence",IF(AND(OR(K1642="Backend",K1642="SAP"),N1642=""),"Add HTTP status + endpoint",IF(AND(OR(K1642="Backend",K1642="SAP",K1642="Network"),P1642=""),"Add Correlation ID",IF(AND(I1642="Fail",T1642=""),"Write Root Cause / evidence gap",IF(AND(I1642="Fail",V1642=""),"Assign team","OK"))))))))</f>
        <v/>
      </c>
    </row>
    <row r="1643">
      <c r="A1643" s="5" t="n"/>
      <c r="B1643" s="5" t="n"/>
      <c r="C1643" s="5" t="n"/>
      <c r="D1643" s="5" t="n"/>
      <c r="E1643" s="5" t="n"/>
      <c r="F1643" s="5" t="n"/>
      <c r="G1643" s="5" t="n"/>
      <c r="H1643" s="5" t="n"/>
      <c r="I1643" s="5" t="n"/>
      <c r="J1643" s="5" t="n"/>
      <c r="K1643" s="5" t="n"/>
      <c r="L1643" s="5" t="n"/>
      <c r="M1643" s="5" t="n"/>
      <c r="N1643" s="5" t="n"/>
      <c r="O1643" s="5" t="n"/>
      <c r="P1643" s="5" t="n"/>
      <c r="Q1643" s="5" t="n"/>
      <c r="R1643" s="5" t="n"/>
      <c r="S1643" s="5" t="n"/>
      <c r="T1643" s="5" t="n"/>
      <c r="U1643" s="5" t="n"/>
      <c r="V1643" s="5" t="n"/>
      <c r="W1643" s="5" t="n"/>
      <c r="X1643" s="5" t="n"/>
      <c r="Y1643" s="5">
        <f>IF(I1643="","",IF(AND(I1643="Fail",K1643=""),"Classify Issue Source",IF(AND(I1643="Fail",W1643=""),"Set Confidence",IF(AND(K1643="Unknown",W1643&lt;&gt;"Low"),"Unknown must be Low confidence",IF(AND(OR(K1643="Backend",K1643="SAP"),N1643=""),"Add HTTP status + endpoint",IF(AND(OR(K1643="Backend",K1643="SAP",K1643="Network"),P1643=""),"Add Correlation ID",IF(AND(I1643="Fail",T1643=""),"Write Root Cause / evidence gap",IF(AND(I1643="Fail",V1643=""),"Assign team","OK"))))))))</f>
        <v/>
      </c>
    </row>
    <row r="1644">
      <c r="A1644" s="5" t="n"/>
      <c r="B1644" s="5" t="n"/>
      <c r="C1644" s="5" t="n"/>
      <c r="D1644" s="5" t="n"/>
      <c r="E1644" s="5" t="n"/>
      <c r="F1644" s="5" t="n"/>
      <c r="G1644" s="5" t="n"/>
      <c r="H1644" s="5" t="n"/>
      <c r="I1644" s="5" t="n"/>
      <c r="J1644" s="5" t="n"/>
      <c r="K1644" s="5" t="n"/>
      <c r="L1644" s="5" t="n"/>
      <c r="M1644" s="5" t="n"/>
      <c r="N1644" s="5" t="n"/>
      <c r="O1644" s="5" t="n"/>
      <c r="P1644" s="5" t="n"/>
      <c r="Q1644" s="5" t="n"/>
      <c r="R1644" s="5" t="n"/>
      <c r="S1644" s="5" t="n"/>
      <c r="T1644" s="5" t="n"/>
      <c r="U1644" s="5" t="n"/>
      <c r="V1644" s="5" t="n"/>
      <c r="W1644" s="5" t="n"/>
      <c r="X1644" s="5" t="n"/>
      <c r="Y1644" s="5">
        <f>IF(I1644="","",IF(AND(I1644="Fail",K1644=""),"Classify Issue Source",IF(AND(I1644="Fail",W1644=""),"Set Confidence",IF(AND(K1644="Unknown",W1644&lt;&gt;"Low"),"Unknown must be Low confidence",IF(AND(OR(K1644="Backend",K1644="SAP"),N1644=""),"Add HTTP status + endpoint",IF(AND(OR(K1644="Backend",K1644="SAP",K1644="Network"),P1644=""),"Add Correlation ID",IF(AND(I1644="Fail",T1644=""),"Write Root Cause / evidence gap",IF(AND(I1644="Fail",V1644=""),"Assign team","OK"))))))))</f>
        <v/>
      </c>
    </row>
    <row r="1645">
      <c r="A1645" s="5" t="n"/>
      <c r="B1645" s="5" t="n"/>
      <c r="C1645" s="5" t="n"/>
      <c r="D1645" s="5" t="n"/>
      <c r="E1645" s="5" t="n"/>
      <c r="F1645" s="5" t="n"/>
      <c r="G1645" s="5" t="n"/>
      <c r="H1645" s="5" t="n"/>
      <c r="I1645" s="5" t="n"/>
      <c r="J1645" s="5" t="n"/>
      <c r="K1645" s="5" t="n"/>
      <c r="L1645" s="5" t="n"/>
      <c r="M1645" s="5" t="n"/>
      <c r="N1645" s="5" t="n"/>
      <c r="O1645" s="5" t="n"/>
      <c r="P1645" s="5" t="n"/>
      <c r="Q1645" s="5" t="n"/>
      <c r="R1645" s="5" t="n"/>
      <c r="S1645" s="5" t="n"/>
      <c r="T1645" s="5" t="n"/>
      <c r="U1645" s="5" t="n"/>
      <c r="V1645" s="5" t="n"/>
      <c r="W1645" s="5" t="n"/>
      <c r="X1645" s="5" t="n"/>
      <c r="Y1645" s="5">
        <f>IF(I1645="","",IF(AND(I1645="Fail",K1645=""),"Classify Issue Source",IF(AND(I1645="Fail",W1645=""),"Set Confidence",IF(AND(K1645="Unknown",W1645&lt;&gt;"Low"),"Unknown must be Low confidence",IF(AND(OR(K1645="Backend",K1645="SAP"),N1645=""),"Add HTTP status + endpoint",IF(AND(OR(K1645="Backend",K1645="SAP",K1645="Network"),P1645=""),"Add Correlation ID",IF(AND(I1645="Fail",T1645=""),"Write Root Cause / evidence gap",IF(AND(I1645="Fail",V1645=""),"Assign team","OK"))))))))</f>
        <v/>
      </c>
    </row>
    <row r="1646">
      <c r="A1646" s="5" t="n"/>
      <c r="B1646" s="5" t="n"/>
      <c r="C1646" s="5" t="n"/>
      <c r="D1646" s="5" t="n"/>
      <c r="E1646" s="5" t="n"/>
      <c r="F1646" s="5" t="n"/>
      <c r="G1646" s="5" t="n"/>
      <c r="H1646" s="5" t="n"/>
      <c r="I1646" s="5" t="n"/>
      <c r="J1646" s="5" t="n"/>
      <c r="K1646" s="5" t="n"/>
      <c r="L1646" s="5" t="n"/>
      <c r="M1646" s="5" t="n"/>
      <c r="N1646" s="5" t="n"/>
      <c r="O1646" s="5" t="n"/>
      <c r="P1646" s="5" t="n"/>
      <c r="Q1646" s="5" t="n"/>
      <c r="R1646" s="5" t="n"/>
      <c r="S1646" s="5" t="n"/>
      <c r="T1646" s="5" t="n"/>
      <c r="U1646" s="5" t="n"/>
      <c r="V1646" s="5" t="n"/>
      <c r="W1646" s="5" t="n"/>
      <c r="X1646" s="5" t="n"/>
      <c r="Y1646" s="5">
        <f>IF(I1646="","",IF(AND(I1646="Fail",K1646=""),"Classify Issue Source",IF(AND(I1646="Fail",W1646=""),"Set Confidence",IF(AND(K1646="Unknown",W1646&lt;&gt;"Low"),"Unknown must be Low confidence",IF(AND(OR(K1646="Backend",K1646="SAP"),N1646=""),"Add HTTP status + endpoint",IF(AND(OR(K1646="Backend",K1646="SAP",K1646="Network"),P1646=""),"Add Correlation ID",IF(AND(I1646="Fail",T1646=""),"Write Root Cause / evidence gap",IF(AND(I1646="Fail",V1646=""),"Assign team","OK"))))))))</f>
        <v/>
      </c>
    </row>
    <row r="1647">
      <c r="A1647" s="5" t="n"/>
      <c r="B1647" s="5" t="n"/>
      <c r="C1647" s="5" t="n"/>
      <c r="D1647" s="5" t="n"/>
      <c r="E1647" s="5" t="n"/>
      <c r="F1647" s="5" t="n"/>
      <c r="G1647" s="5" t="n"/>
      <c r="H1647" s="5" t="n"/>
      <c r="I1647" s="5" t="n"/>
      <c r="J1647" s="5" t="n"/>
      <c r="K1647" s="5" t="n"/>
      <c r="L1647" s="5" t="n"/>
      <c r="M1647" s="5" t="n"/>
      <c r="N1647" s="5" t="n"/>
      <c r="O1647" s="5" t="n"/>
      <c r="P1647" s="5" t="n"/>
      <c r="Q1647" s="5" t="n"/>
      <c r="R1647" s="5" t="n"/>
      <c r="S1647" s="5" t="n"/>
      <c r="T1647" s="5" t="n"/>
      <c r="U1647" s="5" t="n"/>
      <c r="V1647" s="5" t="n"/>
      <c r="W1647" s="5" t="n"/>
      <c r="X1647" s="5" t="n"/>
      <c r="Y1647" s="5">
        <f>IF(I1647="","",IF(AND(I1647="Fail",K1647=""),"Classify Issue Source",IF(AND(I1647="Fail",W1647=""),"Set Confidence",IF(AND(K1647="Unknown",W1647&lt;&gt;"Low"),"Unknown must be Low confidence",IF(AND(OR(K1647="Backend",K1647="SAP"),N1647=""),"Add HTTP status + endpoint",IF(AND(OR(K1647="Backend",K1647="SAP",K1647="Network"),P1647=""),"Add Correlation ID",IF(AND(I1647="Fail",T1647=""),"Write Root Cause / evidence gap",IF(AND(I1647="Fail",V1647=""),"Assign team","OK"))))))))</f>
        <v/>
      </c>
    </row>
    <row r="1648">
      <c r="A1648" s="5" t="n"/>
      <c r="B1648" s="5" t="n"/>
      <c r="C1648" s="5" t="n"/>
      <c r="D1648" s="5" t="n"/>
      <c r="E1648" s="5" t="n"/>
      <c r="F1648" s="5" t="n"/>
      <c r="G1648" s="5" t="n"/>
      <c r="H1648" s="5" t="n"/>
      <c r="I1648" s="5" t="n"/>
      <c r="J1648" s="5" t="n"/>
      <c r="K1648" s="5" t="n"/>
      <c r="L1648" s="5" t="n"/>
      <c r="M1648" s="5" t="n"/>
      <c r="N1648" s="5" t="n"/>
      <c r="O1648" s="5" t="n"/>
      <c r="P1648" s="5" t="n"/>
      <c r="Q1648" s="5" t="n"/>
      <c r="R1648" s="5" t="n"/>
      <c r="S1648" s="5" t="n"/>
      <c r="T1648" s="5" t="n"/>
      <c r="U1648" s="5" t="n"/>
      <c r="V1648" s="5" t="n"/>
      <c r="W1648" s="5" t="n"/>
      <c r="X1648" s="5" t="n"/>
      <c r="Y1648" s="5">
        <f>IF(I1648="","",IF(AND(I1648="Fail",K1648=""),"Classify Issue Source",IF(AND(I1648="Fail",W1648=""),"Set Confidence",IF(AND(K1648="Unknown",W1648&lt;&gt;"Low"),"Unknown must be Low confidence",IF(AND(OR(K1648="Backend",K1648="SAP"),N1648=""),"Add HTTP status + endpoint",IF(AND(OR(K1648="Backend",K1648="SAP",K1648="Network"),P1648=""),"Add Correlation ID",IF(AND(I1648="Fail",T1648=""),"Write Root Cause / evidence gap",IF(AND(I1648="Fail",V1648=""),"Assign team","OK"))))))))</f>
        <v/>
      </c>
    </row>
    <row r="1649">
      <c r="A1649" s="5" t="n"/>
      <c r="B1649" s="5" t="n"/>
      <c r="C1649" s="5" t="n"/>
      <c r="D1649" s="5" t="n"/>
      <c r="E1649" s="5" t="n"/>
      <c r="F1649" s="5" t="n"/>
      <c r="G1649" s="5" t="n"/>
      <c r="H1649" s="5" t="n"/>
      <c r="I1649" s="5" t="n"/>
      <c r="J1649" s="5" t="n"/>
      <c r="K1649" s="5" t="n"/>
      <c r="L1649" s="5" t="n"/>
      <c r="M1649" s="5" t="n"/>
      <c r="N1649" s="5" t="n"/>
      <c r="O1649" s="5" t="n"/>
      <c r="P1649" s="5" t="n"/>
      <c r="Q1649" s="5" t="n"/>
      <c r="R1649" s="5" t="n"/>
      <c r="S1649" s="5" t="n"/>
      <c r="T1649" s="5" t="n"/>
      <c r="U1649" s="5" t="n"/>
      <c r="V1649" s="5" t="n"/>
      <c r="W1649" s="5" t="n"/>
      <c r="X1649" s="5" t="n"/>
      <c r="Y1649" s="5">
        <f>IF(I1649="","",IF(AND(I1649="Fail",K1649=""),"Classify Issue Source",IF(AND(I1649="Fail",W1649=""),"Set Confidence",IF(AND(K1649="Unknown",W1649&lt;&gt;"Low"),"Unknown must be Low confidence",IF(AND(OR(K1649="Backend",K1649="SAP"),N1649=""),"Add HTTP status + endpoint",IF(AND(OR(K1649="Backend",K1649="SAP",K1649="Network"),P1649=""),"Add Correlation ID",IF(AND(I1649="Fail",T1649=""),"Write Root Cause / evidence gap",IF(AND(I1649="Fail",V1649=""),"Assign team","OK"))))))))</f>
        <v/>
      </c>
    </row>
    <row r="1650">
      <c r="A1650" s="5" t="n"/>
      <c r="B1650" s="5" t="n"/>
      <c r="C1650" s="5" t="n"/>
      <c r="D1650" s="5" t="n"/>
      <c r="E1650" s="5" t="n"/>
      <c r="F1650" s="5" t="n"/>
      <c r="G1650" s="5" t="n"/>
      <c r="H1650" s="5" t="n"/>
      <c r="I1650" s="5" t="n"/>
      <c r="J1650" s="5" t="n"/>
      <c r="K1650" s="5" t="n"/>
      <c r="L1650" s="5" t="n"/>
      <c r="M1650" s="5" t="n"/>
      <c r="N1650" s="5" t="n"/>
      <c r="O1650" s="5" t="n"/>
      <c r="P1650" s="5" t="n"/>
      <c r="Q1650" s="5" t="n"/>
      <c r="R1650" s="5" t="n"/>
      <c r="S1650" s="5" t="n"/>
      <c r="T1650" s="5" t="n"/>
      <c r="U1650" s="5" t="n"/>
      <c r="V1650" s="5" t="n"/>
      <c r="W1650" s="5" t="n"/>
      <c r="X1650" s="5" t="n"/>
      <c r="Y1650" s="5">
        <f>IF(I1650="","",IF(AND(I1650="Fail",K1650=""),"Classify Issue Source",IF(AND(I1650="Fail",W1650=""),"Set Confidence",IF(AND(K1650="Unknown",W1650&lt;&gt;"Low"),"Unknown must be Low confidence",IF(AND(OR(K1650="Backend",K1650="SAP"),N1650=""),"Add HTTP status + endpoint",IF(AND(OR(K1650="Backend",K1650="SAP",K1650="Network"),P1650=""),"Add Correlation ID",IF(AND(I1650="Fail",T1650=""),"Write Root Cause / evidence gap",IF(AND(I1650="Fail",V1650=""),"Assign team","OK"))))))))</f>
        <v/>
      </c>
    </row>
    <row r="1651">
      <c r="A1651" s="5" t="n"/>
      <c r="B1651" s="5" t="n"/>
      <c r="C1651" s="5" t="n"/>
      <c r="D1651" s="5" t="n"/>
      <c r="E1651" s="5" t="n"/>
      <c r="F1651" s="5" t="n"/>
      <c r="G1651" s="5" t="n"/>
      <c r="H1651" s="5" t="n"/>
      <c r="I1651" s="5" t="n"/>
      <c r="J1651" s="5" t="n"/>
      <c r="K1651" s="5" t="n"/>
      <c r="L1651" s="5" t="n"/>
      <c r="M1651" s="5" t="n"/>
      <c r="N1651" s="5" t="n"/>
      <c r="O1651" s="5" t="n"/>
      <c r="P1651" s="5" t="n"/>
      <c r="Q1651" s="5" t="n"/>
      <c r="R1651" s="5" t="n"/>
      <c r="S1651" s="5" t="n"/>
      <c r="T1651" s="5" t="n"/>
      <c r="U1651" s="5" t="n"/>
      <c r="V1651" s="5" t="n"/>
      <c r="W1651" s="5" t="n"/>
      <c r="X1651" s="5" t="n"/>
      <c r="Y1651" s="5">
        <f>IF(I1651="","",IF(AND(I1651="Fail",K1651=""),"Classify Issue Source",IF(AND(I1651="Fail",W1651=""),"Set Confidence",IF(AND(K1651="Unknown",W1651&lt;&gt;"Low"),"Unknown must be Low confidence",IF(AND(OR(K1651="Backend",K1651="SAP"),N1651=""),"Add HTTP status + endpoint",IF(AND(OR(K1651="Backend",K1651="SAP",K1651="Network"),P1651=""),"Add Correlation ID",IF(AND(I1651="Fail",T1651=""),"Write Root Cause / evidence gap",IF(AND(I1651="Fail",V1651=""),"Assign team","OK"))))))))</f>
        <v/>
      </c>
    </row>
    <row r="1652">
      <c r="A1652" s="5" t="n"/>
      <c r="B1652" s="5" t="n"/>
      <c r="C1652" s="5" t="n"/>
      <c r="D1652" s="5" t="n"/>
      <c r="E1652" s="5" t="n"/>
      <c r="F1652" s="5" t="n"/>
      <c r="G1652" s="5" t="n"/>
      <c r="H1652" s="5" t="n"/>
      <c r="I1652" s="5" t="n"/>
      <c r="J1652" s="5" t="n"/>
      <c r="K1652" s="5" t="n"/>
      <c r="L1652" s="5" t="n"/>
      <c r="M1652" s="5" t="n"/>
      <c r="N1652" s="5" t="n"/>
      <c r="O1652" s="5" t="n"/>
      <c r="P1652" s="5" t="n"/>
      <c r="Q1652" s="5" t="n"/>
      <c r="R1652" s="5" t="n"/>
      <c r="S1652" s="5" t="n"/>
      <c r="T1652" s="5" t="n"/>
      <c r="U1652" s="5" t="n"/>
      <c r="V1652" s="5" t="n"/>
      <c r="W1652" s="5" t="n"/>
      <c r="X1652" s="5" t="n"/>
      <c r="Y1652" s="5">
        <f>IF(I1652="","",IF(AND(I1652="Fail",K1652=""),"Classify Issue Source",IF(AND(I1652="Fail",W1652=""),"Set Confidence",IF(AND(K1652="Unknown",W1652&lt;&gt;"Low"),"Unknown must be Low confidence",IF(AND(OR(K1652="Backend",K1652="SAP"),N1652=""),"Add HTTP status + endpoint",IF(AND(OR(K1652="Backend",K1652="SAP",K1652="Network"),P1652=""),"Add Correlation ID",IF(AND(I1652="Fail",T1652=""),"Write Root Cause / evidence gap",IF(AND(I1652="Fail",V1652=""),"Assign team","OK"))))))))</f>
        <v/>
      </c>
    </row>
    <row r="1653">
      <c r="A1653" s="5" t="n"/>
      <c r="B1653" s="5" t="n"/>
      <c r="C1653" s="5" t="n"/>
      <c r="D1653" s="5" t="n"/>
      <c r="E1653" s="5" t="n"/>
      <c r="F1653" s="5" t="n"/>
      <c r="G1653" s="5" t="n"/>
      <c r="H1653" s="5" t="n"/>
      <c r="I1653" s="5" t="n"/>
      <c r="J1653" s="5" t="n"/>
      <c r="K1653" s="5" t="n"/>
      <c r="L1653" s="5" t="n"/>
      <c r="M1653" s="5" t="n"/>
      <c r="N1653" s="5" t="n"/>
      <c r="O1653" s="5" t="n"/>
      <c r="P1653" s="5" t="n"/>
      <c r="Q1653" s="5" t="n"/>
      <c r="R1653" s="5" t="n"/>
      <c r="S1653" s="5" t="n"/>
      <c r="T1653" s="5" t="n"/>
      <c r="U1653" s="5" t="n"/>
      <c r="V1653" s="5" t="n"/>
      <c r="W1653" s="5" t="n"/>
      <c r="X1653" s="5" t="n"/>
      <c r="Y1653" s="5">
        <f>IF(I1653="","",IF(AND(I1653="Fail",K1653=""),"Classify Issue Source",IF(AND(I1653="Fail",W1653=""),"Set Confidence",IF(AND(K1653="Unknown",W1653&lt;&gt;"Low"),"Unknown must be Low confidence",IF(AND(OR(K1653="Backend",K1653="SAP"),N1653=""),"Add HTTP status + endpoint",IF(AND(OR(K1653="Backend",K1653="SAP",K1653="Network"),P1653=""),"Add Correlation ID",IF(AND(I1653="Fail",T1653=""),"Write Root Cause / evidence gap",IF(AND(I1653="Fail",V1653=""),"Assign team","OK"))))))))</f>
        <v/>
      </c>
    </row>
    <row r="1654">
      <c r="A1654" s="5" t="n"/>
      <c r="B1654" s="5" t="n"/>
      <c r="C1654" s="5" t="n"/>
      <c r="D1654" s="5" t="n"/>
      <c r="E1654" s="5" t="n"/>
      <c r="F1654" s="5" t="n"/>
      <c r="G1654" s="5" t="n"/>
      <c r="H1654" s="5" t="n"/>
      <c r="I1654" s="5" t="n"/>
      <c r="J1654" s="5" t="n"/>
      <c r="K1654" s="5" t="n"/>
      <c r="L1654" s="5" t="n"/>
      <c r="M1654" s="5" t="n"/>
      <c r="N1654" s="5" t="n"/>
      <c r="O1654" s="5" t="n"/>
      <c r="P1654" s="5" t="n"/>
      <c r="Q1654" s="5" t="n"/>
      <c r="R1654" s="5" t="n"/>
      <c r="S1654" s="5" t="n"/>
      <c r="T1654" s="5" t="n"/>
      <c r="U1654" s="5" t="n"/>
      <c r="V1654" s="5" t="n"/>
      <c r="W1654" s="5" t="n"/>
      <c r="X1654" s="5" t="n"/>
      <c r="Y1654" s="5">
        <f>IF(I1654="","",IF(AND(I1654="Fail",K1654=""),"Classify Issue Source",IF(AND(I1654="Fail",W1654=""),"Set Confidence",IF(AND(K1654="Unknown",W1654&lt;&gt;"Low"),"Unknown must be Low confidence",IF(AND(OR(K1654="Backend",K1654="SAP"),N1654=""),"Add HTTP status + endpoint",IF(AND(OR(K1654="Backend",K1654="SAP",K1654="Network"),P1654=""),"Add Correlation ID",IF(AND(I1654="Fail",T1654=""),"Write Root Cause / evidence gap",IF(AND(I1654="Fail",V1654=""),"Assign team","OK"))))))))</f>
        <v/>
      </c>
    </row>
    <row r="1655">
      <c r="A1655" s="5" t="n"/>
      <c r="B1655" s="5" t="n"/>
      <c r="C1655" s="5" t="n"/>
      <c r="D1655" s="5" t="n"/>
      <c r="E1655" s="5" t="n"/>
      <c r="F1655" s="5" t="n"/>
      <c r="G1655" s="5" t="n"/>
      <c r="H1655" s="5" t="n"/>
      <c r="I1655" s="5" t="n"/>
      <c r="J1655" s="5" t="n"/>
      <c r="K1655" s="5" t="n"/>
      <c r="L1655" s="5" t="n"/>
      <c r="M1655" s="5" t="n"/>
      <c r="N1655" s="5" t="n"/>
      <c r="O1655" s="5" t="n"/>
      <c r="P1655" s="5" t="n"/>
      <c r="Q1655" s="5" t="n"/>
      <c r="R1655" s="5" t="n"/>
      <c r="S1655" s="5" t="n"/>
      <c r="T1655" s="5" t="n"/>
      <c r="U1655" s="5" t="n"/>
      <c r="V1655" s="5" t="n"/>
      <c r="W1655" s="5" t="n"/>
      <c r="X1655" s="5" t="n"/>
      <c r="Y1655" s="5">
        <f>IF(I1655="","",IF(AND(I1655="Fail",K1655=""),"Classify Issue Source",IF(AND(I1655="Fail",W1655=""),"Set Confidence",IF(AND(K1655="Unknown",W1655&lt;&gt;"Low"),"Unknown must be Low confidence",IF(AND(OR(K1655="Backend",K1655="SAP"),N1655=""),"Add HTTP status + endpoint",IF(AND(OR(K1655="Backend",K1655="SAP",K1655="Network"),P1655=""),"Add Correlation ID",IF(AND(I1655="Fail",T1655=""),"Write Root Cause / evidence gap",IF(AND(I1655="Fail",V1655=""),"Assign team","OK"))))))))</f>
        <v/>
      </c>
    </row>
    <row r="1656">
      <c r="A1656" s="5" t="n"/>
      <c r="B1656" s="5" t="n"/>
      <c r="C1656" s="5" t="n"/>
      <c r="D1656" s="5" t="n"/>
      <c r="E1656" s="5" t="n"/>
      <c r="F1656" s="5" t="n"/>
      <c r="G1656" s="5" t="n"/>
      <c r="H1656" s="5" t="n"/>
      <c r="I1656" s="5" t="n"/>
      <c r="J1656" s="5" t="n"/>
      <c r="K1656" s="5" t="n"/>
      <c r="L1656" s="5" t="n"/>
      <c r="M1656" s="5" t="n"/>
      <c r="N1656" s="5" t="n"/>
      <c r="O1656" s="5" t="n"/>
      <c r="P1656" s="5" t="n"/>
      <c r="Q1656" s="5" t="n"/>
      <c r="R1656" s="5" t="n"/>
      <c r="S1656" s="5" t="n"/>
      <c r="T1656" s="5" t="n"/>
      <c r="U1656" s="5" t="n"/>
      <c r="V1656" s="5" t="n"/>
      <c r="W1656" s="5" t="n"/>
      <c r="X1656" s="5" t="n"/>
      <c r="Y1656" s="5">
        <f>IF(I1656="","",IF(AND(I1656="Fail",K1656=""),"Classify Issue Source",IF(AND(I1656="Fail",W1656=""),"Set Confidence",IF(AND(K1656="Unknown",W1656&lt;&gt;"Low"),"Unknown must be Low confidence",IF(AND(OR(K1656="Backend",K1656="SAP"),N1656=""),"Add HTTP status + endpoint",IF(AND(OR(K1656="Backend",K1656="SAP",K1656="Network"),P1656=""),"Add Correlation ID",IF(AND(I1656="Fail",T1656=""),"Write Root Cause / evidence gap",IF(AND(I1656="Fail",V1656=""),"Assign team","OK"))))))))</f>
        <v/>
      </c>
    </row>
    <row r="1657">
      <c r="A1657" s="5" t="n"/>
      <c r="B1657" s="5" t="n"/>
      <c r="C1657" s="5" t="n"/>
      <c r="D1657" s="5" t="n"/>
      <c r="E1657" s="5" t="n"/>
      <c r="F1657" s="5" t="n"/>
      <c r="G1657" s="5" t="n"/>
      <c r="H1657" s="5" t="n"/>
      <c r="I1657" s="5" t="n"/>
      <c r="J1657" s="5" t="n"/>
      <c r="K1657" s="5" t="n"/>
      <c r="L1657" s="5" t="n"/>
      <c r="M1657" s="5" t="n"/>
      <c r="N1657" s="5" t="n"/>
      <c r="O1657" s="5" t="n"/>
      <c r="P1657" s="5" t="n"/>
      <c r="Q1657" s="5" t="n"/>
      <c r="R1657" s="5" t="n"/>
      <c r="S1657" s="5" t="n"/>
      <c r="T1657" s="5" t="n"/>
      <c r="U1657" s="5" t="n"/>
      <c r="V1657" s="5" t="n"/>
      <c r="W1657" s="5" t="n"/>
      <c r="X1657" s="5" t="n"/>
      <c r="Y1657" s="5">
        <f>IF(I1657="","",IF(AND(I1657="Fail",K1657=""),"Classify Issue Source",IF(AND(I1657="Fail",W1657=""),"Set Confidence",IF(AND(K1657="Unknown",W1657&lt;&gt;"Low"),"Unknown must be Low confidence",IF(AND(OR(K1657="Backend",K1657="SAP"),N1657=""),"Add HTTP status + endpoint",IF(AND(OR(K1657="Backend",K1657="SAP",K1657="Network"),P1657=""),"Add Correlation ID",IF(AND(I1657="Fail",T1657=""),"Write Root Cause / evidence gap",IF(AND(I1657="Fail",V1657=""),"Assign team","OK"))))))))</f>
        <v/>
      </c>
    </row>
    <row r="1658">
      <c r="A1658" s="5" t="n"/>
      <c r="B1658" s="5" t="n"/>
      <c r="C1658" s="5" t="n"/>
      <c r="D1658" s="5" t="n"/>
      <c r="E1658" s="5" t="n"/>
      <c r="F1658" s="5" t="n"/>
      <c r="G1658" s="5" t="n"/>
      <c r="H1658" s="5" t="n"/>
      <c r="I1658" s="5" t="n"/>
      <c r="J1658" s="5" t="n"/>
      <c r="K1658" s="5" t="n"/>
      <c r="L1658" s="5" t="n"/>
      <c r="M1658" s="5" t="n"/>
      <c r="N1658" s="5" t="n"/>
      <c r="O1658" s="5" t="n"/>
      <c r="P1658" s="5" t="n"/>
      <c r="Q1658" s="5" t="n"/>
      <c r="R1658" s="5" t="n"/>
      <c r="S1658" s="5" t="n"/>
      <c r="T1658" s="5" t="n"/>
      <c r="U1658" s="5" t="n"/>
      <c r="V1658" s="5" t="n"/>
      <c r="W1658" s="5" t="n"/>
      <c r="X1658" s="5" t="n"/>
      <c r="Y1658" s="5">
        <f>IF(I1658="","",IF(AND(I1658="Fail",K1658=""),"Classify Issue Source",IF(AND(I1658="Fail",W1658=""),"Set Confidence",IF(AND(K1658="Unknown",W1658&lt;&gt;"Low"),"Unknown must be Low confidence",IF(AND(OR(K1658="Backend",K1658="SAP"),N1658=""),"Add HTTP status + endpoint",IF(AND(OR(K1658="Backend",K1658="SAP",K1658="Network"),P1658=""),"Add Correlation ID",IF(AND(I1658="Fail",T1658=""),"Write Root Cause / evidence gap",IF(AND(I1658="Fail",V1658=""),"Assign team","OK"))))))))</f>
        <v/>
      </c>
    </row>
    <row r="1659">
      <c r="A1659" s="5" t="n"/>
      <c r="B1659" s="5" t="n"/>
      <c r="C1659" s="5" t="n"/>
      <c r="D1659" s="5" t="n"/>
      <c r="E1659" s="5" t="n"/>
      <c r="F1659" s="5" t="n"/>
      <c r="G1659" s="5" t="n"/>
      <c r="H1659" s="5" t="n"/>
      <c r="I1659" s="5" t="n"/>
      <c r="J1659" s="5" t="n"/>
      <c r="K1659" s="5" t="n"/>
      <c r="L1659" s="5" t="n"/>
      <c r="M1659" s="5" t="n"/>
      <c r="N1659" s="5" t="n"/>
      <c r="O1659" s="5" t="n"/>
      <c r="P1659" s="5" t="n"/>
      <c r="Q1659" s="5" t="n"/>
      <c r="R1659" s="5" t="n"/>
      <c r="S1659" s="5" t="n"/>
      <c r="T1659" s="5" t="n"/>
      <c r="U1659" s="5" t="n"/>
      <c r="V1659" s="5" t="n"/>
      <c r="W1659" s="5" t="n"/>
      <c r="X1659" s="5" t="n"/>
      <c r="Y1659" s="5">
        <f>IF(I1659="","",IF(AND(I1659="Fail",K1659=""),"Classify Issue Source",IF(AND(I1659="Fail",W1659=""),"Set Confidence",IF(AND(K1659="Unknown",W1659&lt;&gt;"Low"),"Unknown must be Low confidence",IF(AND(OR(K1659="Backend",K1659="SAP"),N1659=""),"Add HTTP status + endpoint",IF(AND(OR(K1659="Backend",K1659="SAP",K1659="Network"),P1659=""),"Add Correlation ID",IF(AND(I1659="Fail",T1659=""),"Write Root Cause / evidence gap",IF(AND(I1659="Fail",V1659=""),"Assign team","OK"))))))))</f>
        <v/>
      </c>
    </row>
    <row r="1660">
      <c r="A1660" s="5" t="n"/>
      <c r="B1660" s="5" t="n"/>
      <c r="C1660" s="5" t="n"/>
      <c r="D1660" s="5" t="n"/>
      <c r="E1660" s="5" t="n"/>
      <c r="F1660" s="5" t="n"/>
      <c r="G1660" s="5" t="n"/>
      <c r="H1660" s="5" t="n"/>
      <c r="I1660" s="5" t="n"/>
      <c r="J1660" s="5" t="n"/>
      <c r="K1660" s="5" t="n"/>
      <c r="L1660" s="5" t="n"/>
      <c r="M1660" s="5" t="n"/>
      <c r="N1660" s="5" t="n"/>
      <c r="O1660" s="5" t="n"/>
      <c r="P1660" s="5" t="n"/>
      <c r="Q1660" s="5" t="n"/>
      <c r="R1660" s="5" t="n"/>
      <c r="S1660" s="5" t="n"/>
      <c r="T1660" s="5" t="n"/>
      <c r="U1660" s="5" t="n"/>
      <c r="V1660" s="5" t="n"/>
      <c r="W1660" s="5" t="n"/>
      <c r="X1660" s="5" t="n"/>
      <c r="Y1660" s="5">
        <f>IF(I1660="","",IF(AND(I1660="Fail",K1660=""),"Classify Issue Source",IF(AND(I1660="Fail",W1660=""),"Set Confidence",IF(AND(K1660="Unknown",W1660&lt;&gt;"Low"),"Unknown must be Low confidence",IF(AND(OR(K1660="Backend",K1660="SAP"),N1660=""),"Add HTTP status + endpoint",IF(AND(OR(K1660="Backend",K1660="SAP",K1660="Network"),P1660=""),"Add Correlation ID",IF(AND(I1660="Fail",T1660=""),"Write Root Cause / evidence gap",IF(AND(I1660="Fail",V1660=""),"Assign team","OK"))))))))</f>
        <v/>
      </c>
    </row>
    <row r="1661">
      <c r="A1661" s="5" t="n"/>
      <c r="B1661" s="5" t="n"/>
      <c r="C1661" s="5" t="n"/>
      <c r="D1661" s="5" t="n"/>
      <c r="E1661" s="5" t="n"/>
      <c r="F1661" s="5" t="n"/>
      <c r="G1661" s="5" t="n"/>
      <c r="H1661" s="5" t="n"/>
      <c r="I1661" s="5" t="n"/>
      <c r="J1661" s="5" t="n"/>
      <c r="K1661" s="5" t="n"/>
      <c r="L1661" s="5" t="n"/>
      <c r="M1661" s="5" t="n"/>
      <c r="N1661" s="5" t="n"/>
      <c r="O1661" s="5" t="n"/>
      <c r="P1661" s="5" t="n"/>
      <c r="Q1661" s="5" t="n"/>
      <c r="R1661" s="5" t="n"/>
      <c r="S1661" s="5" t="n"/>
      <c r="T1661" s="5" t="n"/>
      <c r="U1661" s="5" t="n"/>
      <c r="V1661" s="5" t="n"/>
      <c r="W1661" s="5" t="n"/>
      <c r="X1661" s="5" t="n"/>
      <c r="Y1661" s="5">
        <f>IF(I1661="","",IF(AND(I1661="Fail",K1661=""),"Classify Issue Source",IF(AND(I1661="Fail",W1661=""),"Set Confidence",IF(AND(K1661="Unknown",W1661&lt;&gt;"Low"),"Unknown must be Low confidence",IF(AND(OR(K1661="Backend",K1661="SAP"),N1661=""),"Add HTTP status + endpoint",IF(AND(OR(K1661="Backend",K1661="SAP",K1661="Network"),P1661=""),"Add Correlation ID",IF(AND(I1661="Fail",T1661=""),"Write Root Cause / evidence gap",IF(AND(I1661="Fail",V1661=""),"Assign team","OK"))))))))</f>
        <v/>
      </c>
    </row>
    <row r="1662">
      <c r="A1662" s="5" t="n"/>
      <c r="B1662" s="5" t="n"/>
      <c r="C1662" s="5" t="n"/>
      <c r="D1662" s="5" t="n"/>
      <c r="E1662" s="5" t="n"/>
      <c r="F1662" s="5" t="n"/>
      <c r="G1662" s="5" t="n"/>
      <c r="H1662" s="5" t="n"/>
      <c r="I1662" s="5" t="n"/>
      <c r="J1662" s="5" t="n"/>
      <c r="K1662" s="5" t="n"/>
      <c r="L1662" s="5" t="n"/>
      <c r="M1662" s="5" t="n"/>
      <c r="N1662" s="5" t="n"/>
      <c r="O1662" s="5" t="n"/>
      <c r="P1662" s="5" t="n"/>
      <c r="Q1662" s="5" t="n"/>
      <c r="R1662" s="5" t="n"/>
      <c r="S1662" s="5" t="n"/>
      <c r="T1662" s="5" t="n"/>
      <c r="U1662" s="5" t="n"/>
      <c r="V1662" s="5" t="n"/>
      <c r="W1662" s="5" t="n"/>
      <c r="X1662" s="5" t="n"/>
      <c r="Y1662" s="5">
        <f>IF(I1662="","",IF(AND(I1662="Fail",K1662=""),"Classify Issue Source",IF(AND(I1662="Fail",W1662=""),"Set Confidence",IF(AND(K1662="Unknown",W1662&lt;&gt;"Low"),"Unknown must be Low confidence",IF(AND(OR(K1662="Backend",K1662="SAP"),N1662=""),"Add HTTP status + endpoint",IF(AND(OR(K1662="Backend",K1662="SAP",K1662="Network"),P1662=""),"Add Correlation ID",IF(AND(I1662="Fail",T1662=""),"Write Root Cause / evidence gap",IF(AND(I1662="Fail",V1662=""),"Assign team","OK"))))))))</f>
        <v/>
      </c>
    </row>
    <row r="1663">
      <c r="A1663" s="5" t="n"/>
      <c r="B1663" s="5" t="n"/>
      <c r="C1663" s="5" t="n"/>
      <c r="D1663" s="5" t="n"/>
      <c r="E1663" s="5" t="n"/>
      <c r="F1663" s="5" t="n"/>
      <c r="G1663" s="5" t="n"/>
      <c r="H1663" s="5" t="n"/>
      <c r="I1663" s="5" t="n"/>
      <c r="J1663" s="5" t="n"/>
      <c r="K1663" s="5" t="n"/>
      <c r="L1663" s="5" t="n"/>
      <c r="M1663" s="5" t="n"/>
      <c r="N1663" s="5" t="n"/>
      <c r="O1663" s="5" t="n"/>
      <c r="P1663" s="5" t="n"/>
      <c r="Q1663" s="5" t="n"/>
      <c r="R1663" s="5" t="n"/>
      <c r="S1663" s="5" t="n"/>
      <c r="T1663" s="5" t="n"/>
      <c r="U1663" s="5" t="n"/>
      <c r="V1663" s="5" t="n"/>
      <c r="W1663" s="5" t="n"/>
      <c r="X1663" s="5" t="n"/>
      <c r="Y1663" s="5">
        <f>IF(I1663="","",IF(AND(I1663="Fail",K1663=""),"Classify Issue Source",IF(AND(I1663="Fail",W1663=""),"Set Confidence",IF(AND(K1663="Unknown",W1663&lt;&gt;"Low"),"Unknown must be Low confidence",IF(AND(OR(K1663="Backend",K1663="SAP"),N1663=""),"Add HTTP status + endpoint",IF(AND(OR(K1663="Backend",K1663="SAP",K1663="Network"),P1663=""),"Add Correlation ID",IF(AND(I1663="Fail",T1663=""),"Write Root Cause / evidence gap",IF(AND(I1663="Fail",V1663=""),"Assign team","OK"))))))))</f>
        <v/>
      </c>
    </row>
    <row r="1664">
      <c r="A1664" s="5" t="n"/>
      <c r="B1664" s="5" t="n"/>
      <c r="C1664" s="5" t="n"/>
      <c r="D1664" s="5" t="n"/>
      <c r="E1664" s="5" t="n"/>
      <c r="F1664" s="5" t="n"/>
      <c r="G1664" s="5" t="n"/>
      <c r="H1664" s="5" t="n"/>
      <c r="I1664" s="5" t="n"/>
      <c r="J1664" s="5" t="n"/>
      <c r="K1664" s="5" t="n"/>
      <c r="L1664" s="5" t="n"/>
      <c r="M1664" s="5" t="n"/>
      <c r="N1664" s="5" t="n"/>
      <c r="O1664" s="5" t="n"/>
      <c r="P1664" s="5" t="n"/>
      <c r="Q1664" s="5" t="n"/>
      <c r="R1664" s="5" t="n"/>
      <c r="S1664" s="5" t="n"/>
      <c r="T1664" s="5" t="n"/>
      <c r="U1664" s="5" t="n"/>
      <c r="V1664" s="5" t="n"/>
      <c r="W1664" s="5" t="n"/>
      <c r="X1664" s="5" t="n"/>
      <c r="Y1664" s="5">
        <f>IF(I1664="","",IF(AND(I1664="Fail",K1664=""),"Classify Issue Source",IF(AND(I1664="Fail",W1664=""),"Set Confidence",IF(AND(K1664="Unknown",W1664&lt;&gt;"Low"),"Unknown must be Low confidence",IF(AND(OR(K1664="Backend",K1664="SAP"),N1664=""),"Add HTTP status + endpoint",IF(AND(OR(K1664="Backend",K1664="SAP",K1664="Network"),P1664=""),"Add Correlation ID",IF(AND(I1664="Fail",T1664=""),"Write Root Cause / evidence gap",IF(AND(I1664="Fail",V1664=""),"Assign team","OK"))))))))</f>
        <v/>
      </c>
    </row>
    <row r="1665">
      <c r="A1665" s="5" t="n"/>
      <c r="B1665" s="5" t="n"/>
      <c r="C1665" s="5" t="n"/>
      <c r="D1665" s="5" t="n"/>
      <c r="E1665" s="5" t="n"/>
      <c r="F1665" s="5" t="n"/>
      <c r="G1665" s="5" t="n"/>
      <c r="H1665" s="5" t="n"/>
      <c r="I1665" s="5" t="n"/>
      <c r="J1665" s="5" t="n"/>
      <c r="K1665" s="5" t="n"/>
      <c r="L1665" s="5" t="n"/>
      <c r="M1665" s="5" t="n"/>
      <c r="N1665" s="5" t="n"/>
      <c r="O1665" s="5" t="n"/>
      <c r="P1665" s="5" t="n"/>
      <c r="Q1665" s="5" t="n"/>
      <c r="R1665" s="5" t="n"/>
      <c r="S1665" s="5" t="n"/>
      <c r="T1665" s="5" t="n"/>
      <c r="U1665" s="5" t="n"/>
      <c r="V1665" s="5" t="n"/>
      <c r="W1665" s="5" t="n"/>
      <c r="X1665" s="5" t="n"/>
      <c r="Y1665" s="5">
        <f>IF(I1665="","",IF(AND(I1665="Fail",K1665=""),"Classify Issue Source",IF(AND(I1665="Fail",W1665=""),"Set Confidence",IF(AND(K1665="Unknown",W1665&lt;&gt;"Low"),"Unknown must be Low confidence",IF(AND(OR(K1665="Backend",K1665="SAP"),N1665=""),"Add HTTP status + endpoint",IF(AND(OR(K1665="Backend",K1665="SAP",K1665="Network"),P1665=""),"Add Correlation ID",IF(AND(I1665="Fail",T1665=""),"Write Root Cause / evidence gap",IF(AND(I1665="Fail",V1665=""),"Assign team","OK"))))))))</f>
        <v/>
      </c>
    </row>
    <row r="1666">
      <c r="A1666" s="5" t="n"/>
      <c r="B1666" s="5" t="n"/>
      <c r="C1666" s="5" t="n"/>
      <c r="D1666" s="5" t="n"/>
      <c r="E1666" s="5" t="n"/>
      <c r="F1666" s="5" t="n"/>
      <c r="G1666" s="5" t="n"/>
      <c r="H1666" s="5" t="n"/>
      <c r="I1666" s="5" t="n"/>
      <c r="J1666" s="5" t="n"/>
      <c r="K1666" s="5" t="n"/>
      <c r="L1666" s="5" t="n"/>
      <c r="M1666" s="5" t="n"/>
      <c r="N1666" s="5" t="n"/>
      <c r="O1666" s="5" t="n"/>
      <c r="P1666" s="5" t="n"/>
      <c r="Q1666" s="5" t="n"/>
      <c r="R1666" s="5" t="n"/>
      <c r="S1666" s="5" t="n"/>
      <c r="T1666" s="5" t="n"/>
      <c r="U1666" s="5" t="n"/>
      <c r="V1666" s="5" t="n"/>
      <c r="W1666" s="5" t="n"/>
      <c r="X1666" s="5" t="n"/>
      <c r="Y1666" s="5">
        <f>IF(I1666="","",IF(AND(I1666="Fail",K1666=""),"Classify Issue Source",IF(AND(I1666="Fail",W1666=""),"Set Confidence",IF(AND(K1666="Unknown",W1666&lt;&gt;"Low"),"Unknown must be Low confidence",IF(AND(OR(K1666="Backend",K1666="SAP"),N1666=""),"Add HTTP status + endpoint",IF(AND(OR(K1666="Backend",K1666="SAP",K1666="Network"),P1666=""),"Add Correlation ID",IF(AND(I1666="Fail",T1666=""),"Write Root Cause / evidence gap",IF(AND(I1666="Fail",V1666=""),"Assign team","OK"))))))))</f>
        <v/>
      </c>
    </row>
    <row r="1667">
      <c r="A1667" s="5" t="n"/>
      <c r="B1667" s="5" t="n"/>
      <c r="C1667" s="5" t="n"/>
      <c r="D1667" s="5" t="n"/>
      <c r="E1667" s="5" t="n"/>
      <c r="F1667" s="5" t="n"/>
      <c r="G1667" s="5" t="n"/>
      <c r="H1667" s="5" t="n"/>
      <c r="I1667" s="5" t="n"/>
      <c r="J1667" s="5" t="n"/>
      <c r="K1667" s="5" t="n"/>
      <c r="L1667" s="5" t="n"/>
      <c r="M1667" s="5" t="n"/>
      <c r="N1667" s="5" t="n"/>
      <c r="O1667" s="5" t="n"/>
      <c r="P1667" s="5" t="n"/>
      <c r="Q1667" s="5" t="n"/>
      <c r="R1667" s="5" t="n"/>
      <c r="S1667" s="5" t="n"/>
      <c r="T1667" s="5" t="n"/>
      <c r="U1667" s="5" t="n"/>
      <c r="V1667" s="5" t="n"/>
      <c r="W1667" s="5" t="n"/>
      <c r="X1667" s="5" t="n"/>
      <c r="Y1667" s="5">
        <f>IF(I1667="","",IF(AND(I1667="Fail",K1667=""),"Classify Issue Source",IF(AND(I1667="Fail",W1667=""),"Set Confidence",IF(AND(K1667="Unknown",W1667&lt;&gt;"Low"),"Unknown must be Low confidence",IF(AND(OR(K1667="Backend",K1667="SAP"),N1667=""),"Add HTTP status + endpoint",IF(AND(OR(K1667="Backend",K1667="SAP",K1667="Network"),P1667=""),"Add Correlation ID",IF(AND(I1667="Fail",T1667=""),"Write Root Cause / evidence gap",IF(AND(I1667="Fail",V1667=""),"Assign team","OK"))))))))</f>
        <v/>
      </c>
    </row>
    <row r="1668">
      <c r="A1668" s="5" t="n"/>
      <c r="B1668" s="5" t="n"/>
      <c r="C1668" s="5" t="n"/>
      <c r="D1668" s="5" t="n"/>
      <c r="E1668" s="5" t="n"/>
      <c r="F1668" s="5" t="n"/>
      <c r="G1668" s="5" t="n"/>
      <c r="H1668" s="5" t="n"/>
      <c r="I1668" s="5" t="n"/>
      <c r="J1668" s="5" t="n"/>
      <c r="K1668" s="5" t="n"/>
      <c r="L1668" s="5" t="n"/>
      <c r="M1668" s="5" t="n"/>
      <c r="N1668" s="5" t="n"/>
      <c r="O1668" s="5" t="n"/>
      <c r="P1668" s="5" t="n"/>
      <c r="Q1668" s="5" t="n"/>
      <c r="R1668" s="5" t="n"/>
      <c r="S1668" s="5" t="n"/>
      <c r="T1668" s="5" t="n"/>
      <c r="U1668" s="5" t="n"/>
      <c r="V1668" s="5" t="n"/>
      <c r="W1668" s="5" t="n"/>
      <c r="X1668" s="5" t="n"/>
      <c r="Y1668" s="5">
        <f>IF(I1668="","",IF(AND(I1668="Fail",K1668=""),"Classify Issue Source",IF(AND(I1668="Fail",W1668=""),"Set Confidence",IF(AND(K1668="Unknown",W1668&lt;&gt;"Low"),"Unknown must be Low confidence",IF(AND(OR(K1668="Backend",K1668="SAP"),N1668=""),"Add HTTP status + endpoint",IF(AND(OR(K1668="Backend",K1668="SAP",K1668="Network"),P1668=""),"Add Correlation ID",IF(AND(I1668="Fail",T1668=""),"Write Root Cause / evidence gap",IF(AND(I1668="Fail",V1668=""),"Assign team","OK"))))))))</f>
        <v/>
      </c>
    </row>
    <row r="1669">
      <c r="A1669" s="5" t="n"/>
      <c r="B1669" s="5" t="n"/>
      <c r="C1669" s="5" t="n"/>
      <c r="D1669" s="5" t="n"/>
      <c r="E1669" s="5" t="n"/>
      <c r="F1669" s="5" t="n"/>
      <c r="G1669" s="5" t="n"/>
      <c r="H1669" s="5" t="n"/>
      <c r="I1669" s="5" t="n"/>
      <c r="J1669" s="5" t="n"/>
      <c r="K1669" s="5" t="n"/>
      <c r="L1669" s="5" t="n"/>
      <c r="M1669" s="5" t="n"/>
      <c r="N1669" s="5" t="n"/>
      <c r="O1669" s="5" t="n"/>
      <c r="P1669" s="5" t="n"/>
      <c r="Q1669" s="5" t="n"/>
      <c r="R1669" s="5" t="n"/>
      <c r="S1669" s="5" t="n"/>
      <c r="T1669" s="5" t="n"/>
      <c r="U1669" s="5" t="n"/>
      <c r="V1669" s="5" t="n"/>
      <c r="W1669" s="5" t="n"/>
      <c r="X1669" s="5" t="n"/>
      <c r="Y1669" s="5">
        <f>IF(I1669="","",IF(AND(I1669="Fail",K1669=""),"Classify Issue Source",IF(AND(I1669="Fail",W1669=""),"Set Confidence",IF(AND(K1669="Unknown",W1669&lt;&gt;"Low"),"Unknown must be Low confidence",IF(AND(OR(K1669="Backend",K1669="SAP"),N1669=""),"Add HTTP status + endpoint",IF(AND(OR(K1669="Backend",K1669="SAP",K1669="Network"),P1669=""),"Add Correlation ID",IF(AND(I1669="Fail",T1669=""),"Write Root Cause / evidence gap",IF(AND(I1669="Fail",V1669=""),"Assign team","OK"))))))))</f>
        <v/>
      </c>
    </row>
    <row r="1670">
      <c r="A1670" s="5" t="n"/>
      <c r="B1670" s="5" t="n"/>
      <c r="C1670" s="5" t="n"/>
      <c r="D1670" s="5" t="n"/>
      <c r="E1670" s="5" t="n"/>
      <c r="F1670" s="5" t="n"/>
      <c r="G1670" s="5" t="n"/>
      <c r="H1670" s="5" t="n"/>
      <c r="I1670" s="5" t="n"/>
      <c r="J1670" s="5" t="n"/>
      <c r="K1670" s="5" t="n"/>
      <c r="L1670" s="5" t="n"/>
      <c r="M1670" s="5" t="n"/>
      <c r="N1670" s="5" t="n"/>
      <c r="O1670" s="5" t="n"/>
      <c r="P1670" s="5" t="n"/>
      <c r="Q1670" s="5" t="n"/>
      <c r="R1670" s="5" t="n"/>
      <c r="S1670" s="5" t="n"/>
      <c r="T1670" s="5" t="n"/>
      <c r="U1670" s="5" t="n"/>
      <c r="V1670" s="5" t="n"/>
      <c r="W1670" s="5" t="n"/>
      <c r="X1670" s="5" t="n"/>
      <c r="Y1670" s="5">
        <f>IF(I1670="","",IF(AND(I1670="Fail",K1670=""),"Classify Issue Source",IF(AND(I1670="Fail",W1670=""),"Set Confidence",IF(AND(K1670="Unknown",W1670&lt;&gt;"Low"),"Unknown must be Low confidence",IF(AND(OR(K1670="Backend",K1670="SAP"),N1670=""),"Add HTTP status + endpoint",IF(AND(OR(K1670="Backend",K1670="SAP",K1670="Network"),P1670=""),"Add Correlation ID",IF(AND(I1670="Fail",T1670=""),"Write Root Cause / evidence gap",IF(AND(I1670="Fail",V1670=""),"Assign team","OK"))))))))</f>
        <v/>
      </c>
    </row>
    <row r="1671">
      <c r="A1671" s="5" t="n"/>
      <c r="B1671" s="5" t="n"/>
      <c r="C1671" s="5" t="n"/>
      <c r="D1671" s="5" t="n"/>
      <c r="E1671" s="5" t="n"/>
      <c r="F1671" s="5" t="n"/>
      <c r="G1671" s="5" t="n"/>
      <c r="H1671" s="5" t="n"/>
      <c r="I1671" s="5" t="n"/>
      <c r="J1671" s="5" t="n"/>
      <c r="K1671" s="5" t="n"/>
      <c r="L1671" s="5" t="n"/>
      <c r="M1671" s="5" t="n"/>
      <c r="N1671" s="5" t="n"/>
      <c r="O1671" s="5" t="n"/>
      <c r="P1671" s="5" t="n"/>
      <c r="Q1671" s="5" t="n"/>
      <c r="R1671" s="5" t="n"/>
      <c r="S1671" s="5" t="n"/>
      <c r="T1671" s="5" t="n"/>
      <c r="U1671" s="5" t="n"/>
      <c r="V1671" s="5" t="n"/>
      <c r="W1671" s="5" t="n"/>
      <c r="X1671" s="5" t="n"/>
      <c r="Y1671" s="5">
        <f>IF(I1671="","",IF(AND(I1671="Fail",K1671=""),"Classify Issue Source",IF(AND(I1671="Fail",W1671=""),"Set Confidence",IF(AND(K1671="Unknown",W1671&lt;&gt;"Low"),"Unknown must be Low confidence",IF(AND(OR(K1671="Backend",K1671="SAP"),N1671=""),"Add HTTP status + endpoint",IF(AND(OR(K1671="Backend",K1671="SAP",K1671="Network"),P1671=""),"Add Correlation ID",IF(AND(I1671="Fail",T1671=""),"Write Root Cause / evidence gap",IF(AND(I1671="Fail",V1671=""),"Assign team","OK"))))))))</f>
        <v/>
      </c>
    </row>
    <row r="1672">
      <c r="A1672" s="5" t="n"/>
      <c r="B1672" s="5" t="n"/>
      <c r="C1672" s="5" t="n"/>
      <c r="D1672" s="5" t="n"/>
      <c r="E1672" s="5" t="n"/>
      <c r="F1672" s="5" t="n"/>
      <c r="G1672" s="5" t="n"/>
      <c r="H1672" s="5" t="n"/>
      <c r="I1672" s="5" t="n"/>
      <c r="J1672" s="5" t="n"/>
      <c r="K1672" s="5" t="n"/>
      <c r="L1672" s="5" t="n"/>
      <c r="M1672" s="5" t="n"/>
      <c r="N1672" s="5" t="n"/>
      <c r="O1672" s="5" t="n"/>
      <c r="P1672" s="5" t="n"/>
      <c r="Q1672" s="5" t="n"/>
      <c r="R1672" s="5" t="n"/>
      <c r="S1672" s="5" t="n"/>
      <c r="T1672" s="5" t="n"/>
      <c r="U1672" s="5" t="n"/>
      <c r="V1672" s="5" t="n"/>
      <c r="W1672" s="5" t="n"/>
      <c r="X1672" s="5" t="n"/>
      <c r="Y1672" s="5">
        <f>IF(I1672="","",IF(AND(I1672="Fail",K1672=""),"Classify Issue Source",IF(AND(I1672="Fail",W1672=""),"Set Confidence",IF(AND(K1672="Unknown",W1672&lt;&gt;"Low"),"Unknown must be Low confidence",IF(AND(OR(K1672="Backend",K1672="SAP"),N1672=""),"Add HTTP status + endpoint",IF(AND(OR(K1672="Backend",K1672="SAP",K1672="Network"),P1672=""),"Add Correlation ID",IF(AND(I1672="Fail",T1672=""),"Write Root Cause / evidence gap",IF(AND(I1672="Fail",V1672=""),"Assign team","OK"))))))))</f>
        <v/>
      </c>
    </row>
    <row r="1673">
      <c r="A1673" s="5" t="n"/>
      <c r="B1673" s="5" t="n"/>
      <c r="C1673" s="5" t="n"/>
      <c r="D1673" s="5" t="n"/>
      <c r="E1673" s="5" t="n"/>
      <c r="F1673" s="5" t="n"/>
      <c r="G1673" s="5" t="n"/>
      <c r="H1673" s="5" t="n"/>
      <c r="I1673" s="5" t="n"/>
      <c r="J1673" s="5" t="n"/>
      <c r="K1673" s="5" t="n"/>
      <c r="L1673" s="5" t="n"/>
      <c r="M1673" s="5" t="n"/>
      <c r="N1673" s="5" t="n"/>
      <c r="O1673" s="5" t="n"/>
      <c r="P1673" s="5" t="n"/>
      <c r="Q1673" s="5" t="n"/>
      <c r="R1673" s="5" t="n"/>
      <c r="S1673" s="5" t="n"/>
      <c r="T1673" s="5" t="n"/>
      <c r="U1673" s="5" t="n"/>
      <c r="V1673" s="5" t="n"/>
      <c r="W1673" s="5" t="n"/>
      <c r="X1673" s="5" t="n"/>
      <c r="Y1673" s="5">
        <f>IF(I1673="","",IF(AND(I1673="Fail",K1673=""),"Classify Issue Source",IF(AND(I1673="Fail",W1673=""),"Set Confidence",IF(AND(K1673="Unknown",W1673&lt;&gt;"Low"),"Unknown must be Low confidence",IF(AND(OR(K1673="Backend",K1673="SAP"),N1673=""),"Add HTTP status + endpoint",IF(AND(OR(K1673="Backend",K1673="SAP",K1673="Network"),P1673=""),"Add Correlation ID",IF(AND(I1673="Fail",T1673=""),"Write Root Cause / evidence gap",IF(AND(I1673="Fail",V1673=""),"Assign team","OK"))))))))</f>
        <v/>
      </c>
    </row>
    <row r="1674">
      <c r="A1674" s="5" t="n"/>
      <c r="B1674" s="5" t="n"/>
      <c r="C1674" s="5" t="n"/>
      <c r="D1674" s="5" t="n"/>
      <c r="E1674" s="5" t="n"/>
      <c r="F1674" s="5" t="n"/>
      <c r="G1674" s="5" t="n"/>
      <c r="H1674" s="5" t="n"/>
      <c r="I1674" s="5" t="n"/>
      <c r="J1674" s="5" t="n"/>
      <c r="K1674" s="5" t="n"/>
      <c r="L1674" s="5" t="n"/>
      <c r="M1674" s="5" t="n"/>
      <c r="N1674" s="5" t="n"/>
      <c r="O1674" s="5" t="n"/>
      <c r="P1674" s="5" t="n"/>
      <c r="Q1674" s="5" t="n"/>
      <c r="R1674" s="5" t="n"/>
      <c r="S1674" s="5" t="n"/>
      <c r="T1674" s="5" t="n"/>
      <c r="U1674" s="5" t="n"/>
      <c r="V1674" s="5" t="n"/>
      <c r="W1674" s="5" t="n"/>
      <c r="X1674" s="5" t="n"/>
      <c r="Y1674" s="5">
        <f>IF(I1674="","",IF(AND(I1674="Fail",K1674=""),"Classify Issue Source",IF(AND(I1674="Fail",W1674=""),"Set Confidence",IF(AND(K1674="Unknown",W1674&lt;&gt;"Low"),"Unknown must be Low confidence",IF(AND(OR(K1674="Backend",K1674="SAP"),N1674=""),"Add HTTP status + endpoint",IF(AND(OR(K1674="Backend",K1674="SAP",K1674="Network"),P1674=""),"Add Correlation ID",IF(AND(I1674="Fail",T1674=""),"Write Root Cause / evidence gap",IF(AND(I1674="Fail",V1674=""),"Assign team","OK"))))))))</f>
        <v/>
      </c>
    </row>
    <row r="1675">
      <c r="A1675" s="5" t="n"/>
      <c r="B1675" s="5" t="n"/>
      <c r="C1675" s="5" t="n"/>
      <c r="D1675" s="5" t="n"/>
      <c r="E1675" s="5" t="n"/>
      <c r="F1675" s="5" t="n"/>
      <c r="G1675" s="5" t="n"/>
      <c r="H1675" s="5" t="n"/>
      <c r="I1675" s="5" t="n"/>
      <c r="J1675" s="5" t="n"/>
      <c r="K1675" s="5" t="n"/>
      <c r="L1675" s="5" t="n"/>
      <c r="M1675" s="5" t="n"/>
      <c r="N1675" s="5" t="n"/>
      <c r="O1675" s="5" t="n"/>
      <c r="P1675" s="5" t="n"/>
      <c r="Q1675" s="5" t="n"/>
      <c r="R1675" s="5" t="n"/>
      <c r="S1675" s="5" t="n"/>
      <c r="T1675" s="5" t="n"/>
      <c r="U1675" s="5" t="n"/>
      <c r="V1675" s="5" t="n"/>
      <c r="W1675" s="5" t="n"/>
      <c r="X1675" s="5" t="n"/>
      <c r="Y1675" s="5">
        <f>IF(I1675="","",IF(AND(I1675="Fail",K1675=""),"Classify Issue Source",IF(AND(I1675="Fail",W1675=""),"Set Confidence",IF(AND(K1675="Unknown",W1675&lt;&gt;"Low"),"Unknown must be Low confidence",IF(AND(OR(K1675="Backend",K1675="SAP"),N1675=""),"Add HTTP status + endpoint",IF(AND(OR(K1675="Backend",K1675="SAP",K1675="Network"),P1675=""),"Add Correlation ID",IF(AND(I1675="Fail",T1675=""),"Write Root Cause / evidence gap",IF(AND(I1675="Fail",V1675=""),"Assign team","OK"))))))))</f>
        <v/>
      </c>
    </row>
    <row r="1676">
      <c r="A1676" s="5" t="n"/>
      <c r="B1676" s="5" t="n"/>
      <c r="C1676" s="5" t="n"/>
      <c r="D1676" s="5" t="n"/>
      <c r="E1676" s="5" t="n"/>
      <c r="F1676" s="5" t="n"/>
      <c r="G1676" s="5" t="n"/>
      <c r="H1676" s="5" t="n"/>
      <c r="I1676" s="5" t="n"/>
      <c r="J1676" s="5" t="n"/>
      <c r="K1676" s="5" t="n"/>
      <c r="L1676" s="5" t="n"/>
      <c r="M1676" s="5" t="n"/>
      <c r="N1676" s="5" t="n"/>
      <c r="O1676" s="5" t="n"/>
      <c r="P1676" s="5" t="n"/>
      <c r="Q1676" s="5" t="n"/>
      <c r="R1676" s="5" t="n"/>
      <c r="S1676" s="5" t="n"/>
      <c r="T1676" s="5" t="n"/>
      <c r="U1676" s="5" t="n"/>
      <c r="V1676" s="5" t="n"/>
      <c r="W1676" s="5" t="n"/>
      <c r="X1676" s="5" t="n"/>
      <c r="Y1676" s="5">
        <f>IF(I1676="","",IF(AND(I1676="Fail",K1676=""),"Classify Issue Source",IF(AND(I1676="Fail",W1676=""),"Set Confidence",IF(AND(K1676="Unknown",W1676&lt;&gt;"Low"),"Unknown must be Low confidence",IF(AND(OR(K1676="Backend",K1676="SAP"),N1676=""),"Add HTTP status + endpoint",IF(AND(OR(K1676="Backend",K1676="SAP",K1676="Network"),P1676=""),"Add Correlation ID",IF(AND(I1676="Fail",T1676=""),"Write Root Cause / evidence gap",IF(AND(I1676="Fail",V1676=""),"Assign team","OK"))))))))</f>
        <v/>
      </c>
    </row>
    <row r="1677">
      <c r="A1677" s="5" t="n"/>
      <c r="B1677" s="5" t="n"/>
      <c r="C1677" s="5" t="n"/>
      <c r="D1677" s="5" t="n"/>
      <c r="E1677" s="5" t="n"/>
      <c r="F1677" s="5" t="n"/>
      <c r="G1677" s="5" t="n"/>
      <c r="H1677" s="5" t="n"/>
      <c r="I1677" s="5" t="n"/>
      <c r="J1677" s="5" t="n"/>
      <c r="K1677" s="5" t="n"/>
      <c r="L1677" s="5" t="n"/>
      <c r="M1677" s="5" t="n"/>
      <c r="N1677" s="5" t="n"/>
      <c r="O1677" s="5" t="n"/>
      <c r="P1677" s="5" t="n"/>
      <c r="Q1677" s="5" t="n"/>
      <c r="R1677" s="5" t="n"/>
      <c r="S1677" s="5" t="n"/>
      <c r="T1677" s="5" t="n"/>
      <c r="U1677" s="5" t="n"/>
      <c r="V1677" s="5" t="n"/>
      <c r="W1677" s="5" t="n"/>
      <c r="X1677" s="5" t="n"/>
      <c r="Y1677" s="5">
        <f>IF(I1677="","",IF(AND(I1677="Fail",K1677=""),"Classify Issue Source",IF(AND(I1677="Fail",W1677=""),"Set Confidence",IF(AND(K1677="Unknown",W1677&lt;&gt;"Low"),"Unknown must be Low confidence",IF(AND(OR(K1677="Backend",K1677="SAP"),N1677=""),"Add HTTP status + endpoint",IF(AND(OR(K1677="Backend",K1677="SAP",K1677="Network"),P1677=""),"Add Correlation ID",IF(AND(I1677="Fail",T1677=""),"Write Root Cause / evidence gap",IF(AND(I1677="Fail",V1677=""),"Assign team","OK"))))))))</f>
        <v/>
      </c>
    </row>
    <row r="1678">
      <c r="A1678" s="5" t="n"/>
      <c r="B1678" s="5" t="n"/>
      <c r="C1678" s="5" t="n"/>
      <c r="D1678" s="5" t="n"/>
      <c r="E1678" s="5" t="n"/>
      <c r="F1678" s="5" t="n"/>
      <c r="G1678" s="5" t="n"/>
      <c r="H1678" s="5" t="n"/>
      <c r="I1678" s="5" t="n"/>
      <c r="J1678" s="5" t="n"/>
      <c r="K1678" s="5" t="n"/>
      <c r="L1678" s="5" t="n"/>
      <c r="M1678" s="5" t="n"/>
      <c r="N1678" s="5" t="n"/>
      <c r="O1678" s="5" t="n"/>
      <c r="P1678" s="5" t="n"/>
      <c r="Q1678" s="5" t="n"/>
      <c r="R1678" s="5" t="n"/>
      <c r="S1678" s="5" t="n"/>
      <c r="T1678" s="5" t="n"/>
      <c r="U1678" s="5" t="n"/>
      <c r="V1678" s="5" t="n"/>
      <c r="W1678" s="5" t="n"/>
      <c r="X1678" s="5" t="n"/>
      <c r="Y1678" s="5">
        <f>IF(I1678="","",IF(AND(I1678="Fail",K1678=""),"Classify Issue Source",IF(AND(I1678="Fail",W1678=""),"Set Confidence",IF(AND(K1678="Unknown",W1678&lt;&gt;"Low"),"Unknown must be Low confidence",IF(AND(OR(K1678="Backend",K1678="SAP"),N1678=""),"Add HTTP status + endpoint",IF(AND(OR(K1678="Backend",K1678="SAP",K1678="Network"),P1678=""),"Add Correlation ID",IF(AND(I1678="Fail",T1678=""),"Write Root Cause / evidence gap",IF(AND(I1678="Fail",V1678=""),"Assign team","OK"))))))))</f>
        <v/>
      </c>
    </row>
    <row r="1679">
      <c r="A1679" s="5" t="n"/>
      <c r="B1679" s="5" t="n"/>
      <c r="C1679" s="5" t="n"/>
      <c r="D1679" s="5" t="n"/>
      <c r="E1679" s="5" t="n"/>
      <c r="F1679" s="5" t="n"/>
      <c r="G1679" s="5" t="n"/>
      <c r="H1679" s="5" t="n"/>
      <c r="I1679" s="5" t="n"/>
      <c r="J1679" s="5" t="n"/>
      <c r="K1679" s="5" t="n"/>
      <c r="L1679" s="5" t="n"/>
      <c r="M1679" s="5" t="n"/>
      <c r="N1679" s="5" t="n"/>
      <c r="O1679" s="5" t="n"/>
      <c r="P1679" s="5" t="n"/>
      <c r="Q1679" s="5" t="n"/>
      <c r="R1679" s="5" t="n"/>
      <c r="S1679" s="5" t="n"/>
      <c r="T1679" s="5" t="n"/>
      <c r="U1679" s="5" t="n"/>
      <c r="V1679" s="5" t="n"/>
      <c r="W1679" s="5" t="n"/>
      <c r="X1679" s="5" t="n"/>
      <c r="Y1679" s="5">
        <f>IF(I1679="","",IF(AND(I1679="Fail",K1679=""),"Classify Issue Source",IF(AND(I1679="Fail",W1679=""),"Set Confidence",IF(AND(K1679="Unknown",W1679&lt;&gt;"Low"),"Unknown must be Low confidence",IF(AND(OR(K1679="Backend",K1679="SAP"),N1679=""),"Add HTTP status + endpoint",IF(AND(OR(K1679="Backend",K1679="SAP",K1679="Network"),P1679=""),"Add Correlation ID",IF(AND(I1679="Fail",T1679=""),"Write Root Cause / evidence gap",IF(AND(I1679="Fail",V1679=""),"Assign team","OK"))))))))</f>
        <v/>
      </c>
    </row>
    <row r="1680">
      <c r="A1680" s="5" t="n"/>
      <c r="B1680" s="5" t="n"/>
      <c r="C1680" s="5" t="n"/>
      <c r="D1680" s="5" t="n"/>
      <c r="E1680" s="5" t="n"/>
      <c r="F1680" s="5" t="n"/>
      <c r="G1680" s="5" t="n"/>
      <c r="H1680" s="5" t="n"/>
      <c r="I1680" s="5" t="n"/>
      <c r="J1680" s="5" t="n"/>
      <c r="K1680" s="5" t="n"/>
      <c r="L1680" s="5" t="n"/>
      <c r="M1680" s="5" t="n"/>
      <c r="N1680" s="5" t="n"/>
      <c r="O1680" s="5" t="n"/>
      <c r="P1680" s="5" t="n"/>
      <c r="Q1680" s="5" t="n"/>
      <c r="R1680" s="5" t="n"/>
      <c r="S1680" s="5" t="n"/>
      <c r="T1680" s="5" t="n"/>
      <c r="U1680" s="5" t="n"/>
      <c r="V1680" s="5" t="n"/>
      <c r="W1680" s="5" t="n"/>
      <c r="X1680" s="5" t="n"/>
      <c r="Y1680" s="5">
        <f>IF(I1680="","",IF(AND(I1680="Fail",K1680=""),"Classify Issue Source",IF(AND(I1680="Fail",W1680=""),"Set Confidence",IF(AND(K1680="Unknown",W1680&lt;&gt;"Low"),"Unknown must be Low confidence",IF(AND(OR(K1680="Backend",K1680="SAP"),N1680=""),"Add HTTP status + endpoint",IF(AND(OR(K1680="Backend",K1680="SAP",K1680="Network"),P1680=""),"Add Correlation ID",IF(AND(I1680="Fail",T1680=""),"Write Root Cause / evidence gap",IF(AND(I1680="Fail",V1680=""),"Assign team","OK"))))))))</f>
        <v/>
      </c>
    </row>
    <row r="1681">
      <c r="A1681" s="5" t="n"/>
      <c r="B1681" s="5" t="n"/>
      <c r="C1681" s="5" t="n"/>
      <c r="D1681" s="5" t="n"/>
      <c r="E1681" s="5" t="n"/>
      <c r="F1681" s="5" t="n"/>
      <c r="G1681" s="5" t="n"/>
      <c r="H1681" s="5" t="n"/>
      <c r="I1681" s="5" t="n"/>
      <c r="J1681" s="5" t="n"/>
      <c r="K1681" s="5" t="n"/>
      <c r="L1681" s="5" t="n"/>
      <c r="M1681" s="5" t="n"/>
      <c r="N1681" s="5" t="n"/>
      <c r="O1681" s="5" t="n"/>
      <c r="P1681" s="5" t="n"/>
      <c r="Q1681" s="5" t="n"/>
      <c r="R1681" s="5" t="n"/>
      <c r="S1681" s="5" t="n"/>
      <c r="T1681" s="5" t="n"/>
      <c r="U1681" s="5" t="n"/>
      <c r="V1681" s="5" t="n"/>
      <c r="W1681" s="5" t="n"/>
      <c r="X1681" s="5" t="n"/>
      <c r="Y1681" s="5">
        <f>IF(I1681="","",IF(AND(I1681="Fail",K1681=""),"Classify Issue Source",IF(AND(I1681="Fail",W1681=""),"Set Confidence",IF(AND(K1681="Unknown",W1681&lt;&gt;"Low"),"Unknown must be Low confidence",IF(AND(OR(K1681="Backend",K1681="SAP"),N1681=""),"Add HTTP status + endpoint",IF(AND(OR(K1681="Backend",K1681="SAP",K1681="Network"),P1681=""),"Add Correlation ID",IF(AND(I1681="Fail",T1681=""),"Write Root Cause / evidence gap",IF(AND(I1681="Fail",V1681=""),"Assign team","OK"))))))))</f>
        <v/>
      </c>
    </row>
    <row r="1682">
      <c r="A1682" s="5" t="n"/>
      <c r="B1682" s="5" t="n"/>
      <c r="C1682" s="5" t="n"/>
      <c r="D1682" s="5" t="n"/>
      <c r="E1682" s="5" t="n"/>
      <c r="F1682" s="5" t="n"/>
      <c r="G1682" s="5" t="n"/>
      <c r="H1682" s="5" t="n"/>
      <c r="I1682" s="5" t="n"/>
      <c r="J1682" s="5" t="n"/>
      <c r="K1682" s="5" t="n"/>
      <c r="L1682" s="5" t="n"/>
      <c r="M1682" s="5" t="n"/>
      <c r="N1682" s="5" t="n"/>
      <c r="O1682" s="5" t="n"/>
      <c r="P1682" s="5" t="n"/>
      <c r="Q1682" s="5" t="n"/>
      <c r="R1682" s="5" t="n"/>
      <c r="S1682" s="5" t="n"/>
      <c r="T1682" s="5" t="n"/>
      <c r="U1682" s="5" t="n"/>
      <c r="V1682" s="5" t="n"/>
      <c r="W1682" s="5" t="n"/>
      <c r="X1682" s="5" t="n"/>
      <c r="Y1682" s="5">
        <f>IF(I1682="","",IF(AND(I1682="Fail",K1682=""),"Classify Issue Source",IF(AND(I1682="Fail",W1682=""),"Set Confidence",IF(AND(K1682="Unknown",W1682&lt;&gt;"Low"),"Unknown must be Low confidence",IF(AND(OR(K1682="Backend",K1682="SAP"),N1682=""),"Add HTTP status + endpoint",IF(AND(OR(K1682="Backend",K1682="SAP",K1682="Network"),P1682=""),"Add Correlation ID",IF(AND(I1682="Fail",T1682=""),"Write Root Cause / evidence gap",IF(AND(I1682="Fail",V1682=""),"Assign team","OK"))))))))</f>
        <v/>
      </c>
    </row>
    <row r="1683">
      <c r="A1683" s="5" t="n"/>
      <c r="B1683" s="5" t="n"/>
      <c r="C1683" s="5" t="n"/>
      <c r="D1683" s="5" t="n"/>
      <c r="E1683" s="5" t="n"/>
      <c r="F1683" s="5" t="n"/>
      <c r="G1683" s="5" t="n"/>
      <c r="H1683" s="5" t="n"/>
      <c r="I1683" s="5" t="n"/>
      <c r="J1683" s="5" t="n"/>
      <c r="K1683" s="5" t="n"/>
      <c r="L1683" s="5" t="n"/>
      <c r="M1683" s="5" t="n"/>
      <c r="N1683" s="5" t="n"/>
      <c r="O1683" s="5" t="n"/>
      <c r="P1683" s="5" t="n"/>
      <c r="Q1683" s="5" t="n"/>
      <c r="R1683" s="5" t="n"/>
      <c r="S1683" s="5" t="n"/>
      <c r="T1683" s="5" t="n"/>
      <c r="U1683" s="5" t="n"/>
      <c r="V1683" s="5" t="n"/>
      <c r="W1683" s="5" t="n"/>
      <c r="X1683" s="5" t="n"/>
      <c r="Y1683" s="5">
        <f>IF(I1683="","",IF(AND(I1683="Fail",K1683=""),"Classify Issue Source",IF(AND(I1683="Fail",W1683=""),"Set Confidence",IF(AND(K1683="Unknown",W1683&lt;&gt;"Low"),"Unknown must be Low confidence",IF(AND(OR(K1683="Backend",K1683="SAP"),N1683=""),"Add HTTP status + endpoint",IF(AND(OR(K1683="Backend",K1683="SAP",K1683="Network"),P1683=""),"Add Correlation ID",IF(AND(I1683="Fail",T1683=""),"Write Root Cause / evidence gap",IF(AND(I1683="Fail",V1683=""),"Assign team","OK"))))))))</f>
        <v/>
      </c>
    </row>
    <row r="1684">
      <c r="A1684" s="5" t="n"/>
      <c r="B1684" s="5" t="n"/>
      <c r="C1684" s="5" t="n"/>
      <c r="D1684" s="5" t="n"/>
      <c r="E1684" s="5" t="n"/>
      <c r="F1684" s="5" t="n"/>
      <c r="G1684" s="5" t="n"/>
      <c r="H1684" s="5" t="n"/>
      <c r="I1684" s="5" t="n"/>
      <c r="J1684" s="5" t="n"/>
      <c r="K1684" s="5" t="n"/>
      <c r="L1684" s="5" t="n"/>
      <c r="M1684" s="5" t="n"/>
      <c r="N1684" s="5" t="n"/>
      <c r="O1684" s="5" t="n"/>
      <c r="P1684" s="5" t="n"/>
      <c r="Q1684" s="5" t="n"/>
      <c r="R1684" s="5" t="n"/>
      <c r="S1684" s="5" t="n"/>
      <c r="T1684" s="5" t="n"/>
      <c r="U1684" s="5" t="n"/>
      <c r="V1684" s="5" t="n"/>
      <c r="W1684" s="5" t="n"/>
      <c r="X1684" s="5" t="n"/>
      <c r="Y1684" s="5">
        <f>IF(I1684="","",IF(AND(I1684="Fail",K1684=""),"Classify Issue Source",IF(AND(I1684="Fail",W1684=""),"Set Confidence",IF(AND(K1684="Unknown",W1684&lt;&gt;"Low"),"Unknown must be Low confidence",IF(AND(OR(K1684="Backend",K1684="SAP"),N1684=""),"Add HTTP status + endpoint",IF(AND(OR(K1684="Backend",K1684="SAP",K1684="Network"),P1684=""),"Add Correlation ID",IF(AND(I1684="Fail",T1684=""),"Write Root Cause / evidence gap",IF(AND(I1684="Fail",V1684=""),"Assign team","OK"))))))))</f>
        <v/>
      </c>
    </row>
    <row r="1685">
      <c r="A1685" s="5" t="n"/>
      <c r="B1685" s="5" t="n"/>
      <c r="C1685" s="5" t="n"/>
      <c r="D1685" s="5" t="n"/>
      <c r="E1685" s="5" t="n"/>
      <c r="F1685" s="5" t="n"/>
      <c r="G1685" s="5" t="n"/>
      <c r="H1685" s="5" t="n"/>
      <c r="I1685" s="5" t="n"/>
      <c r="J1685" s="5" t="n"/>
      <c r="K1685" s="5" t="n"/>
      <c r="L1685" s="5" t="n"/>
      <c r="M1685" s="5" t="n"/>
      <c r="N1685" s="5" t="n"/>
      <c r="O1685" s="5" t="n"/>
      <c r="P1685" s="5" t="n"/>
      <c r="Q1685" s="5" t="n"/>
      <c r="R1685" s="5" t="n"/>
      <c r="S1685" s="5" t="n"/>
      <c r="T1685" s="5" t="n"/>
      <c r="U1685" s="5" t="n"/>
      <c r="V1685" s="5" t="n"/>
      <c r="W1685" s="5" t="n"/>
      <c r="X1685" s="5" t="n"/>
      <c r="Y1685" s="5">
        <f>IF(I1685="","",IF(AND(I1685="Fail",K1685=""),"Classify Issue Source",IF(AND(I1685="Fail",W1685=""),"Set Confidence",IF(AND(K1685="Unknown",W1685&lt;&gt;"Low"),"Unknown must be Low confidence",IF(AND(OR(K1685="Backend",K1685="SAP"),N1685=""),"Add HTTP status + endpoint",IF(AND(OR(K1685="Backend",K1685="SAP",K1685="Network"),P1685=""),"Add Correlation ID",IF(AND(I1685="Fail",T1685=""),"Write Root Cause / evidence gap",IF(AND(I1685="Fail",V1685=""),"Assign team","OK"))))))))</f>
        <v/>
      </c>
    </row>
    <row r="1686">
      <c r="A1686" s="5" t="n"/>
      <c r="B1686" s="5" t="n"/>
      <c r="C1686" s="5" t="n"/>
      <c r="D1686" s="5" t="n"/>
      <c r="E1686" s="5" t="n"/>
      <c r="F1686" s="5" t="n"/>
      <c r="G1686" s="5" t="n"/>
      <c r="H1686" s="5" t="n"/>
      <c r="I1686" s="5" t="n"/>
      <c r="J1686" s="5" t="n"/>
      <c r="K1686" s="5" t="n"/>
      <c r="L1686" s="5" t="n"/>
      <c r="M1686" s="5" t="n"/>
      <c r="N1686" s="5" t="n"/>
      <c r="O1686" s="5" t="n"/>
      <c r="P1686" s="5" t="n"/>
      <c r="Q1686" s="5" t="n"/>
      <c r="R1686" s="5" t="n"/>
      <c r="S1686" s="5" t="n"/>
      <c r="T1686" s="5" t="n"/>
      <c r="U1686" s="5" t="n"/>
      <c r="V1686" s="5" t="n"/>
      <c r="W1686" s="5" t="n"/>
      <c r="X1686" s="5" t="n"/>
      <c r="Y1686" s="5">
        <f>IF(I1686="","",IF(AND(I1686="Fail",K1686=""),"Classify Issue Source",IF(AND(I1686="Fail",W1686=""),"Set Confidence",IF(AND(K1686="Unknown",W1686&lt;&gt;"Low"),"Unknown must be Low confidence",IF(AND(OR(K1686="Backend",K1686="SAP"),N1686=""),"Add HTTP status + endpoint",IF(AND(OR(K1686="Backend",K1686="SAP",K1686="Network"),P1686=""),"Add Correlation ID",IF(AND(I1686="Fail",T1686=""),"Write Root Cause / evidence gap",IF(AND(I1686="Fail",V1686=""),"Assign team","OK"))))))))</f>
        <v/>
      </c>
    </row>
    <row r="1687">
      <c r="A1687" s="5" t="n"/>
      <c r="B1687" s="5" t="n"/>
      <c r="C1687" s="5" t="n"/>
      <c r="D1687" s="5" t="n"/>
      <c r="E1687" s="5" t="n"/>
      <c r="F1687" s="5" t="n"/>
      <c r="G1687" s="5" t="n"/>
      <c r="H1687" s="5" t="n"/>
      <c r="I1687" s="5" t="n"/>
      <c r="J1687" s="5" t="n"/>
      <c r="K1687" s="5" t="n"/>
      <c r="L1687" s="5" t="n"/>
      <c r="M1687" s="5" t="n"/>
      <c r="N1687" s="5" t="n"/>
      <c r="O1687" s="5" t="n"/>
      <c r="P1687" s="5" t="n"/>
      <c r="Q1687" s="5" t="n"/>
      <c r="R1687" s="5" t="n"/>
      <c r="S1687" s="5" t="n"/>
      <c r="T1687" s="5" t="n"/>
      <c r="U1687" s="5" t="n"/>
      <c r="V1687" s="5" t="n"/>
      <c r="W1687" s="5" t="n"/>
      <c r="X1687" s="5" t="n"/>
      <c r="Y1687" s="5">
        <f>IF(I1687="","",IF(AND(I1687="Fail",K1687=""),"Classify Issue Source",IF(AND(I1687="Fail",W1687=""),"Set Confidence",IF(AND(K1687="Unknown",W1687&lt;&gt;"Low"),"Unknown must be Low confidence",IF(AND(OR(K1687="Backend",K1687="SAP"),N1687=""),"Add HTTP status + endpoint",IF(AND(OR(K1687="Backend",K1687="SAP",K1687="Network"),P1687=""),"Add Correlation ID",IF(AND(I1687="Fail",T1687=""),"Write Root Cause / evidence gap",IF(AND(I1687="Fail",V1687=""),"Assign team","OK"))))))))</f>
        <v/>
      </c>
    </row>
    <row r="1688">
      <c r="A1688" s="5" t="n"/>
      <c r="B1688" s="5" t="n"/>
      <c r="C1688" s="5" t="n"/>
      <c r="D1688" s="5" t="n"/>
      <c r="E1688" s="5" t="n"/>
      <c r="F1688" s="5" t="n"/>
      <c r="G1688" s="5" t="n"/>
      <c r="H1688" s="5" t="n"/>
      <c r="I1688" s="5" t="n"/>
      <c r="J1688" s="5" t="n"/>
      <c r="K1688" s="5" t="n"/>
      <c r="L1688" s="5" t="n"/>
      <c r="M1688" s="5" t="n"/>
      <c r="N1688" s="5" t="n"/>
      <c r="O1688" s="5" t="n"/>
      <c r="P1688" s="5" t="n"/>
      <c r="Q1688" s="5" t="n"/>
      <c r="R1688" s="5" t="n"/>
      <c r="S1688" s="5" t="n"/>
      <c r="T1688" s="5" t="n"/>
      <c r="U1688" s="5" t="n"/>
      <c r="V1688" s="5" t="n"/>
      <c r="W1688" s="5" t="n"/>
      <c r="X1688" s="5" t="n"/>
      <c r="Y1688" s="5">
        <f>IF(I1688="","",IF(AND(I1688="Fail",K1688=""),"Classify Issue Source",IF(AND(I1688="Fail",W1688=""),"Set Confidence",IF(AND(K1688="Unknown",W1688&lt;&gt;"Low"),"Unknown must be Low confidence",IF(AND(OR(K1688="Backend",K1688="SAP"),N1688=""),"Add HTTP status + endpoint",IF(AND(OR(K1688="Backend",K1688="SAP",K1688="Network"),P1688=""),"Add Correlation ID",IF(AND(I1688="Fail",T1688=""),"Write Root Cause / evidence gap",IF(AND(I1688="Fail",V1688=""),"Assign team","OK"))))))))</f>
        <v/>
      </c>
    </row>
    <row r="1689">
      <c r="A1689" s="5" t="n"/>
      <c r="B1689" s="5" t="n"/>
      <c r="C1689" s="5" t="n"/>
      <c r="D1689" s="5" t="n"/>
      <c r="E1689" s="5" t="n"/>
      <c r="F1689" s="5" t="n"/>
      <c r="G1689" s="5" t="n"/>
      <c r="H1689" s="5" t="n"/>
      <c r="I1689" s="5" t="n"/>
      <c r="J1689" s="5" t="n"/>
      <c r="K1689" s="5" t="n"/>
      <c r="L1689" s="5" t="n"/>
      <c r="M1689" s="5" t="n"/>
      <c r="N1689" s="5" t="n"/>
      <c r="O1689" s="5" t="n"/>
      <c r="P1689" s="5" t="n"/>
      <c r="Q1689" s="5" t="n"/>
      <c r="R1689" s="5" t="n"/>
      <c r="S1689" s="5" t="n"/>
      <c r="T1689" s="5" t="n"/>
      <c r="U1689" s="5" t="n"/>
      <c r="V1689" s="5" t="n"/>
      <c r="W1689" s="5" t="n"/>
      <c r="X1689" s="5" t="n"/>
      <c r="Y1689" s="5">
        <f>IF(I1689="","",IF(AND(I1689="Fail",K1689=""),"Classify Issue Source",IF(AND(I1689="Fail",W1689=""),"Set Confidence",IF(AND(K1689="Unknown",W1689&lt;&gt;"Low"),"Unknown must be Low confidence",IF(AND(OR(K1689="Backend",K1689="SAP"),N1689=""),"Add HTTP status + endpoint",IF(AND(OR(K1689="Backend",K1689="SAP",K1689="Network"),P1689=""),"Add Correlation ID",IF(AND(I1689="Fail",T1689=""),"Write Root Cause / evidence gap",IF(AND(I1689="Fail",V1689=""),"Assign team","OK"))))))))</f>
        <v/>
      </c>
    </row>
    <row r="1690">
      <c r="A1690" s="5" t="n"/>
      <c r="B1690" s="5" t="n"/>
      <c r="C1690" s="5" t="n"/>
      <c r="D1690" s="5" t="n"/>
      <c r="E1690" s="5" t="n"/>
      <c r="F1690" s="5" t="n"/>
      <c r="G1690" s="5" t="n"/>
      <c r="H1690" s="5" t="n"/>
      <c r="I1690" s="5" t="n"/>
      <c r="J1690" s="5" t="n"/>
      <c r="K1690" s="5" t="n"/>
      <c r="L1690" s="5" t="n"/>
      <c r="M1690" s="5" t="n"/>
      <c r="N1690" s="5" t="n"/>
      <c r="O1690" s="5" t="n"/>
      <c r="P1690" s="5" t="n"/>
      <c r="Q1690" s="5" t="n"/>
      <c r="R1690" s="5" t="n"/>
      <c r="S1690" s="5" t="n"/>
      <c r="T1690" s="5" t="n"/>
      <c r="U1690" s="5" t="n"/>
      <c r="V1690" s="5" t="n"/>
      <c r="W1690" s="5" t="n"/>
      <c r="X1690" s="5" t="n"/>
      <c r="Y1690" s="5">
        <f>IF(I1690="","",IF(AND(I1690="Fail",K1690=""),"Classify Issue Source",IF(AND(I1690="Fail",W1690=""),"Set Confidence",IF(AND(K1690="Unknown",W1690&lt;&gt;"Low"),"Unknown must be Low confidence",IF(AND(OR(K1690="Backend",K1690="SAP"),N1690=""),"Add HTTP status + endpoint",IF(AND(OR(K1690="Backend",K1690="SAP",K1690="Network"),P1690=""),"Add Correlation ID",IF(AND(I1690="Fail",T1690=""),"Write Root Cause / evidence gap",IF(AND(I1690="Fail",V1690=""),"Assign team","OK"))))))))</f>
        <v/>
      </c>
    </row>
    <row r="1691">
      <c r="A1691" s="5" t="n"/>
      <c r="B1691" s="5" t="n"/>
      <c r="C1691" s="5" t="n"/>
      <c r="D1691" s="5" t="n"/>
      <c r="E1691" s="5" t="n"/>
      <c r="F1691" s="5" t="n"/>
      <c r="G1691" s="5" t="n"/>
      <c r="H1691" s="5" t="n"/>
      <c r="I1691" s="5" t="n"/>
      <c r="J1691" s="5" t="n"/>
      <c r="K1691" s="5" t="n"/>
      <c r="L1691" s="5" t="n"/>
      <c r="M1691" s="5" t="n"/>
      <c r="N1691" s="5" t="n"/>
      <c r="O1691" s="5" t="n"/>
      <c r="P1691" s="5" t="n"/>
      <c r="Q1691" s="5" t="n"/>
      <c r="R1691" s="5" t="n"/>
      <c r="S1691" s="5" t="n"/>
      <c r="T1691" s="5" t="n"/>
      <c r="U1691" s="5" t="n"/>
      <c r="V1691" s="5" t="n"/>
      <c r="W1691" s="5" t="n"/>
      <c r="X1691" s="5" t="n"/>
      <c r="Y1691" s="5">
        <f>IF(I1691="","",IF(AND(I1691="Fail",K1691=""),"Classify Issue Source",IF(AND(I1691="Fail",W1691=""),"Set Confidence",IF(AND(K1691="Unknown",W1691&lt;&gt;"Low"),"Unknown must be Low confidence",IF(AND(OR(K1691="Backend",K1691="SAP"),N1691=""),"Add HTTP status + endpoint",IF(AND(OR(K1691="Backend",K1691="SAP",K1691="Network"),P1691=""),"Add Correlation ID",IF(AND(I1691="Fail",T1691=""),"Write Root Cause / evidence gap",IF(AND(I1691="Fail",V1691=""),"Assign team","OK"))))))))</f>
        <v/>
      </c>
    </row>
    <row r="1692">
      <c r="A1692" s="5" t="n"/>
      <c r="B1692" s="5" t="n"/>
      <c r="C1692" s="5" t="n"/>
      <c r="D1692" s="5" t="n"/>
      <c r="E1692" s="5" t="n"/>
      <c r="F1692" s="5" t="n"/>
      <c r="G1692" s="5" t="n"/>
      <c r="H1692" s="5" t="n"/>
      <c r="I1692" s="5" t="n"/>
      <c r="J1692" s="5" t="n"/>
      <c r="K1692" s="5" t="n"/>
      <c r="L1692" s="5" t="n"/>
      <c r="M1692" s="5" t="n"/>
      <c r="N1692" s="5" t="n"/>
      <c r="O1692" s="5" t="n"/>
      <c r="P1692" s="5" t="n"/>
      <c r="Q1692" s="5" t="n"/>
      <c r="R1692" s="5" t="n"/>
      <c r="S1692" s="5" t="n"/>
      <c r="T1692" s="5" t="n"/>
      <c r="U1692" s="5" t="n"/>
      <c r="V1692" s="5" t="n"/>
      <c r="W1692" s="5" t="n"/>
      <c r="X1692" s="5" t="n"/>
      <c r="Y1692" s="5">
        <f>IF(I1692="","",IF(AND(I1692="Fail",K1692=""),"Classify Issue Source",IF(AND(I1692="Fail",W1692=""),"Set Confidence",IF(AND(K1692="Unknown",W1692&lt;&gt;"Low"),"Unknown must be Low confidence",IF(AND(OR(K1692="Backend",K1692="SAP"),N1692=""),"Add HTTP status + endpoint",IF(AND(OR(K1692="Backend",K1692="SAP",K1692="Network"),P1692=""),"Add Correlation ID",IF(AND(I1692="Fail",T1692=""),"Write Root Cause / evidence gap",IF(AND(I1692="Fail",V1692=""),"Assign team","OK"))))))))</f>
        <v/>
      </c>
    </row>
    <row r="1693">
      <c r="A1693" s="5" t="n"/>
      <c r="B1693" s="5" t="n"/>
      <c r="C1693" s="5" t="n"/>
      <c r="D1693" s="5" t="n"/>
      <c r="E1693" s="5" t="n"/>
      <c r="F1693" s="5" t="n"/>
      <c r="G1693" s="5" t="n"/>
      <c r="H1693" s="5" t="n"/>
      <c r="I1693" s="5" t="n"/>
      <c r="J1693" s="5" t="n"/>
      <c r="K1693" s="5" t="n"/>
      <c r="L1693" s="5" t="n"/>
      <c r="M1693" s="5" t="n"/>
      <c r="N1693" s="5" t="n"/>
      <c r="O1693" s="5" t="n"/>
      <c r="P1693" s="5" t="n"/>
      <c r="Q1693" s="5" t="n"/>
      <c r="R1693" s="5" t="n"/>
      <c r="S1693" s="5" t="n"/>
      <c r="T1693" s="5" t="n"/>
      <c r="U1693" s="5" t="n"/>
      <c r="V1693" s="5" t="n"/>
      <c r="W1693" s="5" t="n"/>
      <c r="X1693" s="5" t="n"/>
      <c r="Y1693" s="5">
        <f>IF(I1693="","",IF(AND(I1693="Fail",K1693=""),"Classify Issue Source",IF(AND(I1693="Fail",W1693=""),"Set Confidence",IF(AND(K1693="Unknown",W1693&lt;&gt;"Low"),"Unknown must be Low confidence",IF(AND(OR(K1693="Backend",K1693="SAP"),N1693=""),"Add HTTP status + endpoint",IF(AND(OR(K1693="Backend",K1693="SAP",K1693="Network"),P1693=""),"Add Correlation ID",IF(AND(I1693="Fail",T1693=""),"Write Root Cause / evidence gap",IF(AND(I1693="Fail",V1693=""),"Assign team","OK"))))))))</f>
        <v/>
      </c>
    </row>
    <row r="1694">
      <c r="A1694" s="5" t="n"/>
      <c r="B1694" s="5" t="n"/>
      <c r="C1694" s="5" t="n"/>
      <c r="D1694" s="5" t="n"/>
      <c r="E1694" s="5" t="n"/>
      <c r="F1694" s="5" t="n"/>
      <c r="G1694" s="5" t="n"/>
      <c r="H1694" s="5" t="n"/>
      <c r="I1694" s="5" t="n"/>
      <c r="J1694" s="5" t="n"/>
      <c r="K1694" s="5" t="n"/>
      <c r="L1694" s="5" t="n"/>
      <c r="M1694" s="5" t="n"/>
      <c r="N1694" s="5" t="n"/>
      <c r="O1694" s="5" t="n"/>
      <c r="P1694" s="5" t="n"/>
      <c r="Q1694" s="5" t="n"/>
      <c r="R1694" s="5" t="n"/>
      <c r="S1694" s="5" t="n"/>
      <c r="T1694" s="5" t="n"/>
      <c r="U1694" s="5" t="n"/>
      <c r="V1694" s="5" t="n"/>
      <c r="W1694" s="5" t="n"/>
      <c r="X1694" s="5" t="n"/>
      <c r="Y1694" s="5">
        <f>IF(I1694="","",IF(AND(I1694="Fail",K1694=""),"Classify Issue Source",IF(AND(I1694="Fail",W1694=""),"Set Confidence",IF(AND(K1694="Unknown",W1694&lt;&gt;"Low"),"Unknown must be Low confidence",IF(AND(OR(K1694="Backend",K1694="SAP"),N1694=""),"Add HTTP status + endpoint",IF(AND(OR(K1694="Backend",K1694="SAP",K1694="Network"),P1694=""),"Add Correlation ID",IF(AND(I1694="Fail",T1694=""),"Write Root Cause / evidence gap",IF(AND(I1694="Fail",V1694=""),"Assign team","OK"))))))))</f>
        <v/>
      </c>
    </row>
    <row r="1695">
      <c r="A1695" s="5" t="n"/>
      <c r="B1695" s="5" t="n"/>
      <c r="C1695" s="5" t="n"/>
      <c r="D1695" s="5" t="n"/>
      <c r="E1695" s="5" t="n"/>
      <c r="F1695" s="5" t="n"/>
      <c r="G1695" s="5" t="n"/>
      <c r="H1695" s="5" t="n"/>
      <c r="I1695" s="5" t="n"/>
      <c r="J1695" s="5" t="n"/>
      <c r="K1695" s="5" t="n"/>
      <c r="L1695" s="5" t="n"/>
      <c r="M1695" s="5" t="n"/>
      <c r="N1695" s="5" t="n"/>
      <c r="O1695" s="5" t="n"/>
      <c r="P1695" s="5" t="n"/>
      <c r="Q1695" s="5" t="n"/>
      <c r="R1695" s="5" t="n"/>
      <c r="S1695" s="5" t="n"/>
      <c r="T1695" s="5" t="n"/>
      <c r="U1695" s="5" t="n"/>
      <c r="V1695" s="5" t="n"/>
      <c r="W1695" s="5" t="n"/>
      <c r="X1695" s="5" t="n"/>
      <c r="Y1695" s="5">
        <f>IF(I1695="","",IF(AND(I1695="Fail",K1695=""),"Classify Issue Source",IF(AND(I1695="Fail",W1695=""),"Set Confidence",IF(AND(K1695="Unknown",W1695&lt;&gt;"Low"),"Unknown must be Low confidence",IF(AND(OR(K1695="Backend",K1695="SAP"),N1695=""),"Add HTTP status + endpoint",IF(AND(OR(K1695="Backend",K1695="SAP",K1695="Network"),P1695=""),"Add Correlation ID",IF(AND(I1695="Fail",T1695=""),"Write Root Cause / evidence gap",IF(AND(I1695="Fail",V1695=""),"Assign team","OK"))))))))</f>
        <v/>
      </c>
    </row>
    <row r="1696">
      <c r="A1696" s="5" t="n"/>
      <c r="B1696" s="5" t="n"/>
      <c r="C1696" s="5" t="n"/>
      <c r="D1696" s="5" t="n"/>
      <c r="E1696" s="5" t="n"/>
      <c r="F1696" s="5" t="n"/>
      <c r="G1696" s="5" t="n"/>
      <c r="H1696" s="5" t="n"/>
      <c r="I1696" s="5" t="n"/>
      <c r="J1696" s="5" t="n"/>
      <c r="K1696" s="5" t="n"/>
      <c r="L1696" s="5" t="n"/>
      <c r="M1696" s="5" t="n"/>
      <c r="N1696" s="5" t="n"/>
      <c r="O1696" s="5" t="n"/>
      <c r="P1696" s="5" t="n"/>
      <c r="Q1696" s="5" t="n"/>
      <c r="R1696" s="5" t="n"/>
      <c r="S1696" s="5" t="n"/>
      <c r="T1696" s="5" t="n"/>
      <c r="U1696" s="5" t="n"/>
      <c r="V1696" s="5" t="n"/>
      <c r="W1696" s="5" t="n"/>
      <c r="X1696" s="5" t="n"/>
      <c r="Y1696" s="5">
        <f>IF(I1696="","",IF(AND(I1696="Fail",K1696=""),"Classify Issue Source",IF(AND(I1696="Fail",W1696=""),"Set Confidence",IF(AND(K1696="Unknown",W1696&lt;&gt;"Low"),"Unknown must be Low confidence",IF(AND(OR(K1696="Backend",K1696="SAP"),N1696=""),"Add HTTP status + endpoint",IF(AND(OR(K1696="Backend",K1696="SAP",K1696="Network"),P1696=""),"Add Correlation ID",IF(AND(I1696="Fail",T1696=""),"Write Root Cause / evidence gap",IF(AND(I1696="Fail",V1696=""),"Assign team","OK"))))))))</f>
        <v/>
      </c>
    </row>
    <row r="1697">
      <c r="A1697" s="5" t="n"/>
      <c r="B1697" s="5" t="n"/>
      <c r="C1697" s="5" t="n"/>
      <c r="D1697" s="5" t="n"/>
      <c r="E1697" s="5" t="n"/>
      <c r="F1697" s="5" t="n"/>
      <c r="G1697" s="5" t="n"/>
      <c r="H1697" s="5" t="n"/>
      <c r="I1697" s="5" t="n"/>
      <c r="J1697" s="5" t="n"/>
      <c r="K1697" s="5" t="n"/>
      <c r="L1697" s="5" t="n"/>
      <c r="M1697" s="5" t="n"/>
      <c r="N1697" s="5" t="n"/>
      <c r="O1697" s="5" t="n"/>
      <c r="P1697" s="5" t="n"/>
      <c r="Q1697" s="5" t="n"/>
      <c r="R1697" s="5" t="n"/>
      <c r="S1697" s="5" t="n"/>
      <c r="T1697" s="5" t="n"/>
      <c r="U1697" s="5" t="n"/>
      <c r="V1697" s="5" t="n"/>
      <c r="W1697" s="5" t="n"/>
      <c r="X1697" s="5" t="n"/>
      <c r="Y1697" s="5">
        <f>IF(I1697="","",IF(AND(I1697="Fail",K1697=""),"Classify Issue Source",IF(AND(I1697="Fail",W1697=""),"Set Confidence",IF(AND(K1697="Unknown",W1697&lt;&gt;"Low"),"Unknown must be Low confidence",IF(AND(OR(K1697="Backend",K1697="SAP"),N1697=""),"Add HTTP status + endpoint",IF(AND(OR(K1697="Backend",K1697="SAP",K1697="Network"),P1697=""),"Add Correlation ID",IF(AND(I1697="Fail",T1697=""),"Write Root Cause / evidence gap",IF(AND(I1697="Fail",V1697=""),"Assign team","OK"))))))))</f>
        <v/>
      </c>
    </row>
    <row r="1698">
      <c r="A1698" s="5" t="n"/>
      <c r="B1698" s="5" t="n"/>
      <c r="C1698" s="5" t="n"/>
      <c r="D1698" s="5" t="n"/>
      <c r="E1698" s="5" t="n"/>
      <c r="F1698" s="5" t="n"/>
      <c r="G1698" s="5" t="n"/>
      <c r="H1698" s="5" t="n"/>
      <c r="I1698" s="5" t="n"/>
      <c r="J1698" s="5" t="n"/>
      <c r="K1698" s="5" t="n"/>
      <c r="L1698" s="5" t="n"/>
      <c r="M1698" s="5" t="n"/>
      <c r="N1698" s="5" t="n"/>
      <c r="O1698" s="5" t="n"/>
      <c r="P1698" s="5" t="n"/>
      <c r="Q1698" s="5" t="n"/>
      <c r="R1698" s="5" t="n"/>
      <c r="S1698" s="5" t="n"/>
      <c r="T1698" s="5" t="n"/>
      <c r="U1698" s="5" t="n"/>
      <c r="V1698" s="5" t="n"/>
      <c r="W1698" s="5" t="n"/>
      <c r="X1698" s="5" t="n"/>
      <c r="Y1698" s="5">
        <f>IF(I1698="","",IF(AND(I1698="Fail",K1698=""),"Classify Issue Source",IF(AND(I1698="Fail",W1698=""),"Set Confidence",IF(AND(K1698="Unknown",W1698&lt;&gt;"Low"),"Unknown must be Low confidence",IF(AND(OR(K1698="Backend",K1698="SAP"),N1698=""),"Add HTTP status + endpoint",IF(AND(OR(K1698="Backend",K1698="SAP",K1698="Network"),P1698=""),"Add Correlation ID",IF(AND(I1698="Fail",T1698=""),"Write Root Cause / evidence gap",IF(AND(I1698="Fail",V1698=""),"Assign team","OK"))))))))</f>
        <v/>
      </c>
    </row>
    <row r="1699">
      <c r="A1699" s="5" t="n"/>
      <c r="B1699" s="5" t="n"/>
      <c r="C1699" s="5" t="n"/>
      <c r="D1699" s="5" t="n"/>
      <c r="E1699" s="5" t="n"/>
      <c r="F1699" s="5" t="n"/>
      <c r="G1699" s="5" t="n"/>
      <c r="H1699" s="5" t="n"/>
      <c r="I1699" s="5" t="n"/>
      <c r="J1699" s="5" t="n"/>
      <c r="K1699" s="5" t="n"/>
      <c r="L1699" s="5" t="n"/>
      <c r="M1699" s="5" t="n"/>
      <c r="N1699" s="5" t="n"/>
      <c r="O1699" s="5" t="n"/>
      <c r="P1699" s="5" t="n"/>
      <c r="Q1699" s="5" t="n"/>
      <c r="R1699" s="5" t="n"/>
      <c r="S1699" s="5" t="n"/>
      <c r="T1699" s="5" t="n"/>
      <c r="U1699" s="5" t="n"/>
      <c r="V1699" s="5" t="n"/>
      <c r="W1699" s="5" t="n"/>
      <c r="X1699" s="5" t="n"/>
      <c r="Y1699" s="5">
        <f>IF(I1699="","",IF(AND(I1699="Fail",K1699=""),"Classify Issue Source",IF(AND(I1699="Fail",W1699=""),"Set Confidence",IF(AND(K1699="Unknown",W1699&lt;&gt;"Low"),"Unknown must be Low confidence",IF(AND(OR(K1699="Backend",K1699="SAP"),N1699=""),"Add HTTP status + endpoint",IF(AND(OR(K1699="Backend",K1699="SAP",K1699="Network"),P1699=""),"Add Correlation ID",IF(AND(I1699="Fail",T1699=""),"Write Root Cause / evidence gap",IF(AND(I1699="Fail",V1699=""),"Assign team","OK"))))))))</f>
        <v/>
      </c>
    </row>
    <row r="1700">
      <c r="A1700" s="5" t="n"/>
      <c r="B1700" s="5" t="n"/>
      <c r="C1700" s="5" t="n"/>
      <c r="D1700" s="5" t="n"/>
      <c r="E1700" s="5" t="n"/>
      <c r="F1700" s="5" t="n"/>
      <c r="G1700" s="5" t="n"/>
      <c r="H1700" s="5" t="n"/>
      <c r="I1700" s="5" t="n"/>
      <c r="J1700" s="5" t="n"/>
      <c r="K1700" s="5" t="n"/>
      <c r="L1700" s="5" t="n"/>
      <c r="M1700" s="5" t="n"/>
      <c r="N1700" s="5" t="n"/>
      <c r="O1700" s="5" t="n"/>
      <c r="P1700" s="5" t="n"/>
      <c r="Q1700" s="5" t="n"/>
      <c r="R1700" s="5" t="n"/>
      <c r="S1700" s="5" t="n"/>
      <c r="T1700" s="5" t="n"/>
      <c r="U1700" s="5" t="n"/>
      <c r="V1700" s="5" t="n"/>
      <c r="W1700" s="5" t="n"/>
      <c r="X1700" s="5" t="n"/>
      <c r="Y1700" s="5">
        <f>IF(I1700="","",IF(AND(I1700="Fail",K1700=""),"Classify Issue Source",IF(AND(I1700="Fail",W1700=""),"Set Confidence",IF(AND(K1700="Unknown",W1700&lt;&gt;"Low"),"Unknown must be Low confidence",IF(AND(OR(K1700="Backend",K1700="SAP"),N1700=""),"Add HTTP status + endpoint",IF(AND(OR(K1700="Backend",K1700="SAP",K1700="Network"),P1700=""),"Add Correlation ID",IF(AND(I1700="Fail",T1700=""),"Write Root Cause / evidence gap",IF(AND(I1700="Fail",V1700=""),"Assign team","OK"))))))))</f>
        <v/>
      </c>
    </row>
    <row r="1701">
      <c r="A1701" s="5" t="n"/>
      <c r="B1701" s="5" t="n"/>
      <c r="C1701" s="5" t="n"/>
      <c r="D1701" s="5" t="n"/>
      <c r="E1701" s="5" t="n"/>
      <c r="F1701" s="5" t="n"/>
      <c r="G1701" s="5" t="n"/>
      <c r="H1701" s="5" t="n"/>
      <c r="I1701" s="5" t="n"/>
      <c r="J1701" s="5" t="n"/>
      <c r="K1701" s="5" t="n"/>
      <c r="L1701" s="5" t="n"/>
      <c r="M1701" s="5" t="n"/>
      <c r="N1701" s="5" t="n"/>
      <c r="O1701" s="5" t="n"/>
      <c r="P1701" s="5" t="n"/>
      <c r="Q1701" s="5" t="n"/>
      <c r="R1701" s="5" t="n"/>
      <c r="S1701" s="5" t="n"/>
      <c r="T1701" s="5" t="n"/>
      <c r="U1701" s="5" t="n"/>
      <c r="V1701" s="5" t="n"/>
      <c r="W1701" s="5" t="n"/>
      <c r="X1701" s="5" t="n"/>
      <c r="Y1701" s="5">
        <f>IF(I1701="","",IF(AND(I1701="Fail",K1701=""),"Classify Issue Source",IF(AND(I1701="Fail",W1701=""),"Set Confidence",IF(AND(K1701="Unknown",W1701&lt;&gt;"Low"),"Unknown must be Low confidence",IF(AND(OR(K1701="Backend",K1701="SAP"),N1701=""),"Add HTTP status + endpoint",IF(AND(OR(K1701="Backend",K1701="SAP",K1701="Network"),P1701=""),"Add Correlation ID",IF(AND(I1701="Fail",T1701=""),"Write Root Cause / evidence gap",IF(AND(I1701="Fail",V1701=""),"Assign team","OK"))))))))</f>
        <v/>
      </c>
    </row>
    <row r="1702">
      <c r="A1702" s="5" t="n"/>
      <c r="B1702" s="5" t="n"/>
      <c r="C1702" s="5" t="n"/>
      <c r="D1702" s="5" t="n"/>
      <c r="E1702" s="5" t="n"/>
      <c r="F1702" s="5" t="n"/>
      <c r="G1702" s="5" t="n"/>
      <c r="H1702" s="5" t="n"/>
      <c r="I1702" s="5" t="n"/>
      <c r="J1702" s="5" t="n"/>
      <c r="K1702" s="5" t="n"/>
      <c r="L1702" s="5" t="n"/>
      <c r="M1702" s="5" t="n"/>
      <c r="N1702" s="5" t="n"/>
      <c r="O1702" s="5" t="n"/>
      <c r="P1702" s="5" t="n"/>
      <c r="Q1702" s="5" t="n"/>
      <c r="R1702" s="5" t="n"/>
      <c r="S1702" s="5" t="n"/>
      <c r="T1702" s="5" t="n"/>
      <c r="U1702" s="5" t="n"/>
      <c r="V1702" s="5" t="n"/>
      <c r="W1702" s="5" t="n"/>
      <c r="X1702" s="5" t="n"/>
      <c r="Y1702" s="5">
        <f>IF(I1702="","",IF(AND(I1702="Fail",K1702=""),"Classify Issue Source",IF(AND(I1702="Fail",W1702=""),"Set Confidence",IF(AND(K1702="Unknown",W1702&lt;&gt;"Low"),"Unknown must be Low confidence",IF(AND(OR(K1702="Backend",K1702="SAP"),N1702=""),"Add HTTP status + endpoint",IF(AND(OR(K1702="Backend",K1702="SAP",K1702="Network"),P1702=""),"Add Correlation ID",IF(AND(I1702="Fail",T1702=""),"Write Root Cause / evidence gap",IF(AND(I1702="Fail",V1702=""),"Assign team","OK"))))))))</f>
        <v/>
      </c>
    </row>
    <row r="1703">
      <c r="A1703" s="5" t="n"/>
      <c r="B1703" s="5" t="n"/>
      <c r="C1703" s="5" t="n"/>
      <c r="D1703" s="5" t="n"/>
      <c r="E1703" s="5" t="n"/>
      <c r="F1703" s="5" t="n"/>
      <c r="G1703" s="5" t="n"/>
      <c r="H1703" s="5" t="n"/>
      <c r="I1703" s="5" t="n"/>
      <c r="J1703" s="5" t="n"/>
      <c r="K1703" s="5" t="n"/>
      <c r="L1703" s="5" t="n"/>
      <c r="M1703" s="5" t="n"/>
      <c r="N1703" s="5" t="n"/>
      <c r="O1703" s="5" t="n"/>
      <c r="P1703" s="5" t="n"/>
      <c r="Q1703" s="5" t="n"/>
      <c r="R1703" s="5" t="n"/>
      <c r="S1703" s="5" t="n"/>
      <c r="T1703" s="5" t="n"/>
      <c r="U1703" s="5" t="n"/>
      <c r="V1703" s="5" t="n"/>
      <c r="W1703" s="5" t="n"/>
      <c r="X1703" s="5" t="n"/>
      <c r="Y1703" s="5">
        <f>IF(I1703="","",IF(AND(I1703="Fail",K1703=""),"Classify Issue Source",IF(AND(I1703="Fail",W1703=""),"Set Confidence",IF(AND(K1703="Unknown",W1703&lt;&gt;"Low"),"Unknown must be Low confidence",IF(AND(OR(K1703="Backend",K1703="SAP"),N1703=""),"Add HTTP status + endpoint",IF(AND(OR(K1703="Backend",K1703="SAP",K1703="Network"),P1703=""),"Add Correlation ID",IF(AND(I1703="Fail",T1703=""),"Write Root Cause / evidence gap",IF(AND(I1703="Fail",V1703=""),"Assign team","OK"))))))))</f>
        <v/>
      </c>
    </row>
    <row r="1704">
      <c r="A1704" s="5" t="n"/>
      <c r="B1704" s="5" t="n"/>
      <c r="C1704" s="5" t="n"/>
      <c r="D1704" s="5" t="n"/>
      <c r="E1704" s="5" t="n"/>
      <c r="F1704" s="5" t="n"/>
      <c r="G1704" s="5" t="n"/>
      <c r="H1704" s="5" t="n"/>
      <c r="I1704" s="5" t="n"/>
      <c r="J1704" s="5" t="n"/>
      <c r="K1704" s="5" t="n"/>
      <c r="L1704" s="5" t="n"/>
      <c r="M1704" s="5" t="n"/>
      <c r="N1704" s="5" t="n"/>
      <c r="O1704" s="5" t="n"/>
      <c r="P1704" s="5" t="n"/>
      <c r="Q1704" s="5" t="n"/>
      <c r="R1704" s="5" t="n"/>
      <c r="S1704" s="5" t="n"/>
      <c r="T1704" s="5" t="n"/>
      <c r="U1704" s="5" t="n"/>
      <c r="V1704" s="5" t="n"/>
      <c r="W1704" s="5" t="n"/>
      <c r="X1704" s="5" t="n"/>
      <c r="Y1704" s="5">
        <f>IF(I1704="","",IF(AND(I1704="Fail",K1704=""),"Classify Issue Source",IF(AND(I1704="Fail",W1704=""),"Set Confidence",IF(AND(K1704="Unknown",W1704&lt;&gt;"Low"),"Unknown must be Low confidence",IF(AND(OR(K1704="Backend",K1704="SAP"),N1704=""),"Add HTTP status + endpoint",IF(AND(OR(K1704="Backend",K1704="SAP",K1704="Network"),P1704=""),"Add Correlation ID",IF(AND(I1704="Fail",T1704=""),"Write Root Cause / evidence gap",IF(AND(I1704="Fail",V1704=""),"Assign team","OK"))))))))</f>
        <v/>
      </c>
    </row>
    <row r="1705">
      <c r="A1705" s="5" t="n"/>
      <c r="B1705" s="5" t="n"/>
      <c r="C1705" s="5" t="n"/>
      <c r="D1705" s="5" t="n"/>
      <c r="E1705" s="5" t="n"/>
      <c r="F1705" s="5" t="n"/>
      <c r="G1705" s="5" t="n"/>
      <c r="H1705" s="5" t="n"/>
      <c r="I1705" s="5" t="n"/>
      <c r="J1705" s="5" t="n"/>
      <c r="K1705" s="5" t="n"/>
      <c r="L1705" s="5" t="n"/>
      <c r="M1705" s="5" t="n"/>
      <c r="N1705" s="5" t="n"/>
      <c r="O1705" s="5" t="n"/>
      <c r="P1705" s="5" t="n"/>
      <c r="Q1705" s="5" t="n"/>
      <c r="R1705" s="5" t="n"/>
      <c r="S1705" s="5" t="n"/>
      <c r="T1705" s="5" t="n"/>
      <c r="U1705" s="5" t="n"/>
      <c r="V1705" s="5" t="n"/>
      <c r="W1705" s="5" t="n"/>
      <c r="X1705" s="5" t="n"/>
      <c r="Y1705" s="5">
        <f>IF(I1705="","",IF(AND(I1705="Fail",K1705=""),"Classify Issue Source",IF(AND(I1705="Fail",W1705=""),"Set Confidence",IF(AND(K1705="Unknown",W1705&lt;&gt;"Low"),"Unknown must be Low confidence",IF(AND(OR(K1705="Backend",K1705="SAP"),N1705=""),"Add HTTP status + endpoint",IF(AND(OR(K1705="Backend",K1705="SAP",K1705="Network"),P1705=""),"Add Correlation ID",IF(AND(I1705="Fail",T1705=""),"Write Root Cause / evidence gap",IF(AND(I1705="Fail",V1705=""),"Assign team","OK"))))))))</f>
        <v/>
      </c>
    </row>
    <row r="1706">
      <c r="A1706" s="5" t="n"/>
      <c r="B1706" s="5" t="n"/>
      <c r="C1706" s="5" t="n"/>
      <c r="D1706" s="5" t="n"/>
      <c r="E1706" s="5" t="n"/>
      <c r="F1706" s="5" t="n"/>
      <c r="G1706" s="5" t="n"/>
      <c r="H1706" s="5" t="n"/>
      <c r="I1706" s="5" t="n"/>
      <c r="J1706" s="5" t="n"/>
      <c r="K1706" s="5" t="n"/>
      <c r="L1706" s="5" t="n"/>
      <c r="M1706" s="5" t="n"/>
      <c r="N1706" s="5" t="n"/>
      <c r="O1706" s="5" t="n"/>
      <c r="P1706" s="5" t="n"/>
      <c r="Q1706" s="5" t="n"/>
      <c r="R1706" s="5" t="n"/>
      <c r="S1706" s="5" t="n"/>
      <c r="T1706" s="5" t="n"/>
      <c r="U1706" s="5" t="n"/>
      <c r="V1706" s="5" t="n"/>
      <c r="W1706" s="5" t="n"/>
      <c r="X1706" s="5" t="n"/>
      <c r="Y1706" s="5">
        <f>IF(I1706="","",IF(AND(I1706="Fail",K1706=""),"Classify Issue Source",IF(AND(I1706="Fail",W1706=""),"Set Confidence",IF(AND(K1706="Unknown",W1706&lt;&gt;"Low"),"Unknown must be Low confidence",IF(AND(OR(K1706="Backend",K1706="SAP"),N1706=""),"Add HTTP status + endpoint",IF(AND(OR(K1706="Backend",K1706="SAP",K1706="Network"),P1706=""),"Add Correlation ID",IF(AND(I1706="Fail",T1706=""),"Write Root Cause / evidence gap",IF(AND(I1706="Fail",V1706=""),"Assign team","OK"))))))))</f>
        <v/>
      </c>
    </row>
    <row r="1707">
      <c r="A1707" s="5" t="n"/>
      <c r="B1707" s="5" t="n"/>
      <c r="C1707" s="5" t="n"/>
      <c r="D1707" s="5" t="n"/>
      <c r="E1707" s="5" t="n"/>
      <c r="F1707" s="5" t="n"/>
      <c r="G1707" s="5" t="n"/>
      <c r="H1707" s="5" t="n"/>
      <c r="I1707" s="5" t="n"/>
      <c r="J1707" s="5" t="n"/>
      <c r="K1707" s="5" t="n"/>
      <c r="L1707" s="5" t="n"/>
      <c r="M1707" s="5" t="n"/>
      <c r="N1707" s="5" t="n"/>
      <c r="O1707" s="5" t="n"/>
      <c r="P1707" s="5" t="n"/>
      <c r="Q1707" s="5" t="n"/>
      <c r="R1707" s="5" t="n"/>
      <c r="S1707" s="5" t="n"/>
      <c r="T1707" s="5" t="n"/>
      <c r="U1707" s="5" t="n"/>
      <c r="V1707" s="5" t="n"/>
      <c r="W1707" s="5" t="n"/>
      <c r="X1707" s="5" t="n"/>
      <c r="Y1707" s="5">
        <f>IF(I1707="","",IF(AND(I1707="Fail",K1707=""),"Classify Issue Source",IF(AND(I1707="Fail",W1707=""),"Set Confidence",IF(AND(K1707="Unknown",W1707&lt;&gt;"Low"),"Unknown must be Low confidence",IF(AND(OR(K1707="Backend",K1707="SAP"),N1707=""),"Add HTTP status + endpoint",IF(AND(OR(K1707="Backend",K1707="SAP",K1707="Network"),P1707=""),"Add Correlation ID",IF(AND(I1707="Fail",T1707=""),"Write Root Cause / evidence gap",IF(AND(I1707="Fail",V1707=""),"Assign team","OK"))))))))</f>
        <v/>
      </c>
    </row>
    <row r="1708">
      <c r="A1708" s="5" t="n"/>
      <c r="B1708" s="5" t="n"/>
      <c r="C1708" s="5" t="n"/>
      <c r="D1708" s="5" t="n"/>
      <c r="E1708" s="5" t="n"/>
      <c r="F1708" s="5" t="n"/>
      <c r="G1708" s="5" t="n"/>
      <c r="H1708" s="5" t="n"/>
      <c r="I1708" s="5" t="n"/>
      <c r="J1708" s="5" t="n"/>
      <c r="K1708" s="5" t="n"/>
      <c r="L1708" s="5" t="n"/>
      <c r="M1708" s="5" t="n"/>
      <c r="N1708" s="5" t="n"/>
      <c r="O1708" s="5" t="n"/>
      <c r="P1708" s="5" t="n"/>
      <c r="Q1708" s="5" t="n"/>
      <c r="R1708" s="5" t="n"/>
      <c r="S1708" s="5" t="n"/>
      <c r="T1708" s="5" t="n"/>
      <c r="U1708" s="5" t="n"/>
      <c r="V1708" s="5" t="n"/>
      <c r="W1708" s="5" t="n"/>
      <c r="X1708" s="5" t="n"/>
      <c r="Y1708" s="5">
        <f>IF(I1708="","",IF(AND(I1708="Fail",K1708=""),"Classify Issue Source",IF(AND(I1708="Fail",W1708=""),"Set Confidence",IF(AND(K1708="Unknown",W1708&lt;&gt;"Low"),"Unknown must be Low confidence",IF(AND(OR(K1708="Backend",K1708="SAP"),N1708=""),"Add HTTP status + endpoint",IF(AND(OR(K1708="Backend",K1708="SAP",K1708="Network"),P1708=""),"Add Correlation ID",IF(AND(I1708="Fail",T1708=""),"Write Root Cause / evidence gap",IF(AND(I1708="Fail",V1708=""),"Assign team","OK"))))))))</f>
        <v/>
      </c>
    </row>
    <row r="1709">
      <c r="A1709" s="5" t="n"/>
      <c r="B1709" s="5" t="n"/>
      <c r="C1709" s="5" t="n"/>
      <c r="D1709" s="5" t="n"/>
      <c r="E1709" s="5" t="n"/>
      <c r="F1709" s="5" t="n"/>
      <c r="G1709" s="5" t="n"/>
      <c r="H1709" s="5" t="n"/>
      <c r="I1709" s="5" t="n"/>
      <c r="J1709" s="5" t="n"/>
      <c r="K1709" s="5" t="n"/>
      <c r="L1709" s="5" t="n"/>
      <c r="M1709" s="5" t="n"/>
      <c r="N1709" s="5" t="n"/>
      <c r="O1709" s="5" t="n"/>
      <c r="P1709" s="5" t="n"/>
      <c r="Q1709" s="5" t="n"/>
      <c r="R1709" s="5" t="n"/>
      <c r="S1709" s="5" t="n"/>
      <c r="T1709" s="5" t="n"/>
      <c r="U1709" s="5" t="n"/>
      <c r="V1709" s="5" t="n"/>
      <c r="W1709" s="5" t="n"/>
      <c r="X1709" s="5" t="n"/>
      <c r="Y1709" s="5">
        <f>IF(I1709="","",IF(AND(I1709="Fail",K1709=""),"Classify Issue Source",IF(AND(I1709="Fail",W1709=""),"Set Confidence",IF(AND(K1709="Unknown",W1709&lt;&gt;"Low"),"Unknown must be Low confidence",IF(AND(OR(K1709="Backend",K1709="SAP"),N1709=""),"Add HTTP status + endpoint",IF(AND(OR(K1709="Backend",K1709="SAP",K1709="Network"),P1709=""),"Add Correlation ID",IF(AND(I1709="Fail",T1709=""),"Write Root Cause / evidence gap",IF(AND(I1709="Fail",V1709=""),"Assign team","OK"))))))))</f>
        <v/>
      </c>
    </row>
    <row r="1710">
      <c r="A1710" s="5" t="n"/>
      <c r="B1710" s="5" t="n"/>
      <c r="C1710" s="5" t="n"/>
      <c r="D1710" s="5" t="n"/>
      <c r="E1710" s="5" t="n"/>
      <c r="F1710" s="5" t="n"/>
      <c r="G1710" s="5" t="n"/>
      <c r="H1710" s="5" t="n"/>
      <c r="I1710" s="5" t="n"/>
      <c r="J1710" s="5" t="n"/>
      <c r="K1710" s="5" t="n"/>
      <c r="L1710" s="5" t="n"/>
      <c r="M1710" s="5" t="n"/>
      <c r="N1710" s="5" t="n"/>
      <c r="O1710" s="5" t="n"/>
      <c r="P1710" s="5" t="n"/>
      <c r="Q1710" s="5" t="n"/>
      <c r="R1710" s="5" t="n"/>
      <c r="S1710" s="5" t="n"/>
      <c r="T1710" s="5" t="n"/>
      <c r="U1710" s="5" t="n"/>
      <c r="V1710" s="5" t="n"/>
      <c r="W1710" s="5" t="n"/>
      <c r="X1710" s="5" t="n"/>
      <c r="Y1710" s="5">
        <f>IF(I1710="","",IF(AND(I1710="Fail",K1710=""),"Classify Issue Source",IF(AND(I1710="Fail",W1710=""),"Set Confidence",IF(AND(K1710="Unknown",W1710&lt;&gt;"Low"),"Unknown must be Low confidence",IF(AND(OR(K1710="Backend",K1710="SAP"),N1710=""),"Add HTTP status + endpoint",IF(AND(OR(K1710="Backend",K1710="SAP",K1710="Network"),P1710=""),"Add Correlation ID",IF(AND(I1710="Fail",T1710=""),"Write Root Cause / evidence gap",IF(AND(I1710="Fail",V1710=""),"Assign team","OK"))))))))</f>
        <v/>
      </c>
    </row>
    <row r="1711">
      <c r="A1711" s="5" t="n"/>
      <c r="B1711" s="5" t="n"/>
      <c r="C1711" s="5" t="n"/>
      <c r="D1711" s="5" t="n"/>
      <c r="E1711" s="5" t="n"/>
      <c r="F1711" s="5" t="n"/>
      <c r="G1711" s="5" t="n"/>
      <c r="H1711" s="5" t="n"/>
      <c r="I1711" s="5" t="n"/>
      <c r="J1711" s="5" t="n"/>
      <c r="K1711" s="5" t="n"/>
      <c r="L1711" s="5" t="n"/>
      <c r="M1711" s="5" t="n"/>
      <c r="N1711" s="5" t="n"/>
      <c r="O1711" s="5" t="n"/>
      <c r="P1711" s="5" t="n"/>
      <c r="Q1711" s="5" t="n"/>
      <c r="R1711" s="5" t="n"/>
      <c r="S1711" s="5" t="n"/>
      <c r="T1711" s="5" t="n"/>
      <c r="U1711" s="5" t="n"/>
      <c r="V1711" s="5" t="n"/>
      <c r="W1711" s="5" t="n"/>
      <c r="X1711" s="5" t="n"/>
      <c r="Y1711" s="5">
        <f>IF(I1711="","",IF(AND(I1711="Fail",K1711=""),"Classify Issue Source",IF(AND(I1711="Fail",W1711=""),"Set Confidence",IF(AND(K1711="Unknown",W1711&lt;&gt;"Low"),"Unknown must be Low confidence",IF(AND(OR(K1711="Backend",K1711="SAP"),N1711=""),"Add HTTP status + endpoint",IF(AND(OR(K1711="Backend",K1711="SAP",K1711="Network"),P1711=""),"Add Correlation ID",IF(AND(I1711="Fail",T1711=""),"Write Root Cause / evidence gap",IF(AND(I1711="Fail",V1711=""),"Assign team","OK"))))))))</f>
        <v/>
      </c>
    </row>
    <row r="1712">
      <c r="A1712" s="5" t="n"/>
      <c r="B1712" s="5" t="n"/>
      <c r="C1712" s="5" t="n"/>
      <c r="D1712" s="5" t="n"/>
      <c r="E1712" s="5" t="n"/>
      <c r="F1712" s="5" t="n"/>
      <c r="G1712" s="5" t="n"/>
      <c r="H1712" s="5" t="n"/>
      <c r="I1712" s="5" t="n"/>
      <c r="J1712" s="5" t="n"/>
      <c r="K1712" s="5" t="n"/>
      <c r="L1712" s="5" t="n"/>
      <c r="M1712" s="5" t="n"/>
      <c r="N1712" s="5" t="n"/>
      <c r="O1712" s="5" t="n"/>
      <c r="P1712" s="5" t="n"/>
      <c r="Q1712" s="5" t="n"/>
      <c r="R1712" s="5" t="n"/>
      <c r="S1712" s="5" t="n"/>
      <c r="T1712" s="5" t="n"/>
      <c r="U1712" s="5" t="n"/>
      <c r="V1712" s="5" t="n"/>
      <c r="W1712" s="5" t="n"/>
      <c r="X1712" s="5" t="n"/>
      <c r="Y1712" s="5">
        <f>IF(I1712="","",IF(AND(I1712="Fail",K1712=""),"Classify Issue Source",IF(AND(I1712="Fail",W1712=""),"Set Confidence",IF(AND(K1712="Unknown",W1712&lt;&gt;"Low"),"Unknown must be Low confidence",IF(AND(OR(K1712="Backend",K1712="SAP"),N1712=""),"Add HTTP status + endpoint",IF(AND(OR(K1712="Backend",K1712="SAP",K1712="Network"),P1712=""),"Add Correlation ID",IF(AND(I1712="Fail",T1712=""),"Write Root Cause / evidence gap",IF(AND(I1712="Fail",V1712=""),"Assign team","OK"))))))))</f>
        <v/>
      </c>
    </row>
    <row r="1713">
      <c r="A1713" s="5" t="n"/>
      <c r="B1713" s="5" t="n"/>
      <c r="C1713" s="5" t="n"/>
      <c r="D1713" s="5" t="n"/>
      <c r="E1713" s="5" t="n"/>
      <c r="F1713" s="5" t="n"/>
      <c r="G1713" s="5" t="n"/>
      <c r="H1713" s="5" t="n"/>
      <c r="I1713" s="5" t="n"/>
      <c r="J1713" s="5" t="n"/>
      <c r="K1713" s="5" t="n"/>
      <c r="L1713" s="5" t="n"/>
      <c r="M1713" s="5" t="n"/>
      <c r="N1713" s="5" t="n"/>
      <c r="O1713" s="5" t="n"/>
      <c r="P1713" s="5" t="n"/>
      <c r="Q1713" s="5" t="n"/>
      <c r="R1713" s="5" t="n"/>
      <c r="S1713" s="5" t="n"/>
      <c r="T1713" s="5" t="n"/>
      <c r="U1713" s="5" t="n"/>
      <c r="V1713" s="5" t="n"/>
      <c r="W1713" s="5" t="n"/>
      <c r="X1713" s="5" t="n"/>
      <c r="Y1713" s="5">
        <f>IF(I1713="","",IF(AND(I1713="Fail",K1713=""),"Classify Issue Source",IF(AND(I1713="Fail",W1713=""),"Set Confidence",IF(AND(K1713="Unknown",W1713&lt;&gt;"Low"),"Unknown must be Low confidence",IF(AND(OR(K1713="Backend",K1713="SAP"),N1713=""),"Add HTTP status + endpoint",IF(AND(OR(K1713="Backend",K1713="SAP",K1713="Network"),P1713=""),"Add Correlation ID",IF(AND(I1713="Fail",T1713=""),"Write Root Cause / evidence gap",IF(AND(I1713="Fail",V1713=""),"Assign team","OK"))))))))</f>
        <v/>
      </c>
    </row>
    <row r="1714">
      <c r="A1714" s="5" t="n"/>
      <c r="B1714" s="5" t="n"/>
      <c r="C1714" s="5" t="n"/>
      <c r="D1714" s="5" t="n"/>
      <c r="E1714" s="5" t="n"/>
      <c r="F1714" s="5" t="n"/>
      <c r="G1714" s="5" t="n"/>
      <c r="H1714" s="5" t="n"/>
      <c r="I1714" s="5" t="n"/>
      <c r="J1714" s="5" t="n"/>
      <c r="K1714" s="5" t="n"/>
      <c r="L1714" s="5" t="n"/>
      <c r="M1714" s="5" t="n"/>
      <c r="N1714" s="5" t="n"/>
      <c r="O1714" s="5" t="n"/>
      <c r="P1714" s="5" t="n"/>
      <c r="Q1714" s="5" t="n"/>
      <c r="R1714" s="5" t="n"/>
      <c r="S1714" s="5" t="n"/>
      <c r="T1714" s="5" t="n"/>
      <c r="U1714" s="5" t="n"/>
      <c r="V1714" s="5" t="n"/>
      <c r="W1714" s="5" t="n"/>
      <c r="X1714" s="5" t="n"/>
      <c r="Y1714" s="5">
        <f>IF(I1714="","",IF(AND(I1714="Fail",K1714=""),"Classify Issue Source",IF(AND(I1714="Fail",W1714=""),"Set Confidence",IF(AND(K1714="Unknown",W1714&lt;&gt;"Low"),"Unknown must be Low confidence",IF(AND(OR(K1714="Backend",K1714="SAP"),N1714=""),"Add HTTP status + endpoint",IF(AND(OR(K1714="Backend",K1714="SAP",K1714="Network"),P1714=""),"Add Correlation ID",IF(AND(I1714="Fail",T1714=""),"Write Root Cause / evidence gap",IF(AND(I1714="Fail",V1714=""),"Assign team","OK"))))))))</f>
        <v/>
      </c>
    </row>
    <row r="1715">
      <c r="A1715" s="5" t="n"/>
      <c r="B1715" s="5" t="n"/>
      <c r="C1715" s="5" t="n"/>
      <c r="D1715" s="5" t="n"/>
      <c r="E1715" s="5" t="n"/>
      <c r="F1715" s="5" t="n"/>
      <c r="G1715" s="5" t="n"/>
      <c r="H1715" s="5" t="n"/>
      <c r="I1715" s="5" t="n"/>
      <c r="J1715" s="5" t="n"/>
      <c r="K1715" s="5" t="n"/>
      <c r="L1715" s="5" t="n"/>
      <c r="M1715" s="5" t="n"/>
      <c r="N1715" s="5" t="n"/>
      <c r="O1715" s="5" t="n"/>
      <c r="P1715" s="5" t="n"/>
      <c r="Q1715" s="5" t="n"/>
      <c r="R1715" s="5" t="n"/>
      <c r="S1715" s="5" t="n"/>
      <c r="T1715" s="5" t="n"/>
      <c r="U1715" s="5" t="n"/>
      <c r="V1715" s="5" t="n"/>
      <c r="W1715" s="5" t="n"/>
      <c r="X1715" s="5" t="n"/>
      <c r="Y1715" s="5">
        <f>IF(I1715="","",IF(AND(I1715="Fail",K1715=""),"Classify Issue Source",IF(AND(I1715="Fail",W1715=""),"Set Confidence",IF(AND(K1715="Unknown",W1715&lt;&gt;"Low"),"Unknown must be Low confidence",IF(AND(OR(K1715="Backend",K1715="SAP"),N1715=""),"Add HTTP status + endpoint",IF(AND(OR(K1715="Backend",K1715="SAP",K1715="Network"),P1715=""),"Add Correlation ID",IF(AND(I1715="Fail",T1715=""),"Write Root Cause / evidence gap",IF(AND(I1715="Fail",V1715=""),"Assign team","OK"))))))))</f>
        <v/>
      </c>
    </row>
    <row r="1716">
      <c r="A1716" s="5" t="n"/>
      <c r="B1716" s="5" t="n"/>
      <c r="C1716" s="5" t="n"/>
      <c r="D1716" s="5" t="n"/>
      <c r="E1716" s="5" t="n"/>
      <c r="F1716" s="5" t="n"/>
      <c r="G1716" s="5" t="n"/>
      <c r="H1716" s="5" t="n"/>
      <c r="I1716" s="5" t="n"/>
      <c r="J1716" s="5" t="n"/>
      <c r="K1716" s="5" t="n"/>
      <c r="L1716" s="5" t="n"/>
      <c r="M1716" s="5" t="n"/>
      <c r="N1716" s="5" t="n"/>
      <c r="O1716" s="5" t="n"/>
      <c r="P1716" s="5" t="n"/>
      <c r="Q1716" s="5" t="n"/>
      <c r="R1716" s="5" t="n"/>
      <c r="S1716" s="5" t="n"/>
      <c r="T1716" s="5" t="n"/>
      <c r="U1716" s="5" t="n"/>
      <c r="V1716" s="5" t="n"/>
      <c r="W1716" s="5" t="n"/>
      <c r="X1716" s="5" t="n"/>
      <c r="Y1716" s="5">
        <f>IF(I1716="","",IF(AND(I1716="Fail",K1716=""),"Classify Issue Source",IF(AND(I1716="Fail",W1716=""),"Set Confidence",IF(AND(K1716="Unknown",W1716&lt;&gt;"Low"),"Unknown must be Low confidence",IF(AND(OR(K1716="Backend",K1716="SAP"),N1716=""),"Add HTTP status + endpoint",IF(AND(OR(K1716="Backend",K1716="SAP",K1716="Network"),P1716=""),"Add Correlation ID",IF(AND(I1716="Fail",T1716=""),"Write Root Cause / evidence gap",IF(AND(I1716="Fail",V1716=""),"Assign team","OK"))))))))</f>
        <v/>
      </c>
    </row>
    <row r="1717">
      <c r="A1717" s="5" t="n"/>
      <c r="B1717" s="5" t="n"/>
      <c r="C1717" s="5" t="n"/>
      <c r="D1717" s="5" t="n"/>
      <c r="E1717" s="5" t="n"/>
      <c r="F1717" s="5" t="n"/>
      <c r="G1717" s="5" t="n"/>
      <c r="H1717" s="5" t="n"/>
      <c r="I1717" s="5" t="n"/>
      <c r="J1717" s="5" t="n"/>
      <c r="K1717" s="5" t="n"/>
      <c r="L1717" s="5" t="n"/>
      <c r="M1717" s="5" t="n"/>
      <c r="N1717" s="5" t="n"/>
      <c r="O1717" s="5" t="n"/>
      <c r="P1717" s="5" t="n"/>
      <c r="Q1717" s="5" t="n"/>
      <c r="R1717" s="5" t="n"/>
      <c r="S1717" s="5" t="n"/>
      <c r="T1717" s="5" t="n"/>
      <c r="U1717" s="5" t="n"/>
      <c r="V1717" s="5" t="n"/>
      <c r="W1717" s="5" t="n"/>
      <c r="X1717" s="5" t="n"/>
      <c r="Y1717" s="5">
        <f>IF(I1717="","",IF(AND(I1717="Fail",K1717=""),"Classify Issue Source",IF(AND(I1717="Fail",W1717=""),"Set Confidence",IF(AND(K1717="Unknown",W1717&lt;&gt;"Low"),"Unknown must be Low confidence",IF(AND(OR(K1717="Backend",K1717="SAP"),N1717=""),"Add HTTP status + endpoint",IF(AND(OR(K1717="Backend",K1717="SAP",K1717="Network"),P1717=""),"Add Correlation ID",IF(AND(I1717="Fail",T1717=""),"Write Root Cause / evidence gap",IF(AND(I1717="Fail",V1717=""),"Assign team","OK"))))))))</f>
        <v/>
      </c>
    </row>
    <row r="1718">
      <c r="A1718" s="5" t="n"/>
      <c r="B1718" s="5" t="n"/>
      <c r="C1718" s="5" t="n"/>
      <c r="D1718" s="5" t="n"/>
      <c r="E1718" s="5" t="n"/>
      <c r="F1718" s="5" t="n"/>
      <c r="G1718" s="5" t="n"/>
      <c r="H1718" s="5" t="n"/>
      <c r="I1718" s="5" t="n"/>
      <c r="J1718" s="5" t="n"/>
      <c r="K1718" s="5" t="n"/>
      <c r="L1718" s="5" t="n"/>
      <c r="M1718" s="5" t="n"/>
      <c r="N1718" s="5" t="n"/>
      <c r="O1718" s="5" t="n"/>
      <c r="P1718" s="5" t="n"/>
      <c r="Q1718" s="5" t="n"/>
      <c r="R1718" s="5" t="n"/>
      <c r="S1718" s="5" t="n"/>
      <c r="T1718" s="5" t="n"/>
      <c r="U1718" s="5" t="n"/>
      <c r="V1718" s="5" t="n"/>
      <c r="W1718" s="5" t="n"/>
      <c r="X1718" s="5" t="n"/>
      <c r="Y1718" s="5">
        <f>IF(I1718="","",IF(AND(I1718="Fail",K1718=""),"Classify Issue Source",IF(AND(I1718="Fail",W1718=""),"Set Confidence",IF(AND(K1718="Unknown",W1718&lt;&gt;"Low"),"Unknown must be Low confidence",IF(AND(OR(K1718="Backend",K1718="SAP"),N1718=""),"Add HTTP status + endpoint",IF(AND(OR(K1718="Backend",K1718="SAP",K1718="Network"),P1718=""),"Add Correlation ID",IF(AND(I1718="Fail",T1718=""),"Write Root Cause / evidence gap",IF(AND(I1718="Fail",V1718=""),"Assign team","OK"))))))))</f>
        <v/>
      </c>
    </row>
    <row r="1719">
      <c r="A1719" s="5" t="n"/>
      <c r="B1719" s="5" t="n"/>
      <c r="C1719" s="5" t="n"/>
      <c r="D1719" s="5" t="n"/>
      <c r="E1719" s="5" t="n"/>
      <c r="F1719" s="5" t="n"/>
      <c r="G1719" s="5" t="n"/>
      <c r="H1719" s="5" t="n"/>
      <c r="I1719" s="5" t="n"/>
      <c r="J1719" s="5" t="n"/>
      <c r="K1719" s="5" t="n"/>
      <c r="L1719" s="5" t="n"/>
      <c r="M1719" s="5" t="n"/>
      <c r="N1719" s="5" t="n"/>
      <c r="O1719" s="5" t="n"/>
      <c r="P1719" s="5" t="n"/>
      <c r="Q1719" s="5" t="n"/>
      <c r="R1719" s="5" t="n"/>
      <c r="S1719" s="5" t="n"/>
      <c r="T1719" s="5" t="n"/>
      <c r="U1719" s="5" t="n"/>
      <c r="V1719" s="5" t="n"/>
      <c r="W1719" s="5" t="n"/>
      <c r="X1719" s="5" t="n"/>
      <c r="Y1719" s="5">
        <f>IF(I1719="","",IF(AND(I1719="Fail",K1719=""),"Classify Issue Source",IF(AND(I1719="Fail",W1719=""),"Set Confidence",IF(AND(K1719="Unknown",W1719&lt;&gt;"Low"),"Unknown must be Low confidence",IF(AND(OR(K1719="Backend",K1719="SAP"),N1719=""),"Add HTTP status + endpoint",IF(AND(OR(K1719="Backend",K1719="SAP",K1719="Network"),P1719=""),"Add Correlation ID",IF(AND(I1719="Fail",T1719=""),"Write Root Cause / evidence gap",IF(AND(I1719="Fail",V1719=""),"Assign team","OK"))))))))</f>
        <v/>
      </c>
    </row>
    <row r="1720">
      <c r="A1720" s="5" t="n"/>
      <c r="B1720" s="5" t="n"/>
      <c r="C1720" s="5" t="n"/>
      <c r="D1720" s="5" t="n"/>
      <c r="E1720" s="5" t="n"/>
      <c r="F1720" s="5" t="n"/>
      <c r="G1720" s="5" t="n"/>
      <c r="H1720" s="5" t="n"/>
      <c r="I1720" s="5" t="n"/>
      <c r="J1720" s="5" t="n"/>
      <c r="K1720" s="5" t="n"/>
      <c r="L1720" s="5" t="n"/>
      <c r="M1720" s="5" t="n"/>
      <c r="N1720" s="5" t="n"/>
      <c r="O1720" s="5" t="n"/>
      <c r="P1720" s="5" t="n"/>
      <c r="Q1720" s="5" t="n"/>
      <c r="R1720" s="5" t="n"/>
      <c r="S1720" s="5" t="n"/>
      <c r="T1720" s="5" t="n"/>
      <c r="U1720" s="5" t="n"/>
      <c r="V1720" s="5" t="n"/>
      <c r="W1720" s="5" t="n"/>
      <c r="X1720" s="5" t="n"/>
      <c r="Y1720" s="5">
        <f>IF(I1720="","",IF(AND(I1720="Fail",K1720=""),"Classify Issue Source",IF(AND(I1720="Fail",W1720=""),"Set Confidence",IF(AND(K1720="Unknown",W1720&lt;&gt;"Low"),"Unknown must be Low confidence",IF(AND(OR(K1720="Backend",K1720="SAP"),N1720=""),"Add HTTP status + endpoint",IF(AND(OR(K1720="Backend",K1720="SAP",K1720="Network"),P1720=""),"Add Correlation ID",IF(AND(I1720="Fail",T1720=""),"Write Root Cause / evidence gap",IF(AND(I1720="Fail",V1720=""),"Assign team","OK"))))))))</f>
        <v/>
      </c>
    </row>
    <row r="1721">
      <c r="A1721" s="5" t="n"/>
      <c r="B1721" s="5" t="n"/>
      <c r="C1721" s="5" t="n"/>
      <c r="D1721" s="5" t="n"/>
      <c r="E1721" s="5" t="n"/>
      <c r="F1721" s="5" t="n"/>
      <c r="G1721" s="5" t="n"/>
      <c r="H1721" s="5" t="n"/>
      <c r="I1721" s="5" t="n"/>
      <c r="J1721" s="5" t="n"/>
      <c r="K1721" s="5" t="n"/>
      <c r="L1721" s="5" t="n"/>
      <c r="M1721" s="5" t="n"/>
      <c r="N1721" s="5" t="n"/>
      <c r="O1721" s="5" t="n"/>
      <c r="P1721" s="5" t="n"/>
      <c r="Q1721" s="5" t="n"/>
      <c r="R1721" s="5" t="n"/>
      <c r="S1721" s="5" t="n"/>
      <c r="T1721" s="5" t="n"/>
      <c r="U1721" s="5" t="n"/>
      <c r="V1721" s="5" t="n"/>
      <c r="W1721" s="5" t="n"/>
      <c r="X1721" s="5" t="n"/>
      <c r="Y1721" s="5">
        <f>IF(I1721="","",IF(AND(I1721="Fail",K1721=""),"Classify Issue Source",IF(AND(I1721="Fail",W1721=""),"Set Confidence",IF(AND(K1721="Unknown",W1721&lt;&gt;"Low"),"Unknown must be Low confidence",IF(AND(OR(K1721="Backend",K1721="SAP"),N1721=""),"Add HTTP status + endpoint",IF(AND(OR(K1721="Backend",K1721="SAP",K1721="Network"),P1721=""),"Add Correlation ID",IF(AND(I1721="Fail",T1721=""),"Write Root Cause / evidence gap",IF(AND(I1721="Fail",V1721=""),"Assign team","OK"))))))))</f>
        <v/>
      </c>
    </row>
    <row r="1722">
      <c r="A1722" s="5" t="n"/>
      <c r="B1722" s="5" t="n"/>
      <c r="C1722" s="5" t="n"/>
      <c r="D1722" s="5" t="n"/>
      <c r="E1722" s="5" t="n"/>
      <c r="F1722" s="5" t="n"/>
      <c r="G1722" s="5" t="n"/>
      <c r="H1722" s="5" t="n"/>
      <c r="I1722" s="5" t="n"/>
      <c r="J1722" s="5" t="n"/>
      <c r="K1722" s="5" t="n"/>
      <c r="L1722" s="5" t="n"/>
      <c r="M1722" s="5" t="n"/>
      <c r="N1722" s="5" t="n"/>
      <c r="O1722" s="5" t="n"/>
      <c r="P1722" s="5" t="n"/>
      <c r="Q1722" s="5" t="n"/>
      <c r="R1722" s="5" t="n"/>
      <c r="S1722" s="5" t="n"/>
      <c r="T1722" s="5" t="n"/>
      <c r="U1722" s="5" t="n"/>
      <c r="V1722" s="5" t="n"/>
      <c r="W1722" s="5" t="n"/>
      <c r="X1722" s="5" t="n"/>
      <c r="Y1722" s="5">
        <f>IF(I1722="","",IF(AND(I1722="Fail",K1722=""),"Classify Issue Source",IF(AND(I1722="Fail",W1722=""),"Set Confidence",IF(AND(K1722="Unknown",W1722&lt;&gt;"Low"),"Unknown must be Low confidence",IF(AND(OR(K1722="Backend",K1722="SAP"),N1722=""),"Add HTTP status + endpoint",IF(AND(OR(K1722="Backend",K1722="SAP",K1722="Network"),P1722=""),"Add Correlation ID",IF(AND(I1722="Fail",T1722=""),"Write Root Cause / evidence gap",IF(AND(I1722="Fail",V1722=""),"Assign team","OK"))))))))</f>
        <v/>
      </c>
    </row>
    <row r="1723">
      <c r="A1723" s="5" t="n"/>
      <c r="B1723" s="5" t="n"/>
      <c r="C1723" s="5" t="n"/>
      <c r="D1723" s="5" t="n"/>
      <c r="E1723" s="5" t="n"/>
      <c r="F1723" s="5" t="n"/>
      <c r="G1723" s="5" t="n"/>
      <c r="H1723" s="5" t="n"/>
      <c r="I1723" s="5" t="n"/>
      <c r="J1723" s="5" t="n"/>
      <c r="K1723" s="5" t="n"/>
      <c r="L1723" s="5" t="n"/>
      <c r="M1723" s="5" t="n"/>
      <c r="N1723" s="5" t="n"/>
      <c r="O1723" s="5" t="n"/>
      <c r="P1723" s="5" t="n"/>
      <c r="Q1723" s="5" t="n"/>
      <c r="R1723" s="5" t="n"/>
      <c r="S1723" s="5" t="n"/>
      <c r="T1723" s="5" t="n"/>
      <c r="U1723" s="5" t="n"/>
      <c r="V1723" s="5" t="n"/>
      <c r="W1723" s="5" t="n"/>
      <c r="X1723" s="5" t="n"/>
      <c r="Y1723" s="5">
        <f>IF(I1723="","",IF(AND(I1723="Fail",K1723=""),"Classify Issue Source",IF(AND(I1723="Fail",W1723=""),"Set Confidence",IF(AND(K1723="Unknown",W1723&lt;&gt;"Low"),"Unknown must be Low confidence",IF(AND(OR(K1723="Backend",K1723="SAP"),N1723=""),"Add HTTP status + endpoint",IF(AND(OR(K1723="Backend",K1723="SAP",K1723="Network"),P1723=""),"Add Correlation ID",IF(AND(I1723="Fail",T1723=""),"Write Root Cause / evidence gap",IF(AND(I1723="Fail",V1723=""),"Assign team","OK"))))))))</f>
        <v/>
      </c>
    </row>
    <row r="1724">
      <c r="A1724" s="5" t="n"/>
      <c r="B1724" s="5" t="n"/>
      <c r="C1724" s="5" t="n"/>
      <c r="D1724" s="5" t="n"/>
      <c r="E1724" s="5" t="n"/>
      <c r="F1724" s="5" t="n"/>
      <c r="G1724" s="5" t="n"/>
      <c r="H1724" s="5" t="n"/>
      <c r="I1724" s="5" t="n"/>
      <c r="J1724" s="5" t="n"/>
      <c r="K1724" s="5" t="n"/>
      <c r="L1724" s="5" t="n"/>
      <c r="M1724" s="5" t="n"/>
      <c r="N1724" s="5" t="n"/>
      <c r="O1724" s="5" t="n"/>
      <c r="P1724" s="5" t="n"/>
      <c r="Q1724" s="5" t="n"/>
      <c r="R1724" s="5" t="n"/>
      <c r="S1724" s="5" t="n"/>
      <c r="T1724" s="5" t="n"/>
      <c r="U1724" s="5" t="n"/>
      <c r="V1724" s="5" t="n"/>
      <c r="W1724" s="5" t="n"/>
      <c r="X1724" s="5" t="n"/>
      <c r="Y1724" s="5">
        <f>IF(I1724="","",IF(AND(I1724="Fail",K1724=""),"Classify Issue Source",IF(AND(I1724="Fail",W1724=""),"Set Confidence",IF(AND(K1724="Unknown",W1724&lt;&gt;"Low"),"Unknown must be Low confidence",IF(AND(OR(K1724="Backend",K1724="SAP"),N1724=""),"Add HTTP status + endpoint",IF(AND(OR(K1724="Backend",K1724="SAP",K1724="Network"),P1724=""),"Add Correlation ID",IF(AND(I1724="Fail",T1724=""),"Write Root Cause / evidence gap",IF(AND(I1724="Fail",V1724=""),"Assign team","OK"))))))))</f>
        <v/>
      </c>
    </row>
    <row r="1725">
      <c r="A1725" s="5" t="n"/>
      <c r="B1725" s="5" t="n"/>
      <c r="C1725" s="5" t="n"/>
      <c r="D1725" s="5" t="n"/>
      <c r="E1725" s="5" t="n"/>
      <c r="F1725" s="5" t="n"/>
      <c r="G1725" s="5" t="n"/>
      <c r="H1725" s="5" t="n"/>
      <c r="I1725" s="5" t="n"/>
      <c r="J1725" s="5" t="n"/>
      <c r="K1725" s="5" t="n"/>
      <c r="L1725" s="5" t="n"/>
      <c r="M1725" s="5" t="n"/>
      <c r="N1725" s="5" t="n"/>
      <c r="O1725" s="5" t="n"/>
      <c r="P1725" s="5" t="n"/>
      <c r="Q1725" s="5" t="n"/>
      <c r="R1725" s="5" t="n"/>
      <c r="S1725" s="5" t="n"/>
      <c r="T1725" s="5" t="n"/>
      <c r="U1725" s="5" t="n"/>
      <c r="V1725" s="5" t="n"/>
      <c r="W1725" s="5" t="n"/>
      <c r="X1725" s="5" t="n"/>
      <c r="Y1725" s="5">
        <f>IF(I1725="","",IF(AND(I1725="Fail",K1725=""),"Classify Issue Source",IF(AND(I1725="Fail",W1725=""),"Set Confidence",IF(AND(K1725="Unknown",W1725&lt;&gt;"Low"),"Unknown must be Low confidence",IF(AND(OR(K1725="Backend",K1725="SAP"),N1725=""),"Add HTTP status + endpoint",IF(AND(OR(K1725="Backend",K1725="SAP",K1725="Network"),P1725=""),"Add Correlation ID",IF(AND(I1725="Fail",T1725=""),"Write Root Cause / evidence gap",IF(AND(I1725="Fail",V1725=""),"Assign team","OK"))))))))</f>
        <v/>
      </c>
    </row>
    <row r="1726">
      <c r="A1726" s="5" t="n"/>
      <c r="B1726" s="5" t="n"/>
      <c r="C1726" s="5" t="n"/>
      <c r="D1726" s="5" t="n"/>
      <c r="E1726" s="5" t="n"/>
      <c r="F1726" s="5" t="n"/>
      <c r="G1726" s="5" t="n"/>
      <c r="H1726" s="5" t="n"/>
      <c r="I1726" s="5" t="n"/>
      <c r="J1726" s="5" t="n"/>
      <c r="K1726" s="5" t="n"/>
      <c r="L1726" s="5" t="n"/>
      <c r="M1726" s="5" t="n"/>
      <c r="N1726" s="5" t="n"/>
      <c r="O1726" s="5" t="n"/>
      <c r="P1726" s="5" t="n"/>
      <c r="Q1726" s="5" t="n"/>
      <c r="R1726" s="5" t="n"/>
      <c r="S1726" s="5" t="n"/>
      <c r="T1726" s="5" t="n"/>
      <c r="U1726" s="5" t="n"/>
      <c r="V1726" s="5" t="n"/>
      <c r="W1726" s="5" t="n"/>
      <c r="X1726" s="5" t="n"/>
      <c r="Y1726" s="5">
        <f>IF(I1726="","",IF(AND(I1726="Fail",K1726=""),"Classify Issue Source",IF(AND(I1726="Fail",W1726=""),"Set Confidence",IF(AND(K1726="Unknown",W1726&lt;&gt;"Low"),"Unknown must be Low confidence",IF(AND(OR(K1726="Backend",K1726="SAP"),N1726=""),"Add HTTP status + endpoint",IF(AND(OR(K1726="Backend",K1726="SAP",K1726="Network"),P1726=""),"Add Correlation ID",IF(AND(I1726="Fail",T1726=""),"Write Root Cause / evidence gap",IF(AND(I1726="Fail",V1726=""),"Assign team","OK"))))))))</f>
        <v/>
      </c>
    </row>
    <row r="1727">
      <c r="A1727" s="5" t="n"/>
      <c r="B1727" s="5" t="n"/>
      <c r="C1727" s="5" t="n"/>
      <c r="D1727" s="5" t="n"/>
      <c r="E1727" s="5" t="n"/>
      <c r="F1727" s="5" t="n"/>
      <c r="G1727" s="5" t="n"/>
      <c r="H1727" s="5" t="n"/>
      <c r="I1727" s="5" t="n"/>
      <c r="J1727" s="5" t="n"/>
      <c r="K1727" s="5" t="n"/>
      <c r="L1727" s="5" t="n"/>
      <c r="M1727" s="5" t="n"/>
      <c r="N1727" s="5" t="n"/>
      <c r="O1727" s="5" t="n"/>
      <c r="P1727" s="5" t="n"/>
      <c r="Q1727" s="5" t="n"/>
      <c r="R1727" s="5" t="n"/>
      <c r="S1727" s="5" t="n"/>
      <c r="T1727" s="5" t="n"/>
      <c r="U1727" s="5" t="n"/>
      <c r="V1727" s="5" t="n"/>
      <c r="W1727" s="5" t="n"/>
      <c r="X1727" s="5" t="n"/>
      <c r="Y1727" s="5">
        <f>IF(I1727="","",IF(AND(I1727="Fail",K1727=""),"Classify Issue Source",IF(AND(I1727="Fail",W1727=""),"Set Confidence",IF(AND(K1727="Unknown",W1727&lt;&gt;"Low"),"Unknown must be Low confidence",IF(AND(OR(K1727="Backend",K1727="SAP"),N1727=""),"Add HTTP status + endpoint",IF(AND(OR(K1727="Backend",K1727="SAP",K1727="Network"),P1727=""),"Add Correlation ID",IF(AND(I1727="Fail",T1727=""),"Write Root Cause / evidence gap",IF(AND(I1727="Fail",V1727=""),"Assign team","OK"))))))))</f>
        <v/>
      </c>
    </row>
    <row r="1728">
      <c r="A1728" s="5" t="n"/>
      <c r="B1728" s="5" t="n"/>
      <c r="C1728" s="5" t="n"/>
      <c r="D1728" s="5" t="n"/>
      <c r="E1728" s="5" t="n"/>
      <c r="F1728" s="5" t="n"/>
      <c r="G1728" s="5" t="n"/>
      <c r="H1728" s="5" t="n"/>
      <c r="I1728" s="5" t="n"/>
      <c r="J1728" s="5" t="n"/>
      <c r="K1728" s="5" t="n"/>
      <c r="L1728" s="5" t="n"/>
      <c r="M1728" s="5" t="n"/>
      <c r="N1728" s="5" t="n"/>
      <c r="O1728" s="5" t="n"/>
      <c r="P1728" s="5" t="n"/>
      <c r="Q1728" s="5" t="n"/>
      <c r="R1728" s="5" t="n"/>
      <c r="S1728" s="5" t="n"/>
      <c r="T1728" s="5" t="n"/>
      <c r="U1728" s="5" t="n"/>
      <c r="V1728" s="5" t="n"/>
      <c r="W1728" s="5" t="n"/>
      <c r="X1728" s="5" t="n"/>
      <c r="Y1728" s="5">
        <f>IF(I1728="","",IF(AND(I1728="Fail",K1728=""),"Classify Issue Source",IF(AND(I1728="Fail",W1728=""),"Set Confidence",IF(AND(K1728="Unknown",W1728&lt;&gt;"Low"),"Unknown must be Low confidence",IF(AND(OR(K1728="Backend",K1728="SAP"),N1728=""),"Add HTTP status + endpoint",IF(AND(OR(K1728="Backend",K1728="SAP",K1728="Network"),P1728=""),"Add Correlation ID",IF(AND(I1728="Fail",T1728=""),"Write Root Cause / evidence gap",IF(AND(I1728="Fail",V1728=""),"Assign team","OK"))))))))</f>
        <v/>
      </c>
    </row>
    <row r="1729">
      <c r="A1729" s="5" t="n"/>
      <c r="B1729" s="5" t="n"/>
      <c r="C1729" s="5" t="n"/>
      <c r="D1729" s="5" t="n"/>
      <c r="E1729" s="5" t="n"/>
      <c r="F1729" s="5" t="n"/>
      <c r="G1729" s="5" t="n"/>
      <c r="H1729" s="5" t="n"/>
      <c r="I1729" s="5" t="n"/>
      <c r="J1729" s="5" t="n"/>
      <c r="K1729" s="5" t="n"/>
      <c r="L1729" s="5" t="n"/>
      <c r="M1729" s="5" t="n"/>
      <c r="N1729" s="5" t="n"/>
      <c r="O1729" s="5" t="n"/>
      <c r="P1729" s="5" t="n"/>
      <c r="Q1729" s="5" t="n"/>
      <c r="R1729" s="5" t="n"/>
      <c r="S1729" s="5" t="n"/>
      <c r="T1729" s="5" t="n"/>
      <c r="U1729" s="5" t="n"/>
      <c r="V1729" s="5" t="n"/>
      <c r="W1729" s="5" t="n"/>
      <c r="X1729" s="5" t="n"/>
      <c r="Y1729" s="5">
        <f>IF(I1729="","",IF(AND(I1729="Fail",K1729=""),"Classify Issue Source",IF(AND(I1729="Fail",W1729=""),"Set Confidence",IF(AND(K1729="Unknown",W1729&lt;&gt;"Low"),"Unknown must be Low confidence",IF(AND(OR(K1729="Backend",K1729="SAP"),N1729=""),"Add HTTP status + endpoint",IF(AND(OR(K1729="Backend",K1729="SAP",K1729="Network"),P1729=""),"Add Correlation ID",IF(AND(I1729="Fail",T1729=""),"Write Root Cause / evidence gap",IF(AND(I1729="Fail",V1729=""),"Assign team","OK"))))))))</f>
        <v/>
      </c>
    </row>
    <row r="1730">
      <c r="A1730" s="5" t="n"/>
      <c r="B1730" s="5" t="n"/>
      <c r="C1730" s="5" t="n"/>
      <c r="D1730" s="5" t="n"/>
      <c r="E1730" s="5" t="n"/>
      <c r="F1730" s="5" t="n"/>
      <c r="G1730" s="5" t="n"/>
      <c r="H1730" s="5" t="n"/>
      <c r="I1730" s="5" t="n"/>
      <c r="J1730" s="5" t="n"/>
      <c r="K1730" s="5" t="n"/>
      <c r="L1730" s="5" t="n"/>
      <c r="M1730" s="5" t="n"/>
      <c r="N1730" s="5" t="n"/>
      <c r="O1730" s="5" t="n"/>
      <c r="P1730" s="5" t="n"/>
      <c r="Q1730" s="5" t="n"/>
      <c r="R1730" s="5" t="n"/>
      <c r="S1730" s="5" t="n"/>
      <c r="T1730" s="5" t="n"/>
      <c r="U1730" s="5" t="n"/>
      <c r="V1730" s="5" t="n"/>
      <c r="W1730" s="5" t="n"/>
      <c r="X1730" s="5" t="n"/>
      <c r="Y1730" s="5">
        <f>IF(I1730="","",IF(AND(I1730="Fail",K1730=""),"Classify Issue Source",IF(AND(I1730="Fail",W1730=""),"Set Confidence",IF(AND(K1730="Unknown",W1730&lt;&gt;"Low"),"Unknown must be Low confidence",IF(AND(OR(K1730="Backend",K1730="SAP"),N1730=""),"Add HTTP status + endpoint",IF(AND(OR(K1730="Backend",K1730="SAP",K1730="Network"),P1730=""),"Add Correlation ID",IF(AND(I1730="Fail",T1730=""),"Write Root Cause / evidence gap",IF(AND(I1730="Fail",V1730=""),"Assign team","OK"))))))))</f>
        <v/>
      </c>
    </row>
    <row r="1731">
      <c r="A1731" s="5" t="n"/>
      <c r="B1731" s="5" t="n"/>
      <c r="C1731" s="5" t="n"/>
      <c r="D1731" s="5" t="n"/>
      <c r="E1731" s="5" t="n"/>
      <c r="F1731" s="5" t="n"/>
      <c r="G1731" s="5" t="n"/>
      <c r="H1731" s="5" t="n"/>
      <c r="I1731" s="5" t="n"/>
      <c r="J1731" s="5" t="n"/>
      <c r="K1731" s="5" t="n"/>
      <c r="L1731" s="5" t="n"/>
      <c r="M1731" s="5" t="n"/>
      <c r="N1731" s="5" t="n"/>
      <c r="O1731" s="5" t="n"/>
      <c r="P1731" s="5" t="n"/>
      <c r="Q1731" s="5" t="n"/>
      <c r="R1731" s="5" t="n"/>
      <c r="S1731" s="5" t="n"/>
      <c r="T1731" s="5" t="n"/>
      <c r="U1731" s="5" t="n"/>
      <c r="V1731" s="5" t="n"/>
      <c r="W1731" s="5" t="n"/>
      <c r="X1731" s="5" t="n"/>
      <c r="Y1731" s="5">
        <f>IF(I1731="","",IF(AND(I1731="Fail",K1731=""),"Classify Issue Source",IF(AND(I1731="Fail",W1731=""),"Set Confidence",IF(AND(K1731="Unknown",W1731&lt;&gt;"Low"),"Unknown must be Low confidence",IF(AND(OR(K1731="Backend",K1731="SAP"),N1731=""),"Add HTTP status + endpoint",IF(AND(OR(K1731="Backend",K1731="SAP",K1731="Network"),P1731=""),"Add Correlation ID",IF(AND(I1731="Fail",T1731=""),"Write Root Cause / evidence gap",IF(AND(I1731="Fail",V1731=""),"Assign team","OK"))))))))</f>
        <v/>
      </c>
    </row>
    <row r="1732">
      <c r="A1732" s="5" t="n"/>
      <c r="B1732" s="5" t="n"/>
      <c r="C1732" s="5" t="n"/>
      <c r="D1732" s="5" t="n"/>
      <c r="E1732" s="5" t="n"/>
      <c r="F1732" s="5" t="n"/>
      <c r="G1732" s="5" t="n"/>
      <c r="H1732" s="5" t="n"/>
      <c r="I1732" s="5" t="n"/>
      <c r="J1732" s="5" t="n"/>
      <c r="K1732" s="5" t="n"/>
      <c r="L1732" s="5" t="n"/>
      <c r="M1732" s="5" t="n"/>
      <c r="N1732" s="5" t="n"/>
      <c r="O1732" s="5" t="n"/>
      <c r="P1732" s="5" t="n"/>
      <c r="Q1732" s="5" t="n"/>
      <c r="R1732" s="5" t="n"/>
      <c r="S1732" s="5" t="n"/>
      <c r="T1732" s="5" t="n"/>
      <c r="U1732" s="5" t="n"/>
      <c r="V1732" s="5" t="n"/>
      <c r="W1732" s="5" t="n"/>
      <c r="X1732" s="5" t="n"/>
      <c r="Y1732" s="5">
        <f>IF(I1732="","",IF(AND(I1732="Fail",K1732=""),"Classify Issue Source",IF(AND(I1732="Fail",W1732=""),"Set Confidence",IF(AND(K1732="Unknown",W1732&lt;&gt;"Low"),"Unknown must be Low confidence",IF(AND(OR(K1732="Backend",K1732="SAP"),N1732=""),"Add HTTP status + endpoint",IF(AND(OR(K1732="Backend",K1732="SAP",K1732="Network"),P1732=""),"Add Correlation ID",IF(AND(I1732="Fail",T1732=""),"Write Root Cause / evidence gap",IF(AND(I1732="Fail",V1732=""),"Assign team","OK"))))))))</f>
        <v/>
      </c>
    </row>
    <row r="1733">
      <c r="A1733" s="5" t="n"/>
      <c r="B1733" s="5" t="n"/>
      <c r="C1733" s="5" t="n"/>
      <c r="D1733" s="5" t="n"/>
      <c r="E1733" s="5" t="n"/>
      <c r="F1733" s="5" t="n"/>
      <c r="G1733" s="5" t="n"/>
      <c r="H1733" s="5" t="n"/>
      <c r="I1733" s="5" t="n"/>
      <c r="J1733" s="5" t="n"/>
      <c r="K1733" s="5" t="n"/>
      <c r="L1733" s="5" t="n"/>
      <c r="M1733" s="5" t="n"/>
      <c r="N1733" s="5" t="n"/>
      <c r="O1733" s="5" t="n"/>
      <c r="P1733" s="5" t="n"/>
      <c r="Q1733" s="5" t="n"/>
      <c r="R1733" s="5" t="n"/>
      <c r="S1733" s="5" t="n"/>
      <c r="T1733" s="5" t="n"/>
      <c r="U1733" s="5" t="n"/>
      <c r="V1733" s="5" t="n"/>
      <c r="W1733" s="5" t="n"/>
      <c r="X1733" s="5" t="n"/>
      <c r="Y1733" s="5">
        <f>IF(I1733="","",IF(AND(I1733="Fail",K1733=""),"Classify Issue Source",IF(AND(I1733="Fail",W1733=""),"Set Confidence",IF(AND(K1733="Unknown",W1733&lt;&gt;"Low"),"Unknown must be Low confidence",IF(AND(OR(K1733="Backend",K1733="SAP"),N1733=""),"Add HTTP status + endpoint",IF(AND(OR(K1733="Backend",K1733="SAP",K1733="Network"),P1733=""),"Add Correlation ID",IF(AND(I1733="Fail",T1733=""),"Write Root Cause / evidence gap",IF(AND(I1733="Fail",V1733=""),"Assign team","OK"))))))))</f>
        <v/>
      </c>
    </row>
    <row r="1734">
      <c r="A1734" s="5" t="n"/>
      <c r="B1734" s="5" t="n"/>
      <c r="C1734" s="5" t="n"/>
      <c r="D1734" s="5" t="n"/>
      <c r="E1734" s="5" t="n"/>
      <c r="F1734" s="5" t="n"/>
      <c r="G1734" s="5" t="n"/>
      <c r="H1734" s="5" t="n"/>
      <c r="I1734" s="5" t="n"/>
      <c r="J1734" s="5" t="n"/>
      <c r="K1734" s="5" t="n"/>
      <c r="L1734" s="5" t="n"/>
      <c r="M1734" s="5" t="n"/>
      <c r="N1734" s="5" t="n"/>
      <c r="O1734" s="5" t="n"/>
      <c r="P1734" s="5" t="n"/>
      <c r="Q1734" s="5" t="n"/>
      <c r="R1734" s="5" t="n"/>
      <c r="S1734" s="5" t="n"/>
      <c r="T1734" s="5" t="n"/>
      <c r="U1734" s="5" t="n"/>
      <c r="V1734" s="5" t="n"/>
      <c r="W1734" s="5" t="n"/>
      <c r="X1734" s="5" t="n"/>
      <c r="Y1734" s="5">
        <f>IF(I1734="","",IF(AND(I1734="Fail",K1734=""),"Classify Issue Source",IF(AND(I1734="Fail",W1734=""),"Set Confidence",IF(AND(K1734="Unknown",W1734&lt;&gt;"Low"),"Unknown must be Low confidence",IF(AND(OR(K1734="Backend",K1734="SAP"),N1734=""),"Add HTTP status + endpoint",IF(AND(OR(K1734="Backend",K1734="SAP",K1734="Network"),P1734=""),"Add Correlation ID",IF(AND(I1734="Fail",T1734=""),"Write Root Cause / evidence gap",IF(AND(I1734="Fail",V1734=""),"Assign team","OK"))))))))</f>
        <v/>
      </c>
    </row>
    <row r="1735">
      <c r="A1735" s="5" t="n"/>
      <c r="B1735" s="5" t="n"/>
      <c r="C1735" s="5" t="n"/>
      <c r="D1735" s="5" t="n"/>
      <c r="E1735" s="5" t="n"/>
      <c r="F1735" s="5" t="n"/>
      <c r="G1735" s="5" t="n"/>
      <c r="H1735" s="5" t="n"/>
      <c r="I1735" s="5" t="n"/>
      <c r="J1735" s="5" t="n"/>
      <c r="K1735" s="5" t="n"/>
      <c r="L1735" s="5" t="n"/>
      <c r="M1735" s="5" t="n"/>
      <c r="N1735" s="5" t="n"/>
      <c r="O1735" s="5" t="n"/>
      <c r="P1735" s="5" t="n"/>
      <c r="Q1735" s="5" t="n"/>
      <c r="R1735" s="5" t="n"/>
      <c r="S1735" s="5" t="n"/>
      <c r="T1735" s="5" t="n"/>
      <c r="U1735" s="5" t="n"/>
      <c r="V1735" s="5" t="n"/>
      <c r="W1735" s="5" t="n"/>
      <c r="X1735" s="5" t="n"/>
      <c r="Y1735" s="5">
        <f>IF(I1735="","",IF(AND(I1735="Fail",K1735=""),"Classify Issue Source",IF(AND(I1735="Fail",W1735=""),"Set Confidence",IF(AND(K1735="Unknown",W1735&lt;&gt;"Low"),"Unknown must be Low confidence",IF(AND(OR(K1735="Backend",K1735="SAP"),N1735=""),"Add HTTP status + endpoint",IF(AND(OR(K1735="Backend",K1735="SAP",K1735="Network"),P1735=""),"Add Correlation ID",IF(AND(I1735="Fail",T1735=""),"Write Root Cause / evidence gap",IF(AND(I1735="Fail",V1735=""),"Assign team","OK"))))))))</f>
        <v/>
      </c>
    </row>
    <row r="1736">
      <c r="A1736" s="5" t="n"/>
      <c r="B1736" s="5" t="n"/>
      <c r="C1736" s="5" t="n"/>
      <c r="D1736" s="5" t="n"/>
      <c r="E1736" s="5" t="n"/>
      <c r="F1736" s="5" t="n"/>
      <c r="G1736" s="5" t="n"/>
      <c r="H1736" s="5" t="n"/>
      <c r="I1736" s="5" t="n"/>
      <c r="J1736" s="5" t="n"/>
      <c r="K1736" s="5" t="n"/>
      <c r="L1736" s="5" t="n"/>
      <c r="M1736" s="5" t="n"/>
      <c r="N1736" s="5" t="n"/>
      <c r="O1736" s="5" t="n"/>
      <c r="P1736" s="5" t="n"/>
      <c r="Q1736" s="5" t="n"/>
      <c r="R1736" s="5" t="n"/>
      <c r="S1736" s="5" t="n"/>
      <c r="T1736" s="5" t="n"/>
      <c r="U1736" s="5" t="n"/>
      <c r="V1736" s="5" t="n"/>
      <c r="W1736" s="5" t="n"/>
      <c r="X1736" s="5" t="n"/>
      <c r="Y1736" s="5">
        <f>IF(I1736="","",IF(AND(I1736="Fail",K1736=""),"Classify Issue Source",IF(AND(I1736="Fail",W1736=""),"Set Confidence",IF(AND(K1736="Unknown",W1736&lt;&gt;"Low"),"Unknown must be Low confidence",IF(AND(OR(K1736="Backend",K1736="SAP"),N1736=""),"Add HTTP status + endpoint",IF(AND(OR(K1736="Backend",K1736="SAP",K1736="Network"),P1736=""),"Add Correlation ID",IF(AND(I1736="Fail",T1736=""),"Write Root Cause / evidence gap",IF(AND(I1736="Fail",V1736=""),"Assign team","OK"))))))))</f>
        <v/>
      </c>
    </row>
    <row r="1737">
      <c r="A1737" s="5" t="n"/>
      <c r="B1737" s="5" t="n"/>
      <c r="C1737" s="5" t="n"/>
      <c r="D1737" s="5" t="n"/>
      <c r="E1737" s="5" t="n"/>
      <c r="F1737" s="5" t="n"/>
      <c r="G1737" s="5" t="n"/>
      <c r="H1737" s="5" t="n"/>
      <c r="I1737" s="5" t="n"/>
      <c r="J1737" s="5" t="n"/>
      <c r="K1737" s="5" t="n"/>
      <c r="L1737" s="5" t="n"/>
      <c r="M1737" s="5" t="n"/>
      <c r="N1737" s="5" t="n"/>
      <c r="O1737" s="5" t="n"/>
      <c r="P1737" s="5" t="n"/>
      <c r="Q1737" s="5" t="n"/>
      <c r="R1737" s="5" t="n"/>
      <c r="S1737" s="5" t="n"/>
      <c r="T1737" s="5" t="n"/>
      <c r="U1737" s="5" t="n"/>
      <c r="V1737" s="5" t="n"/>
      <c r="W1737" s="5" t="n"/>
      <c r="X1737" s="5" t="n"/>
      <c r="Y1737" s="5">
        <f>IF(I1737="","",IF(AND(I1737="Fail",K1737=""),"Classify Issue Source",IF(AND(I1737="Fail",W1737=""),"Set Confidence",IF(AND(K1737="Unknown",W1737&lt;&gt;"Low"),"Unknown must be Low confidence",IF(AND(OR(K1737="Backend",K1737="SAP"),N1737=""),"Add HTTP status + endpoint",IF(AND(OR(K1737="Backend",K1737="SAP",K1737="Network"),P1737=""),"Add Correlation ID",IF(AND(I1737="Fail",T1737=""),"Write Root Cause / evidence gap",IF(AND(I1737="Fail",V1737=""),"Assign team","OK"))))))))</f>
        <v/>
      </c>
    </row>
    <row r="1738">
      <c r="A1738" s="5" t="n"/>
      <c r="B1738" s="5" t="n"/>
      <c r="C1738" s="5" t="n"/>
      <c r="D1738" s="5" t="n"/>
      <c r="E1738" s="5" t="n"/>
      <c r="F1738" s="5" t="n"/>
      <c r="G1738" s="5" t="n"/>
      <c r="H1738" s="5" t="n"/>
      <c r="I1738" s="5" t="n"/>
      <c r="J1738" s="5" t="n"/>
      <c r="K1738" s="5" t="n"/>
      <c r="L1738" s="5" t="n"/>
      <c r="M1738" s="5" t="n"/>
      <c r="N1738" s="5" t="n"/>
      <c r="O1738" s="5" t="n"/>
      <c r="P1738" s="5" t="n"/>
      <c r="Q1738" s="5" t="n"/>
      <c r="R1738" s="5" t="n"/>
      <c r="S1738" s="5" t="n"/>
      <c r="T1738" s="5" t="n"/>
      <c r="U1738" s="5" t="n"/>
      <c r="V1738" s="5" t="n"/>
      <c r="W1738" s="5" t="n"/>
      <c r="X1738" s="5" t="n"/>
      <c r="Y1738" s="5">
        <f>IF(I1738="","",IF(AND(I1738="Fail",K1738=""),"Classify Issue Source",IF(AND(I1738="Fail",W1738=""),"Set Confidence",IF(AND(K1738="Unknown",W1738&lt;&gt;"Low"),"Unknown must be Low confidence",IF(AND(OR(K1738="Backend",K1738="SAP"),N1738=""),"Add HTTP status + endpoint",IF(AND(OR(K1738="Backend",K1738="SAP",K1738="Network"),P1738=""),"Add Correlation ID",IF(AND(I1738="Fail",T1738=""),"Write Root Cause / evidence gap",IF(AND(I1738="Fail",V1738=""),"Assign team","OK"))))))))</f>
        <v/>
      </c>
    </row>
    <row r="1739">
      <c r="A1739" s="5" t="n"/>
      <c r="B1739" s="5" t="n"/>
      <c r="C1739" s="5" t="n"/>
      <c r="D1739" s="5" t="n"/>
      <c r="E1739" s="5" t="n"/>
      <c r="F1739" s="5" t="n"/>
      <c r="G1739" s="5" t="n"/>
      <c r="H1739" s="5" t="n"/>
      <c r="I1739" s="5" t="n"/>
      <c r="J1739" s="5" t="n"/>
      <c r="K1739" s="5" t="n"/>
      <c r="L1739" s="5" t="n"/>
      <c r="M1739" s="5" t="n"/>
      <c r="N1739" s="5" t="n"/>
      <c r="O1739" s="5" t="n"/>
      <c r="P1739" s="5" t="n"/>
      <c r="Q1739" s="5" t="n"/>
      <c r="R1739" s="5" t="n"/>
      <c r="S1739" s="5" t="n"/>
      <c r="T1739" s="5" t="n"/>
      <c r="U1739" s="5" t="n"/>
      <c r="V1739" s="5" t="n"/>
      <c r="W1739" s="5" t="n"/>
      <c r="X1739" s="5" t="n"/>
      <c r="Y1739" s="5">
        <f>IF(I1739="","",IF(AND(I1739="Fail",K1739=""),"Classify Issue Source",IF(AND(I1739="Fail",W1739=""),"Set Confidence",IF(AND(K1739="Unknown",W1739&lt;&gt;"Low"),"Unknown must be Low confidence",IF(AND(OR(K1739="Backend",K1739="SAP"),N1739=""),"Add HTTP status + endpoint",IF(AND(OR(K1739="Backend",K1739="SAP",K1739="Network"),P1739=""),"Add Correlation ID",IF(AND(I1739="Fail",T1739=""),"Write Root Cause / evidence gap",IF(AND(I1739="Fail",V1739=""),"Assign team","OK"))))))))</f>
        <v/>
      </c>
    </row>
    <row r="1740">
      <c r="A1740" s="5" t="n"/>
      <c r="B1740" s="5" t="n"/>
      <c r="C1740" s="5" t="n"/>
      <c r="D1740" s="5" t="n"/>
      <c r="E1740" s="5" t="n"/>
      <c r="F1740" s="5" t="n"/>
      <c r="G1740" s="5" t="n"/>
      <c r="H1740" s="5" t="n"/>
      <c r="I1740" s="5" t="n"/>
      <c r="J1740" s="5" t="n"/>
      <c r="K1740" s="5" t="n"/>
      <c r="L1740" s="5" t="n"/>
      <c r="M1740" s="5" t="n"/>
      <c r="N1740" s="5" t="n"/>
      <c r="O1740" s="5" t="n"/>
      <c r="P1740" s="5" t="n"/>
      <c r="Q1740" s="5" t="n"/>
      <c r="R1740" s="5" t="n"/>
      <c r="S1740" s="5" t="n"/>
      <c r="T1740" s="5" t="n"/>
      <c r="U1740" s="5" t="n"/>
      <c r="V1740" s="5" t="n"/>
      <c r="W1740" s="5" t="n"/>
      <c r="X1740" s="5" t="n"/>
      <c r="Y1740" s="5">
        <f>IF(I1740="","",IF(AND(I1740="Fail",K1740=""),"Classify Issue Source",IF(AND(I1740="Fail",W1740=""),"Set Confidence",IF(AND(K1740="Unknown",W1740&lt;&gt;"Low"),"Unknown must be Low confidence",IF(AND(OR(K1740="Backend",K1740="SAP"),N1740=""),"Add HTTP status + endpoint",IF(AND(OR(K1740="Backend",K1740="SAP",K1740="Network"),P1740=""),"Add Correlation ID",IF(AND(I1740="Fail",T1740=""),"Write Root Cause / evidence gap",IF(AND(I1740="Fail",V1740=""),"Assign team","OK"))))))))</f>
        <v/>
      </c>
    </row>
    <row r="1741">
      <c r="A1741" s="5" t="n"/>
      <c r="B1741" s="5" t="n"/>
      <c r="C1741" s="5" t="n"/>
      <c r="D1741" s="5" t="n"/>
      <c r="E1741" s="5" t="n"/>
      <c r="F1741" s="5" t="n"/>
      <c r="G1741" s="5" t="n"/>
      <c r="H1741" s="5" t="n"/>
      <c r="I1741" s="5" t="n"/>
      <c r="J1741" s="5" t="n"/>
      <c r="K1741" s="5" t="n"/>
      <c r="L1741" s="5" t="n"/>
      <c r="M1741" s="5" t="n"/>
      <c r="N1741" s="5" t="n"/>
      <c r="O1741" s="5" t="n"/>
      <c r="P1741" s="5" t="n"/>
      <c r="Q1741" s="5" t="n"/>
      <c r="R1741" s="5" t="n"/>
      <c r="S1741" s="5" t="n"/>
      <c r="T1741" s="5" t="n"/>
      <c r="U1741" s="5" t="n"/>
      <c r="V1741" s="5" t="n"/>
      <c r="W1741" s="5" t="n"/>
      <c r="X1741" s="5" t="n"/>
      <c r="Y1741" s="5">
        <f>IF(I1741="","",IF(AND(I1741="Fail",K1741=""),"Classify Issue Source",IF(AND(I1741="Fail",W1741=""),"Set Confidence",IF(AND(K1741="Unknown",W1741&lt;&gt;"Low"),"Unknown must be Low confidence",IF(AND(OR(K1741="Backend",K1741="SAP"),N1741=""),"Add HTTP status + endpoint",IF(AND(OR(K1741="Backend",K1741="SAP",K1741="Network"),P1741=""),"Add Correlation ID",IF(AND(I1741="Fail",T1741=""),"Write Root Cause / evidence gap",IF(AND(I1741="Fail",V1741=""),"Assign team","OK"))))))))</f>
        <v/>
      </c>
    </row>
    <row r="1742">
      <c r="A1742" s="5" t="n"/>
      <c r="B1742" s="5" t="n"/>
      <c r="C1742" s="5" t="n"/>
      <c r="D1742" s="5" t="n"/>
      <c r="E1742" s="5" t="n"/>
      <c r="F1742" s="5" t="n"/>
      <c r="G1742" s="5" t="n"/>
      <c r="H1742" s="5" t="n"/>
      <c r="I1742" s="5" t="n"/>
      <c r="J1742" s="5" t="n"/>
      <c r="K1742" s="5" t="n"/>
      <c r="L1742" s="5" t="n"/>
      <c r="M1742" s="5" t="n"/>
      <c r="N1742" s="5" t="n"/>
      <c r="O1742" s="5" t="n"/>
      <c r="P1742" s="5" t="n"/>
      <c r="Q1742" s="5" t="n"/>
      <c r="R1742" s="5" t="n"/>
      <c r="S1742" s="5" t="n"/>
      <c r="T1742" s="5" t="n"/>
      <c r="U1742" s="5" t="n"/>
      <c r="V1742" s="5" t="n"/>
      <c r="W1742" s="5" t="n"/>
      <c r="X1742" s="5" t="n"/>
      <c r="Y1742" s="5">
        <f>IF(I1742="","",IF(AND(I1742="Fail",K1742=""),"Classify Issue Source",IF(AND(I1742="Fail",W1742=""),"Set Confidence",IF(AND(K1742="Unknown",W1742&lt;&gt;"Low"),"Unknown must be Low confidence",IF(AND(OR(K1742="Backend",K1742="SAP"),N1742=""),"Add HTTP status + endpoint",IF(AND(OR(K1742="Backend",K1742="SAP",K1742="Network"),P1742=""),"Add Correlation ID",IF(AND(I1742="Fail",T1742=""),"Write Root Cause / evidence gap",IF(AND(I1742="Fail",V1742=""),"Assign team","OK"))))))))</f>
        <v/>
      </c>
    </row>
    <row r="1743">
      <c r="A1743" s="5" t="n"/>
      <c r="B1743" s="5" t="n"/>
      <c r="C1743" s="5" t="n"/>
      <c r="D1743" s="5" t="n"/>
      <c r="E1743" s="5" t="n"/>
      <c r="F1743" s="5" t="n"/>
      <c r="G1743" s="5" t="n"/>
      <c r="H1743" s="5" t="n"/>
      <c r="I1743" s="5" t="n"/>
      <c r="J1743" s="5" t="n"/>
      <c r="K1743" s="5" t="n"/>
      <c r="L1743" s="5" t="n"/>
      <c r="M1743" s="5" t="n"/>
      <c r="N1743" s="5" t="n"/>
      <c r="O1743" s="5" t="n"/>
      <c r="P1743" s="5" t="n"/>
      <c r="Q1743" s="5" t="n"/>
      <c r="R1743" s="5" t="n"/>
      <c r="S1743" s="5" t="n"/>
      <c r="T1743" s="5" t="n"/>
      <c r="U1743" s="5" t="n"/>
      <c r="V1743" s="5" t="n"/>
      <c r="W1743" s="5" t="n"/>
      <c r="X1743" s="5" t="n"/>
      <c r="Y1743" s="5">
        <f>IF(I1743="","",IF(AND(I1743="Fail",K1743=""),"Classify Issue Source",IF(AND(I1743="Fail",W1743=""),"Set Confidence",IF(AND(K1743="Unknown",W1743&lt;&gt;"Low"),"Unknown must be Low confidence",IF(AND(OR(K1743="Backend",K1743="SAP"),N1743=""),"Add HTTP status + endpoint",IF(AND(OR(K1743="Backend",K1743="SAP",K1743="Network"),P1743=""),"Add Correlation ID",IF(AND(I1743="Fail",T1743=""),"Write Root Cause / evidence gap",IF(AND(I1743="Fail",V1743=""),"Assign team","OK"))))))))</f>
        <v/>
      </c>
    </row>
    <row r="1744">
      <c r="A1744" s="5" t="n"/>
      <c r="B1744" s="5" t="n"/>
      <c r="C1744" s="5" t="n"/>
      <c r="D1744" s="5" t="n"/>
      <c r="E1744" s="5" t="n"/>
      <c r="F1744" s="5" t="n"/>
      <c r="G1744" s="5" t="n"/>
      <c r="H1744" s="5" t="n"/>
      <c r="I1744" s="5" t="n"/>
      <c r="J1744" s="5" t="n"/>
      <c r="K1744" s="5" t="n"/>
      <c r="L1744" s="5" t="n"/>
      <c r="M1744" s="5" t="n"/>
      <c r="N1744" s="5" t="n"/>
      <c r="O1744" s="5" t="n"/>
      <c r="P1744" s="5" t="n"/>
      <c r="Q1744" s="5" t="n"/>
      <c r="R1744" s="5" t="n"/>
      <c r="S1744" s="5" t="n"/>
      <c r="T1744" s="5" t="n"/>
      <c r="U1744" s="5" t="n"/>
      <c r="V1744" s="5" t="n"/>
      <c r="W1744" s="5" t="n"/>
      <c r="X1744" s="5" t="n"/>
      <c r="Y1744" s="5">
        <f>IF(I1744="","",IF(AND(I1744="Fail",K1744=""),"Classify Issue Source",IF(AND(I1744="Fail",W1744=""),"Set Confidence",IF(AND(K1744="Unknown",W1744&lt;&gt;"Low"),"Unknown must be Low confidence",IF(AND(OR(K1744="Backend",K1744="SAP"),N1744=""),"Add HTTP status + endpoint",IF(AND(OR(K1744="Backend",K1744="SAP",K1744="Network"),P1744=""),"Add Correlation ID",IF(AND(I1744="Fail",T1744=""),"Write Root Cause / evidence gap",IF(AND(I1744="Fail",V1744=""),"Assign team","OK"))))))))</f>
        <v/>
      </c>
    </row>
    <row r="1745">
      <c r="A1745" s="5" t="n"/>
      <c r="B1745" s="5" t="n"/>
      <c r="C1745" s="5" t="n"/>
      <c r="D1745" s="5" t="n"/>
      <c r="E1745" s="5" t="n"/>
      <c r="F1745" s="5" t="n"/>
      <c r="G1745" s="5" t="n"/>
      <c r="H1745" s="5" t="n"/>
      <c r="I1745" s="5" t="n"/>
      <c r="J1745" s="5" t="n"/>
      <c r="K1745" s="5" t="n"/>
      <c r="L1745" s="5" t="n"/>
      <c r="M1745" s="5" t="n"/>
      <c r="N1745" s="5" t="n"/>
      <c r="O1745" s="5" t="n"/>
      <c r="P1745" s="5" t="n"/>
      <c r="Q1745" s="5" t="n"/>
      <c r="R1745" s="5" t="n"/>
      <c r="S1745" s="5" t="n"/>
      <c r="T1745" s="5" t="n"/>
      <c r="U1745" s="5" t="n"/>
      <c r="V1745" s="5" t="n"/>
      <c r="W1745" s="5" t="n"/>
      <c r="X1745" s="5" t="n"/>
      <c r="Y1745" s="5">
        <f>IF(I1745="","",IF(AND(I1745="Fail",K1745=""),"Classify Issue Source",IF(AND(I1745="Fail",W1745=""),"Set Confidence",IF(AND(K1745="Unknown",W1745&lt;&gt;"Low"),"Unknown must be Low confidence",IF(AND(OR(K1745="Backend",K1745="SAP"),N1745=""),"Add HTTP status + endpoint",IF(AND(OR(K1745="Backend",K1745="SAP",K1745="Network"),P1745=""),"Add Correlation ID",IF(AND(I1745="Fail",T1745=""),"Write Root Cause / evidence gap",IF(AND(I1745="Fail",V1745=""),"Assign team","OK"))))))))</f>
        <v/>
      </c>
    </row>
    <row r="1746">
      <c r="A1746" s="5" t="n"/>
      <c r="B1746" s="5" t="n"/>
      <c r="C1746" s="5" t="n"/>
      <c r="D1746" s="5" t="n"/>
      <c r="E1746" s="5" t="n"/>
      <c r="F1746" s="5" t="n"/>
      <c r="G1746" s="5" t="n"/>
      <c r="H1746" s="5" t="n"/>
      <c r="I1746" s="5" t="n"/>
      <c r="J1746" s="5" t="n"/>
      <c r="K1746" s="5" t="n"/>
      <c r="L1746" s="5" t="n"/>
      <c r="M1746" s="5" t="n"/>
      <c r="N1746" s="5" t="n"/>
      <c r="O1746" s="5" t="n"/>
      <c r="P1746" s="5" t="n"/>
      <c r="Q1746" s="5" t="n"/>
      <c r="R1746" s="5" t="n"/>
      <c r="S1746" s="5" t="n"/>
      <c r="T1746" s="5" t="n"/>
      <c r="U1746" s="5" t="n"/>
      <c r="V1746" s="5" t="n"/>
      <c r="W1746" s="5" t="n"/>
      <c r="X1746" s="5" t="n"/>
      <c r="Y1746" s="5">
        <f>IF(I1746="","",IF(AND(I1746="Fail",K1746=""),"Classify Issue Source",IF(AND(I1746="Fail",W1746=""),"Set Confidence",IF(AND(K1746="Unknown",W1746&lt;&gt;"Low"),"Unknown must be Low confidence",IF(AND(OR(K1746="Backend",K1746="SAP"),N1746=""),"Add HTTP status + endpoint",IF(AND(OR(K1746="Backend",K1746="SAP",K1746="Network"),P1746=""),"Add Correlation ID",IF(AND(I1746="Fail",T1746=""),"Write Root Cause / evidence gap",IF(AND(I1746="Fail",V1746=""),"Assign team","OK"))))))))</f>
        <v/>
      </c>
    </row>
    <row r="1747">
      <c r="A1747" s="5" t="n"/>
      <c r="B1747" s="5" t="n"/>
      <c r="C1747" s="5" t="n"/>
      <c r="D1747" s="5" t="n"/>
      <c r="E1747" s="5" t="n"/>
      <c r="F1747" s="5" t="n"/>
      <c r="G1747" s="5" t="n"/>
      <c r="H1747" s="5" t="n"/>
      <c r="I1747" s="5" t="n"/>
      <c r="J1747" s="5" t="n"/>
      <c r="K1747" s="5" t="n"/>
      <c r="L1747" s="5" t="n"/>
      <c r="M1747" s="5" t="n"/>
      <c r="N1747" s="5" t="n"/>
      <c r="O1747" s="5" t="n"/>
      <c r="P1747" s="5" t="n"/>
      <c r="Q1747" s="5" t="n"/>
      <c r="R1747" s="5" t="n"/>
      <c r="S1747" s="5" t="n"/>
      <c r="T1747" s="5" t="n"/>
      <c r="U1747" s="5" t="n"/>
      <c r="V1747" s="5" t="n"/>
      <c r="W1747" s="5" t="n"/>
      <c r="X1747" s="5" t="n"/>
      <c r="Y1747" s="5">
        <f>IF(I1747="","",IF(AND(I1747="Fail",K1747=""),"Classify Issue Source",IF(AND(I1747="Fail",W1747=""),"Set Confidence",IF(AND(K1747="Unknown",W1747&lt;&gt;"Low"),"Unknown must be Low confidence",IF(AND(OR(K1747="Backend",K1747="SAP"),N1747=""),"Add HTTP status + endpoint",IF(AND(OR(K1747="Backend",K1747="SAP",K1747="Network"),P1747=""),"Add Correlation ID",IF(AND(I1747="Fail",T1747=""),"Write Root Cause / evidence gap",IF(AND(I1747="Fail",V1747=""),"Assign team","OK"))))))))</f>
        <v/>
      </c>
    </row>
    <row r="1748">
      <c r="A1748" s="5" t="n"/>
      <c r="B1748" s="5" t="n"/>
      <c r="C1748" s="5" t="n"/>
      <c r="D1748" s="5" t="n"/>
      <c r="E1748" s="5" t="n"/>
      <c r="F1748" s="5" t="n"/>
      <c r="G1748" s="5" t="n"/>
      <c r="H1748" s="5" t="n"/>
      <c r="I1748" s="5" t="n"/>
      <c r="J1748" s="5" t="n"/>
      <c r="K1748" s="5" t="n"/>
      <c r="L1748" s="5" t="n"/>
      <c r="M1748" s="5" t="n"/>
      <c r="N1748" s="5" t="n"/>
      <c r="O1748" s="5" t="n"/>
      <c r="P1748" s="5" t="n"/>
      <c r="Q1748" s="5" t="n"/>
      <c r="R1748" s="5" t="n"/>
      <c r="S1748" s="5" t="n"/>
      <c r="T1748" s="5" t="n"/>
      <c r="U1748" s="5" t="n"/>
      <c r="V1748" s="5" t="n"/>
      <c r="W1748" s="5" t="n"/>
      <c r="X1748" s="5" t="n"/>
      <c r="Y1748" s="5">
        <f>IF(I1748="","",IF(AND(I1748="Fail",K1748=""),"Classify Issue Source",IF(AND(I1748="Fail",W1748=""),"Set Confidence",IF(AND(K1748="Unknown",W1748&lt;&gt;"Low"),"Unknown must be Low confidence",IF(AND(OR(K1748="Backend",K1748="SAP"),N1748=""),"Add HTTP status + endpoint",IF(AND(OR(K1748="Backend",K1748="SAP",K1748="Network"),P1748=""),"Add Correlation ID",IF(AND(I1748="Fail",T1748=""),"Write Root Cause / evidence gap",IF(AND(I1748="Fail",V1748=""),"Assign team","OK"))))))))</f>
        <v/>
      </c>
    </row>
    <row r="1749">
      <c r="A1749" s="5" t="n"/>
      <c r="B1749" s="5" t="n"/>
      <c r="C1749" s="5" t="n"/>
      <c r="D1749" s="5" t="n"/>
      <c r="E1749" s="5" t="n"/>
      <c r="F1749" s="5" t="n"/>
      <c r="G1749" s="5" t="n"/>
      <c r="H1749" s="5" t="n"/>
      <c r="I1749" s="5" t="n"/>
      <c r="J1749" s="5" t="n"/>
      <c r="K1749" s="5" t="n"/>
      <c r="L1749" s="5" t="n"/>
      <c r="M1749" s="5" t="n"/>
      <c r="N1749" s="5" t="n"/>
      <c r="O1749" s="5" t="n"/>
      <c r="P1749" s="5" t="n"/>
      <c r="Q1749" s="5" t="n"/>
      <c r="R1749" s="5" t="n"/>
      <c r="S1749" s="5" t="n"/>
      <c r="T1749" s="5" t="n"/>
      <c r="U1749" s="5" t="n"/>
      <c r="V1749" s="5" t="n"/>
      <c r="W1749" s="5" t="n"/>
      <c r="X1749" s="5" t="n"/>
      <c r="Y1749" s="5">
        <f>IF(I1749="","",IF(AND(I1749="Fail",K1749=""),"Classify Issue Source",IF(AND(I1749="Fail",W1749=""),"Set Confidence",IF(AND(K1749="Unknown",W1749&lt;&gt;"Low"),"Unknown must be Low confidence",IF(AND(OR(K1749="Backend",K1749="SAP"),N1749=""),"Add HTTP status + endpoint",IF(AND(OR(K1749="Backend",K1749="SAP",K1749="Network"),P1749=""),"Add Correlation ID",IF(AND(I1749="Fail",T1749=""),"Write Root Cause / evidence gap",IF(AND(I1749="Fail",V1749=""),"Assign team","OK"))))))))</f>
        <v/>
      </c>
    </row>
    <row r="1750">
      <c r="A1750" s="5" t="n"/>
      <c r="B1750" s="5" t="n"/>
      <c r="C1750" s="5" t="n"/>
      <c r="D1750" s="5" t="n"/>
      <c r="E1750" s="5" t="n"/>
      <c r="F1750" s="5" t="n"/>
      <c r="G1750" s="5" t="n"/>
      <c r="H1750" s="5" t="n"/>
      <c r="I1750" s="5" t="n"/>
      <c r="J1750" s="5" t="n"/>
      <c r="K1750" s="5" t="n"/>
      <c r="L1750" s="5" t="n"/>
      <c r="M1750" s="5" t="n"/>
      <c r="N1750" s="5" t="n"/>
      <c r="O1750" s="5" t="n"/>
      <c r="P1750" s="5" t="n"/>
      <c r="Q1750" s="5" t="n"/>
      <c r="R1750" s="5" t="n"/>
      <c r="S1750" s="5" t="n"/>
      <c r="T1750" s="5" t="n"/>
      <c r="U1750" s="5" t="n"/>
      <c r="V1750" s="5" t="n"/>
      <c r="W1750" s="5" t="n"/>
      <c r="X1750" s="5" t="n"/>
      <c r="Y1750" s="5">
        <f>IF(I1750="","",IF(AND(I1750="Fail",K1750=""),"Classify Issue Source",IF(AND(I1750="Fail",W1750=""),"Set Confidence",IF(AND(K1750="Unknown",W1750&lt;&gt;"Low"),"Unknown must be Low confidence",IF(AND(OR(K1750="Backend",K1750="SAP"),N1750=""),"Add HTTP status + endpoint",IF(AND(OR(K1750="Backend",K1750="SAP",K1750="Network"),P1750=""),"Add Correlation ID",IF(AND(I1750="Fail",T1750=""),"Write Root Cause / evidence gap",IF(AND(I1750="Fail",V1750=""),"Assign team","OK"))))))))</f>
        <v/>
      </c>
    </row>
    <row r="1751">
      <c r="A1751" s="5" t="n"/>
      <c r="B1751" s="5" t="n"/>
      <c r="C1751" s="5" t="n"/>
      <c r="D1751" s="5" t="n"/>
      <c r="E1751" s="5" t="n"/>
      <c r="F1751" s="5" t="n"/>
      <c r="G1751" s="5" t="n"/>
      <c r="H1751" s="5" t="n"/>
      <c r="I1751" s="5" t="n"/>
      <c r="J1751" s="5" t="n"/>
      <c r="K1751" s="5" t="n"/>
      <c r="L1751" s="5" t="n"/>
      <c r="M1751" s="5" t="n"/>
      <c r="N1751" s="5" t="n"/>
      <c r="O1751" s="5" t="n"/>
      <c r="P1751" s="5" t="n"/>
      <c r="Q1751" s="5" t="n"/>
      <c r="R1751" s="5" t="n"/>
      <c r="S1751" s="5" t="n"/>
      <c r="T1751" s="5" t="n"/>
      <c r="U1751" s="5" t="n"/>
      <c r="V1751" s="5" t="n"/>
      <c r="W1751" s="5" t="n"/>
      <c r="X1751" s="5" t="n"/>
      <c r="Y1751" s="5">
        <f>IF(I1751="","",IF(AND(I1751="Fail",K1751=""),"Classify Issue Source",IF(AND(I1751="Fail",W1751=""),"Set Confidence",IF(AND(K1751="Unknown",W1751&lt;&gt;"Low"),"Unknown must be Low confidence",IF(AND(OR(K1751="Backend",K1751="SAP"),N1751=""),"Add HTTP status + endpoint",IF(AND(OR(K1751="Backend",K1751="SAP",K1751="Network"),P1751=""),"Add Correlation ID",IF(AND(I1751="Fail",T1751=""),"Write Root Cause / evidence gap",IF(AND(I1751="Fail",V1751=""),"Assign team","OK"))))))))</f>
        <v/>
      </c>
    </row>
    <row r="1752">
      <c r="A1752" s="5" t="n"/>
      <c r="B1752" s="5" t="n"/>
      <c r="C1752" s="5" t="n"/>
      <c r="D1752" s="5" t="n"/>
      <c r="E1752" s="5" t="n"/>
      <c r="F1752" s="5" t="n"/>
      <c r="G1752" s="5" t="n"/>
      <c r="H1752" s="5" t="n"/>
      <c r="I1752" s="5" t="n"/>
      <c r="J1752" s="5" t="n"/>
      <c r="K1752" s="5" t="n"/>
      <c r="L1752" s="5" t="n"/>
      <c r="M1752" s="5" t="n"/>
      <c r="N1752" s="5" t="n"/>
      <c r="O1752" s="5" t="n"/>
      <c r="P1752" s="5" t="n"/>
      <c r="Q1752" s="5" t="n"/>
      <c r="R1752" s="5" t="n"/>
      <c r="S1752" s="5" t="n"/>
      <c r="T1752" s="5" t="n"/>
      <c r="U1752" s="5" t="n"/>
      <c r="V1752" s="5" t="n"/>
      <c r="W1752" s="5" t="n"/>
      <c r="X1752" s="5" t="n"/>
      <c r="Y1752" s="5">
        <f>IF(I1752="","",IF(AND(I1752="Fail",K1752=""),"Classify Issue Source",IF(AND(I1752="Fail",W1752=""),"Set Confidence",IF(AND(K1752="Unknown",W1752&lt;&gt;"Low"),"Unknown must be Low confidence",IF(AND(OR(K1752="Backend",K1752="SAP"),N1752=""),"Add HTTP status + endpoint",IF(AND(OR(K1752="Backend",K1752="SAP",K1752="Network"),P1752=""),"Add Correlation ID",IF(AND(I1752="Fail",T1752=""),"Write Root Cause / evidence gap",IF(AND(I1752="Fail",V1752=""),"Assign team","OK"))))))))</f>
        <v/>
      </c>
    </row>
    <row r="1753">
      <c r="A1753" s="5" t="n"/>
      <c r="B1753" s="5" t="n"/>
      <c r="C1753" s="5" t="n"/>
      <c r="D1753" s="5" t="n"/>
      <c r="E1753" s="5" t="n"/>
      <c r="F1753" s="5" t="n"/>
      <c r="G1753" s="5" t="n"/>
      <c r="H1753" s="5" t="n"/>
      <c r="I1753" s="5" t="n"/>
      <c r="J1753" s="5" t="n"/>
      <c r="K1753" s="5" t="n"/>
      <c r="L1753" s="5" t="n"/>
      <c r="M1753" s="5" t="n"/>
      <c r="N1753" s="5" t="n"/>
      <c r="O1753" s="5" t="n"/>
      <c r="P1753" s="5" t="n"/>
      <c r="Q1753" s="5" t="n"/>
      <c r="R1753" s="5" t="n"/>
      <c r="S1753" s="5" t="n"/>
      <c r="T1753" s="5" t="n"/>
      <c r="U1753" s="5" t="n"/>
      <c r="V1753" s="5" t="n"/>
      <c r="W1753" s="5" t="n"/>
      <c r="X1753" s="5" t="n"/>
      <c r="Y1753" s="5">
        <f>IF(I1753="","",IF(AND(I1753="Fail",K1753=""),"Classify Issue Source",IF(AND(I1753="Fail",W1753=""),"Set Confidence",IF(AND(K1753="Unknown",W1753&lt;&gt;"Low"),"Unknown must be Low confidence",IF(AND(OR(K1753="Backend",K1753="SAP"),N1753=""),"Add HTTP status + endpoint",IF(AND(OR(K1753="Backend",K1753="SAP",K1753="Network"),P1753=""),"Add Correlation ID",IF(AND(I1753="Fail",T1753=""),"Write Root Cause / evidence gap",IF(AND(I1753="Fail",V1753=""),"Assign team","OK"))))))))</f>
        <v/>
      </c>
    </row>
    <row r="1754">
      <c r="A1754" s="5" t="n"/>
      <c r="B1754" s="5" t="n"/>
      <c r="C1754" s="5" t="n"/>
      <c r="D1754" s="5" t="n"/>
      <c r="E1754" s="5" t="n"/>
      <c r="F1754" s="5" t="n"/>
      <c r="G1754" s="5" t="n"/>
      <c r="H1754" s="5" t="n"/>
      <c r="I1754" s="5" t="n"/>
      <c r="J1754" s="5" t="n"/>
      <c r="K1754" s="5" t="n"/>
      <c r="L1754" s="5" t="n"/>
      <c r="M1754" s="5" t="n"/>
      <c r="N1754" s="5" t="n"/>
      <c r="O1754" s="5" t="n"/>
      <c r="P1754" s="5" t="n"/>
      <c r="Q1754" s="5" t="n"/>
      <c r="R1754" s="5" t="n"/>
      <c r="S1754" s="5" t="n"/>
      <c r="T1754" s="5" t="n"/>
      <c r="U1754" s="5" t="n"/>
      <c r="V1754" s="5" t="n"/>
      <c r="W1754" s="5" t="n"/>
      <c r="X1754" s="5" t="n"/>
      <c r="Y1754" s="5">
        <f>IF(I1754="","",IF(AND(I1754="Fail",K1754=""),"Classify Issue Source",IF(AND(I1754="Fail",W1754=""),"Set Confidence",IF(AND(K1754="Unknown",W1754&lt;&gt;"Low"),"Unknown must be Low confidence",IF(AND(OR(K1754="Backend",K1754="SAP"),N1754=""),"Add HTTP status + endpoint",IF(AND(OR(K1754="Backend",K1754="SAP",K1754="Network"),P1754=""),"Add Correlation ID",IF(AND(I1754="Fail",T1754=""),"Write Root Cause / evidence gap",IF(AND(I1754="Fail",V1754=""),"Assign team","OK"))))))))</f>
        <v/>
      </c>
    </row>
    <row r="1755">
      <c r="A1755" s="5" t="n"/>
      <c r="B1755" s="5" t="n"/>
      <c r="C1755" s="5" t="n"/>
      <c r="D1755" s="5" t="n"/>
      <c r="E1755" s="5" t="n"/>
      <c r="F1755" s="5" t="n"/>
      <c r="G1755" s="5" t="n"/>
      <c r="H1755" s="5" t="n"/>
      <c r="I1755" s="5" t="n"/>
      <c r="J1755" s="5" t="n"/>
      <c r="K1755" s="5" t="n"/>
      <c r="L1755" s="5" t="n"/>
      <c r="M1755" s="5" t="n"/>
      <c r="N1755" s="5" t="n"/>
      <c r="O1755" s="5" t="n"/>
      <c r="P1755" s="5" t="n"/>
      <c r="Q1755" s="5" t="n"/>
      <c r="R1755" s="5" t="n"/>
      <c r="S1755" s="5" t="n"/>
      <c r="T1755" s="5" t="n"/>
      <c r="U1755" s="5" t="n"/>
      <c r="V1755" s="5" t="n"/>
      <c r="W1755" s="5" t="n"/>
      <c r="X1755" s="5" t="n"/>
      <c r="Y1755" s="5">
        <f>IF(I1755="","",IF(AND(I1755="Fail",K1755=""),"Classify Issue Source",IF(AND(I1755="Fail",W1755=""),"Set Confidence",IF(AND(K1755="Unknown",W1755&lt;&gt;"Low"),"Unknown must be Low confidence",IF(AND(OR(K1755="Backend",K1755="SAP"),N1755=""),"Add HTTP status + endpoint",IF(AND(OR(K1755="Backend",K1755="SAP",K1755="Network"),P1755=""),"Add Correlation ID",IF(AND(I1755="Fail",T1755=""),"Write Root Cause / evidence gap",IF(AND(I1755="Fail",V1755=""),"Assign team","OK"))))))))</f>
        <v/>
      </c>
    </row>
    <row r="1756">
      <c r="A1756" s="5" t="n"/>
      <c r="B1756" s="5" t="n"/>
      <c r="C1756" s="5" t="n"/>
      <c r="D1756" s="5" t="n"/>
      <c r="E1756" s="5" t="n"/>
      <c r="F1756" s="5" t="n"/>
      <c r="G1756" s="5" t="n"/>
      <c r="H1756" s="5" t="n"/>
      <c r="I1756" s="5" t="n"/>
      <c r="J1756" s="5" t="n"/>
      <c r="K1756" s="5" t="n"/>
      <c r="L1756" s="5" t="n"/>
      <c r="M1756" s="5" t="n"/>
      <c r="N1756" s="5" t="n"/>
      <c r="O1756" s="5" t="n"/>
      <c r="P1756" s="5" t="n"/>
      <c r="Q1756" s="5" t="n"/>
      <c r="R1756" s="5" t="n"/>
      <c r="S1756" s="5" t="n"/>
      <c r="T1756" s="5" t="n"/>
      <c r="U1756" s="5" t="n"/>
      <c r="V1756" s="5" t="n"/>
      <c r="W1756" s="5" t="n"/>
      <c r="X1756" s="5" t="n"/>
      <c r="Y1756" s="5">
        <f>IF(I1756="","",IF(AND(I1756="Fail",K1756=""),"Classify Issue Source",IF(AND(I1756="Fail",W1756=""),"Set Confidence",IF(AND(K1756="Unknown",W1756&lt;&gt;"Low"),"Unknown must be Low confidence",IF(AND(OR(K1756="Backend",K1756="SAP"),N1756=""),"Add HTTP status + endpoint",IF(AND(OR(K1756="Backend",K1756="SAP",K1756="Network"),P1756=""),"Add Correlation ID",IF(AND(I1756="Fail",T1756=""),"Write Root Cause / evidence gap",IF(AND(I1756="Fail",V1756=""),"Assign team","OK"))))))))</f>
        <v/>
      </c>
    </row>
    <row r="1757">
      <c r="A1757" s="5" t="n"/>
      <c r="B1757" s="5" t="n"/>
      <c r="C1757" s="5" t="n"/>
      <c r="D1757" s="5" t="n"/>
      <c r="E1757" s="5" t="n"/>
      <c r="F1757" s="5" t="n"/>
      <c r="G1757" s="5" t="n"/>
      <c r="H1757" s="5" t="n"/>
      <c r="I1757" s="5" t="n"/>
      <c r="J1757" s="5" t="n"/>
      <c r="K1757" s="5" t="n"/>
      <c r="L1757" s="5" t="n"/>
      <c r="M1757" s="5" t="n"/>
      <c r="N1757" s="5" t="n"/>
      <c r="O1757" s="5" t="n"/>
      <c r="P1757" s="5" t="n"/>
      <c r="Q1757" s="5" t="n"/>
      <c r="R1757" s="5" t="n"/>
      <c r="S1757" s="5" t="n"/>
      <c r="T1757" s="5" t="n"/>
      <c r="U1757" s="5" t="n"/>
      <c r="V1757" s="5" t="n"/>
      <c r="W1757" s="5" t="n"/>
      <c r="X1757" s="5" t="n"/>
      <c r="Y1757" s="5">
        <f>IF(I1757="","",IF(AND(I1757="Fail",K1757=""),"Classify Issue Source",IF(AND(I1757="Fail",W1757=""),"Set Confidence",IF(AND(K1757="Unknown",W1757&lt;&gt;"Low"),"Unknown must be Low confidence",IF(AND(OR(K1757="Backend",K1757="SAP"),N1757=""),"Add HTTP status + endpoint",IF(AND(OR(K1757="Backend",K1757="SAP",K1757="Network"),P1757=""),"Add Correlation ID",IF(AND(I1757="Fail",T1757=""),"Write Root Cause / evidence gap",IF(AND(I1757="Fail",V1757=""),"Assign team","OK"))))))))</f>
        <v/>
      </c>
    </row>
    <row r="1758">
      <c r="A1758" s="5" t="n"/>
      <c r="B1758" s="5" t="n"/>
      <c r="C1758" s="5" t="n"/>
      <c r="D1758" s="5" t="n"/>
      <c r="E1758" s="5" t="n"/>
      <c r="F1758" s="5" t="n"/>
      <c r="G1758" s="5" t="n"/>
      <c r="H1758" s="5" t="n"/>
      <c r="I1758" s="5" t="n"/>
      <c r="J1758" s="5" t="n"/>
      <c r="K1758" s="5" t="n"/>
      <c r="L1758" s="5" t="n"/>
      <c r="M1758" s="5" t="n"/>
      <c r="N1758" s="5" t="n"/>
      <c r="O1758" s="5" t="n"/>
      <c r="P1758" s="5" t="n"/>
      <c r="Q1758" s="5" t="n"/>
      <c r="R1758" s="5" t="n"/>
      <c r="S1758" s="5" t="n"/>
      <c r="T1758" s="5" t="n"/>
      <c r="U1758" s="5" t="n"/>
      <c r="V1758" s="5" t="n"/>
      <c r="W1758" s="5" t="n"/>
      <c r="X1758" s="5" t="n"/>
      <c r="Y1758" s="5">
        <f>IF(I1758="","",IF(AND(I1758="Fail",K1758=""),"Classify Issue Source",IF(AND(I1758="Fail",W1758=""),"Set Confidence",IF(AND(K1758="Unknown",W1758&lt;&gt;"Low"),"Unknown must be Low confidence",IF(AND(OR(K1758="Backend",K1758="SAP"),N1758=""),"Add HTTP status + endpoint",IF(AND(OR(K1758="Backend",K1758="SAP",K1758="Network"),P1758=""),"Add Correlation ID",IF(AND(I1758="Fail",T1758=""),"Write Root Cause / evidence gap",IF(AND(I1758="Fail",V1758=""),"Assign team","OK"))))))))</f>
        <v/>
      </c>
    </row>
    <row r="1759">
      <c r="A1759" s="5" t="n"/>
      <c r="B1759" s="5" t="n"/>
      <c r="C1759" s="5" t="n"/>
      <c r="D1759" s="5" t="n"/>
      <c r="E1759" s="5" t="n"/>
      <c r="F1759" s="5" t="n"/>
      <c r="G1759" s="5" t="n"/>
      <c r="H1759" s="5" t="n"/>
      <c r="I1759" s="5" t="n"/>
      <c r="J1759" s="5" t="n"/>
      <c r="K1759" s="5" t="n"/>
      <c r="L1759" s="5" t="n"/>
      <c r="M1759" s="5" t="n"/>
      <c r="N1759" s="5" t="n"/>
      <c r="O1759" s="5" t="n"/>
      <c r="P1759" s="5" t="n"/>
      <c r="Q1759" s="5" t="n"/>
      <c r="R1759" s="5" t="n"/>
      <c r="S1759" s="5" t="n"/>
      <c r="T1759" s="5" t="n"/>
      <c r="U1759" s="5" t="n"/>
      <c r="V1759" s="5" t="n"/>
      <c r="W1759" s="5" t="n"/>
      <c r="X1759" s="5" t="n"/>
      <c r="Y1759" s="5">
        <f>IF(I1759="","",IF(AND(I1759="Fail",K1759=""),"Classify Issue Source",IF(AND(I1759="Fail",W1759=""),"Set Confidence",IF(AND(K1759="Unknown",W1759&lt;&gt;"Low"),"Unknown must be Low confidence",IF(AND(OR(K1759="Backend",K1759="SAP"),N1759=""),"Add HTTP status + endpoint",IF(AND(OR(K1759="Backend",K1759="SAP",K1759="Network"),P1759=""),"Add Correlation ID",IF(AND(I1759="Fail",T1759=""),"Write Root Cause / evidence gap",IF(AND(I1759="Fail",V1759=""),"Assign team","OK"))))))))</f>
        <v/>
      </c>
    </row>
    <row r="1760">
      <c r="A1760" s="5" t="n"/>
      <c r="B1760" s="5" t="n"/>
      <c r="C1760" s="5" t="n"/>
      <c r="D1760" s="5" t="n"/>
      <c r="E1760" s="5" t="n"/>
      <c r="F1760" s="5" t="n"/>
      <c r="G1760" s="5" t="n"/>
      <c r="H1760" s="5" t="n"/>
      <c r="I1760" s="5" t="n"/>
      <c r="J1760" s="5" t="n"/>
      <c r="K1760" s="5" t="n"/>
      <c r="L1760" s="5" t="n"/>
      <c r="M1760" s="5" t="n"/>
      <c r="N1760" s="5" t="n"/>
      <c r="O1760" s="5" t="n"/>
      <c r="P1760" s="5" t="n"/>
      <c r="Q1760" s="5" t="n"/>
      <c r="R1760" s="5" t="n"/>
      <c r="S1760" s="5" t="n"/>
      <c r="T1760" s="5" t="n"/>
      <c r="U1760" s="5" t="n"/>
      <c r="V1760" s="5" t="n"/>
      <c r="W1760" s="5" t="n"/>
      <c r="X1760" s="5" t="n"/>
      <c r="Y1760" s="5">
        <f>IF(I1760="","",IF(AND(I1760="Fail",K1760=""),"Classify Issue Source",IF(AND(I1760="Fail",W1760=""),"Set Confidence",IF(AND(K1760="Unknown",W1760&lt;&gt;"Low"),"Unknown must be Low confidence",IF(AND(OR(K1760="Backend",K1760="SAP"),N1760=""),"Add HTTP status + endpoint",IF(AND(OR(K1760="Backend",K1760="SAP",K1760="Network"),P1760=""),"Add Correlation ID",IF(AND(I1760="Fail",T1760=""),"Write Root Cause / evidence gap",IF(AND(I1760="Fail",V1760=""),"Assign team","OK"))))))))</f>
        <v/>
      </c>
    </row>
    <row r="1761">
      <c r="A1761" s="5" t="n"/>
      <c r="B1761" s="5" t="n"/>
      <c r="C1761" s="5" t="n"/>
      <c r="D1761" s="5" t="n"/>
      <c r="E1761" s="5" t="n"/>
      <c r="F1761" s="5" t="n"/>
      <c r="G1761" s="5" t="n"/>
      <c r="H1761" s="5" t="n"/>
      <c r="I1761" s="5" t="n"/>
      <c r="J1761" s="5" t="n"/>
      <c r="K1761" s="5" t="n"/>
      <c r="L1761" s="5" t="n"/>
      <c r="M1761" s="5" t="n"/>
      <c r="N1761" s="5" t="n"/>
      <c r="O1761" s="5" t="n"/>
      <c r="P1761" s="5" t="n"/>
      <c r="Q1761" s="5" t="n"/>
      <c r="R1761" s="5" t="n"/>
      <c r="S1761" s="5" t="n"/>
      <c r="T1761" s="5" t="n"/>
      <c r="U1761" s="5" t="n"/>
      <c r="V1761" s="5" t="n"/>
      <c r="W1761" s="5" t="n"/>
      <c r="X1761" s="5" t="n"/>
      <c r="Y1761" s="5">
        <f>IF(I1761="","",IF(AND(I1761="Fail",K1761=""),"Classify Issue Source",IF(AND(I1761="Fail",W1761=""),"Set Confidence",IF(AND(K1761="Unknown",W1761&lt;&gt;"Low"),"Unknown must be Low confidence",IF(AND(OR(K1761="Backend",K1761="SAP"),N1761=""),"Add HTTP status + endpoint",IF(AND(OR(K1761="Backend",K1761="SAP",K1761="Network"),P1761=""),"Add Correlation ID",IF(AND(I1761="Fail",T1761=""),"Write Root Cause / evidence gap",IF(AND(I1761="Fail",V1761=""),"Assign team","OK"))))))))</f>
        <v/>
      </c>
    </row>
    <row r="1762">
      <c r="A1762" s="5" t="n"/>
      <c r="B1762" s="5" t="n"/>
      <c r="C1762" s="5" t="n"/>
      <c r="D1762" s="5" t="n"/>
      <c r="E1762" s="5" t="n"/>
      <c r="F1762" s="5" t="n"/>
      <c r="G1762" s="5" t="n"/>
      <c r="H1762" s="5" t="n"/>
      <c r="I1762" s="5" t="n"/>
      <c r="J1762" s="5" t="n"/>
      <c r="K1762" s="5" t="n"/>
      <c r="L1762" s="5" t="n"/>
      <c r="M1762" s="5" t="n"/>
      <c r="N1762" s="5" t="n"/>
      <c r="O1762" s="5" t="n"/>
      <c r="P1762" s="5" t="n"/>
      <c r="Q1762" s="5" t="n"/>
      <c r="R1762" s="5" t="n"/>
      <c r="S1762" s="5" t="n"/>
      <c r="T1762" s="5" t="n"/>
      <c r="U1762" s="5" t="n"/>
      <c r="V1762" s="5" t="n"/>
      <c r="W1762" s="5" t="n"/>
      <c r="X1762" s="5" t="n"/>
      <c r="Y1762" s="5">
        <f>IF(I1762="","",IF(AND(I1762="Fail",K1762=""),"Classify Issue Source",IF(AND(I1762="Fail",W1762=""),"Set Confidence",IF(AND(K1762="Unknown",W1762&lt;&gt;"Low"),"Unknown must be Low confidence",IF(AND(OR(K1762="Backend",K1762="SAP"),N1762=""),"Add HTTP status + endpoint",IF(AND(OR(K1762="Backend",K1762="SAP",K1762="Network"),P1762=""),"Add Correlation ID",IF(AND(I1762="Fail",T1762=""),"Write Root Cause / evidence gap",IF(AND(I1762="Fail",V1762=""),"Assign team","OK"))))))))</f>
        <v/>
      </c>
    </row>
    <row r="1763">
      <c r="A1763" s="5" t="n"/>
      <c r="B1763" s="5" t="n"/>
      <c r="C1763" s="5" t="n"/>
      <c r="D1763" s="5" t="n"/>
      <c r="E1763" s="5" t="n"/>
      <c r="F1763" s="5" t="n"/>
      <c r="G1763" s="5" t="n"/>
      <c r="H1763" s="5" t="n"/>
      <c r="I1763" s="5" t="n"/>
      <c r="J1763" s="5" t="n"/>
      <c r="K1763" s="5" t="n"/>
      <c r="L1763" s="5" t="n"/>
      <c r="M1763" s="5" t="n"/>
      <c r="N1763" s="5" t="n"/>
      <c r="O1763" s="5" t="n"/>
      <c r="P1763" s="5" t="n"/>
      <c r="Q1763" s="5" t="n"/>
      <c r="R1763" s="5" t="n"/>
      <c r="S1763" s="5" t="n"/>
      <c r="T1763" s="5" t="n"/>
      <c r="U1763" s="5" t="n"/>
      <c r="V1763" s="5" t="n"/>
      <c r="W1763" s="5" t="n"/>
      <c r="X1763" s="5" t="n"/>
      <c r="Y1763" s="5">
        <f>IF(I1763="","",IF(AND(I1763="Fail",K1763=""),"Classify Issue Source",IF(AND(I1763="Fail",W1763=""),"Set Confidence",IF(AND(K1763="Unknown",W1763&lt;&gt;"Low"),"Unknown must be Low confidence",IF(AND(OR(K1763="Backend",K1763="SAP"),N1763=""),"Add HTTP status + endpoint",IF(AND(OR(K1763="Backend",K1763="SAP",K1763="Network"),P1763=""),"Add Correlation ID",IF(AND(I1763="Fail",T1763=""),"Write Root Cause / evidence gap",IF(AND(I1763="Fail",V1763=""),"Assign team","OK"))))))))</f>
        <v/>
      </c>
    </row>
    <row r="1764">
      <c r="A1764" s="5" t="n"/>
      <c r="B1764" s="5" t="n"/>
      <c r="C1764" s="5" t="n"/>
      <c r="D1764" s="5" t="n"/>
      <c r="E1764" s="5" t="n"/>
      <c r="F1764" s="5" t="n"/>
      <c r="G1764" s="5" t="n"/>
      <c r="H1764" s="5" t="n"/>
      <c r="I1764" s="5" t="n"/>
      <c r="J1764" s="5" t="n"/>
      <c r="K1764" s="5" t="n"/>
      <c r="L1764" s="5" t="n"/>
      <c r="M1764" s="5" t="n"/>
      <c r="N1764" s="5" t="n"/>
      <c r="O1764" s="5" t="n"/>
      <c r="P1764" s="5" t="n"/>
      <c r="Q1764" s="5" t="n"/>
      <c r="R1764" s="5" t="n"/>
      <c r="S1764" s="5" t="n"/>
      <c r="T1764" s="5" t="n"/>
      <c r="U1764" s="5" t="n"/>
      <c r="V1764" s="5" t="n"/>
      <c r="W1764" s="5" t="n"/>
      <c r="X1764" s="5" t="n"/>
      <c r="Y1764" s="5">
        <f>IF(I1764="","",IF(AND(I1764="Fail",K1764=""),"Classify Issue Source",IF(AND(I1764="Fail",W1764=""),"Set Confidence",IF(AND(K1764="Unknown",W1764&lt;&gt;"Low"),"Unknown must be Low confidence",IF(AND(OR(K1764="Backend",K1764="SAP"),N1764=""),"Add HTTP status + endpoint",IF(AND(OR(K1764="Backend",K1764="SAP",K1764="Network"),P1764=""),"Add Correlation ID",IF(AND(I1764="Fail",T1764=""),"Write Root Cause / evidence gap",IF(AND(I1764="Fail",V1764=""),"Assign team","OK"))))))))</f>
        <v/>
      </c>
    </row>
    <row r="1765">
      <c r="A1765" s="5" t="n"/>
      <c r="B1765" s="5" t="n"/>
      <c r="C1765" s="5" t="n"/>
      <c r="D1765" s="5" t="n"/>
      <c r="E1765" s="5" t="n"/>
      <c r="F1765" s="5" t="n"/>
      <c r="G1765" s="5" t="n"/>
      <c r="H1765" s="5" t="n"/>
      <c r="I1765" s="5" t="n"/>
      <c r="J1765" s="5" t="n"/>
      <c r="K1765" s="5" t="n"/>
      <c r="L1765" s="5" t="n"/>
      <c r="M1765" s="5" t="n"/>
      <c r="N1765" s="5" t="n"/>
      <c r="O1765" s="5" t="n"/>
      <c r="P1765" s="5" t="n"/>
      <c r="Q1765" s="5" t="n"/>
      <c r="R1765" s="5" t="n"/>
      <c r="S1765" s="5" t="n"/>
      <c r="T1765" s="5" t="n"/>
      <c r="U1765" s="5" t="n"/>
      <c r="V1765" s="5" t="n"/>
      <c r="W1765" s="5" t="n"/>
      <c r="X1765" s="5" t="n"/>
      <c r="Y1765" s="5">
        <f>IF(I1765="","",IF(AND(I1765="Fail",K1765=""),"Classify Issue Source",IF(AND(I1765="Fail",W1765=""),"Set Confidence",IF(AND(K1765="Unknown",W1765&lt;&gt;"Low"),"Unknown must be Low confidence",IF(AND(OR(K1765="Backend",K1765="SAP"),N1765=""),"Add HTTP status + endpoint",IF(AND(OR(K1765="Backend",K1765="SAP",K1765="Network"),P1765=""),"Add Correlation ID",IF(AND(I1765="Fail",T1765=""),"Write Root Cause / evidence gap",IF(AND(I1765="Fail",V1765=""),"Assign team","OK"))))))))</f>
        <v/>
      </c>
    </row>
    <row r="1766">
      <c r="A1766" s="5" t="n"/>
      <c r="B1766" s="5" t="n"/>
      <c r="C1766" s="5" t="n"/>
      <c r="D1766" s="5" t="n"/>
      <c r="E1766" s="5" t="n"/>
      <c r="F1766" s="5" t="n"/>
      <c r="G1766" s="5" t="n"/>
      <c r="H1766" s="5" t="n"/>
      <c r="I1766" s="5" t="n"/>
      <c r="J1766" s="5" t="n"/>
      <c r="K1766" s="5" t="n"/>
      <c r="L1766" s="5" t="n"/>
      <c r="M1766" s="5" t="n"/>
      <c r="N1766" s="5" t="n"/>
      <c r="O1766" s="5" t="n"/>
      <c r="P1766" s="5" t="n"/>
      <c r="Q1766" s="5" t="n"/>
      <c r="R1766" s="5" t="n"/>
      <c r="S1766" s="5" t="n"/>
      <c r="T1766" s="5" t="n"/>
      <c r="U1766" s="5" t="n"/>
      <c r="V1766" s="5" t="n"/>
      <c r="W1766" s="5" t="n"/>
      <c r="X1766" s="5" t="n"/>
      <c r="Y1766" s="5">
        <f>IF(I1766="","",IF(AND(I1766="Fail",K1766=""),"Classify Issue Source",IF(AND(I1766="Fail",W1766=""),"Set Confidence",IF(AND(K1766="Unknown",W1766&lt;&gt;"Low"),"Unknown must be Low confidence",IF(AND(OR(K1766="Backend",K1766="SAP"),N1766=""),"Add HTTP status + endpoint",IF(AND(OR(K1766="Backend",K1766="SAP",K1766="Network"),P1766=""),"Add Correlation ID",IF(AND(I1766="Fail",T1766=""),"Write Root Cause / evidence gap",IF(AND(I1766="Fail",V1766=""),"Assign team","OK"))))))))</f>
        <v/>
      </c>
    </row>
    <row r="1767">
      <c r="A1767" s="5" t="n"/>
      <c r="B1767" s="5" t="n"/>
      <c r="C1767" s="5" t="n"/>
      <c r="D1767" s="5" t="n"/>
      <c r="E1767" s="5" t="n"/>
      <c r="F1767" s="5" t="n"/>
      <c r="G1767" s="5" t="n"/>
      <c r="H1767" s="5" t="n"/>
      <c r="I1767" s="5" t="n"/>
      <c r="J1767" s="5" t="n"/>
      <c r="K1767" s="5" t="n"/>
      <c r="L1767" s="5" t="n"/>
      <c r="M1767" s="5" t="n"/>
      <c r="N1767" s="5" t="n"/>
      <c r="O1767" s="5" t="n"/>
      <c r="P1767" s="5" t="n"/>
      <c r="Q1767" s="5" t="n"/>
      <c r="R1767" s="5" t="n"/>
      <c r="S1767" s="5" t="n"/>
      <c r="T1767" s="5" t="n"/>
      <c r="U1767" s="5" t="n"/>
      <c r="V1767" s="5" t="n"/>
      <c r="W1767" s="5" t="n"/>
      <c r="X1767" s="5" t="n"/>
      <c r="Y1767" s="5">
        <f>IF(I1767="","",IF(AND(I1767="Fail",K1767=""),"Classify Issue Source",IF(AND(I1767="Fail",W1767=""),"Set Confidence",IF(AND(K1767="Unknown",W1767&lt;&gt;"Low"),"Unknown must be Low confidence",IF(AND(OR(K1767="Backend",K1767="SAP"),N1767=""),"Add HTTP status + endpoint",IF(AND(OR(K1767="Backend",K1767="SAP",K1767="Network"),P1767=""),"Add Correlation ID",IF(AND(I1767="Fail",T1767=""),"Write Root Cause / evidence gap",IF(AND(I1767="Fail",V1767=""),"Assign team","OK"))))))))</f>
        <v/>
      </c>
    </row>
    <row r="1768">
      <c r="A1768" s="5" t="n"/>
      <c r="B1768" s="5" t="n"/>
      <c r="C1768" s="5" t="n"/>
      <c r="D1768" s="5" t="n"/>
      <c r="E1768" s="5" t="n"/>
      <c r="F1768" s="5" t="n"/>
      <c r="G1768" s="5" t="n"/>
      <c r="H1768" s="5" t="n"/>
      <c r="I1768" s="5" t="n"/>
      <c r="J1768" s="5" t="n"/>
      <c r="K1768" s="5" t="n"/>
      <c r="L1768" s="5" t="n"/>
      <c r="M1768" s="5" t="n"/>
      <c r="N1768" s="5" t="n"/>
      <c r="O1768" s="5" t="n"/>
      <c r="P1768" s="5" t="n"/>
      <c r="Q1768" s="5" t="n"/>
      <c r="R1768" s="5" t="n"/>
      <c r="S1768" s="5" t="n"/>
      <c r="T1768" s="5" t="n"/>
      <c r="U1768" s="5" t="n"/>
      <c r="V1768" s="5" t="n"/>
      <c r="W1768" s="5" t="n"/>
      <c r="X1768" s="5" t="n"/>
      <c r="Y1768" s="5">
        <f>IF(I1768="","",IF(AND(I1768="Fail",K1768=""),"Classify Issue Source",IF(AND(I1768="Fail",W1768=""),"Set Confidence",IF(AND(K1768="Unknown",W1768&lt;&gt;"Low"),"Unknown must be Low confidence",IF(AND(OR(K1768="Backend",K1768="SAP"),N1768=""),"Add HTTP status + endpoint",IF(AND(OR(K1768="Backend",K1768="SAP",K1768="Network"),P1768=""),"Add Correlation ID",IF(AND(I1768="Fail",T1768=""),"Write Root Cause / evidence gap",IF(AND(I1768="Fail",V1768=""),"Assign team","OK"))))))))</f>
        <v/>
      </c>
    </row>
    <row r="1769">
      <c r="A1769" s="5" t="n"/>
      <c r="B1769" s="5" t="n"/>
      <c r="C1769" s="5" t="n"/>
      <c r="D1769" s="5" t="n"/>
      <c r="E1769" s="5" t="n"/>
      <c r="F1769" s="5" t="n"/>
      <c r="G1769" s="5" t="n"/>
      <c r="H1769" s="5" t="n"/>
      <c r="I1769" s="5" t="n"/>
      <c r="J1769" s="5" t="n"/>
      <c r="K1769" s="5" t="n"/>
      <c r="L1769" s="5" t="n"/>
      <c r="M1769" s="5" t="n"/>
      <c r="N1769" s="5" t="n"/>
      <c r="O1769" s="5" t="n"/>
      <c r="P1769" s="5" t="n"/>
      <c r="Q1769" s="5" t="n"/>
      <c r="R1769" s="5" t="n"/>
      <c r="S1769" s="5" t="n"/>
      <c r="T1769" s="5" t="n"/>
      <c r="U1769" s="5" t="n"/>
      <c r="V1769" s="5" t="n"/>
      <c r="W1769" s="5" t="n"/>
      <c r="X1769" s="5" t="n"/>
      <c r="Y1769" s="5">
        <f>IF(I1769="","",IF(AND(I1769="Fail",K1769=""),"Classify Issue Source",IF(AND(I1769="Fail",W1769=""),"Set Confidence",IF(AND(K1769="Unknown",W1769&lt;&gt;"Low"),"Unknown must be Low confidence",IF(AND(OR(K1769="Backend",K1769="SAP"),N1769=""),"Add HTTP status + endpoint",IF(AND(OR(K1769="Backend",K1769="SAP",K1769="Network"),P1769=""),"Add Correlation ID",IF(AND(I1769="Fail",T1769=""),"Write Root Cause / evidence gap",IF(AND(I1769="Fail",V1769=""),"Assign team","OK"))))))))</f>
        <v/>
      </c>
    </row>
    <row r="1770">
      <c r="A1770" s="5" t="n"/>
      <c r="B1770" s="5" t="n"/>
      <c r="C1770" s="5" t="n"/>
      <c r="D1770" s="5" t="n"/>
      <c r="E1770" s="5" t="n"/>
      <c r="F1770" s="5" t="n"/>
      <c r="G1770" s="5" t="n"/>
      <c r="H1770" s="5" t="n"/>
      <c r="I1770" s="5" t="n"/>
      <c r="J1770" s="5" t="n"/>
      <c r="K1770" s="5" t="n"/>
      <c r="L1770" s="5" t="n"/>
      <c r="M1770" s="5" t="n"/>
      <c r="N1770" s="5" t="n"/>
      <c r="O1770" s="5" t="n"/>
      <c r="P1770" s="5" t="n"/>
      <c r="Q1770" s="5" t="n"/>
      <c r="R1770" s="5" t="n"/>
      <c r="S1770" s="5" t="n"/>
      <c r="T1770" s="5" t="n"/>
      <c r="U1770" s="5" t="n"/>
      <c r="V1770" s="5" t="n"/>
      <c r="W1770" s="5" t="n"/>
      <c r="X1770" s="5" t="n"/>
      <c r="Y1770" s="5">
        <f>IF(I1770="","",IF(AND(I1770="Fail",K1770=""),"Classify Issue Source",IF(AND(I1770="Fail",W1770=""),"Set Confidence",IF(AND(K1770="Unknown",W1770&lt;&gt;"Low"),"Unknown must be Low confidence",IF(AND(OR(K1770="Backend",K1770="SAP"),N1770=""),"Add HTTP status + endpoint",IF(AND(OR(K1770="Backend",K1770="SAP",K1770="Network"),P1770=""),"Add Correlation ID",IF(AND(I1770="Fail",T1770=""),"Write Root Cause / evidence gap",IF(AND(I1770="Fail",V1770=""),"Assign team","OK"))))))))</f>
        <v/>
      </c>
    </row>
    <row r="1771">
      <c r="A1771" s="5" t="n"/>
      <c r="B1771" s="5" t="n"/>
      <c r="C1771" s="5" t="n"/>
      <c r="D1771" s="5" t="n"/>
      <c r="E1771" s="5" t="n"/>
      <c r="F1771" s="5" t="n"/>
      <c r="G1771" s="5" t="n"/>
      <c r="H1771" s="5" t="n"/>
      <c r="I1771" s="5" t="n"/>
      <c r="J1771" s="5" t="n"/>
      <c r="K1771" s="5" t="n"/>
      <c r="L1771" s="5" t="n"/>
      <c r="M1771" s="5" t="n"/>
      <c r="N1771" s="5" t="n"/>
      <c r="O1771" s="5" t="n"/>
      <c r="P1771" s="5" t="n"/>
      <c r="Q1771" s="5" t="n"/>
      <c r="R1771" s="5" t="n"/>
      <c r="S1771" s="5" t="n"/>
      <c r="T1771" s="5" t="n"/>
      <c r="U1771" s="5" t="n"/>
      <c r="V1771" s="5" t="n"/>
      <c r="W1771" s="5" t="n"/>
      <c r="X1771" s="5" t="n"/>
      <c r="Y1771" s="5">
        <f>IF(I1771="","",IF(AND(I1771="Fail",K1771=""),"Classify Issue Source",IF(AND(I1771="Fail",W1771=""),"Set Confidence",IF(AND(K1771="Unknown",W1771&lt;&gt;"Low"),"Unknown must be Low confidence",IF(AND(OR(K1771="Backend",K1771="SAP"),N1771=""),"Add HTTP status + endpoint",IF(AND(OR(K1771="Backend",K1771="SAP",K1771="Network"),P1771=""),"Add Correlation ID",IF(AND(I1771="Fail",T1771=""),"Write Root Cause / evidence gap",IF(AND(I1771="Fail",V1771=""),"Assign team","OK"))))))))</f>
        <v/>
      </c>
    </row>
    <row r="1772">
      <c r="A1772" s="5" t="n"/>
      <c r="B1772" s="5" t="n"/>
      <c r="C1772" s="5" t="n"/>
      <c r="D1772" s="5" t="n"/>
      <c r="E1772" s="5" t="n"/>
      <c r="F1772" s="5" t="n"/>
      <c r="G1772" s="5" t="n"/>
      <c r="H1772" s="5" t="n"/>
      <c r="I1772" s="5" t="n"/>
      <c r="J1772" s="5" t="n"/>
      <c r="K1772" s="5" t="n"/>
      <c r="L1772" s="5" t="n"/>
      <c r="M1772" s="5" t="n"/>
      <c r="N1772" s="5" t="n"/>
      <c r="O1772" s="5" t="n"/>
      <c r="P1772" s="5" t="n"/>
      <c r="Q1772" s="5" t="n"/>
      <c r="R1772" s="5" t="n"/>
      <c r="S1772" s="5" t="n"/>
      <c r="T1772" s="5" t="n"/>
      <c r="U1772" s="5" t="n"/>
      <c r="V1772" s="5" t="n"/>
      <c r="W1772" s="5" t="n"/>
      <c r="X1772" s="5" t="n"/>
      <c r="Y1772" s="5">
        <f>IF(I1772="","",IF(AND(I1772="Fail",K1772=""),"Classify Issue Source",IF(AND(I1772="Fail",W1772=""),"Set Confidence",IF(AND(K1772="Unknown",W1772&lt;&gt;"Low"),"Unknown must be Low confidence",IF(AND(OR(K1772="Backend",K1772="SAP"),N1772=""),"Add HTTP status + endpoint",IF(AND(OR(K1772="Backend",K1772="SAP",K1772="Network"),P1772=""),"Add Correlation ID",IF(AND(I1772="Fail",T1772=""),"Write Root Cause / evidence gap",IF(AND(I1772="Fail",V1772=""),"Assign team","OK"))))))))</f>
        <v/>
      </c>
    </row>
    <row r="1773">
      <c r="A1773" s="5" t="n"/>
      <c r="B1773" s="5" t="n"/>
      <c r="C1773" s="5" t="n"/>
      <c r="D1773" s="5" t="n"/>
      <c r="E1773" s="5" t="n"/>
      <c r="F1773" s="5" t="n"/>
      <c r="G1773" s="5" t="n"/>
      <c r="H1773" s="5" t="n"/>
      <c r="I1773" s="5" t="n"/>
      <c r="J1773" s="5" t="n"/>
      <c r="K1773" s="5" t="n"/>
      <c r="L1773" s="5" t="n"/>
      <c r="M1773" s="5" t="n"/>
      <c r="N1773" s="5" t="n"/>
      <c r="O1773" s="5" t="n"/>
      <c r="P1773" s="5" t="n"/>
      <c r="Q1773" s="5" t="n"/>
      <c r="R1773" s="5" t="n"/>
      <c r="S1773" s="5" t="n"/>
      <c r="T1773" s="5" t="n"/>
      <c r="U1773" s="5" t="n"/>
      <c r="V1773" s="5" t="n"/>
      <c r="W1773" s="5" t="n"/>
      <c r="X1773" s="5" t="n"/>
      <c r="Y1773" s="5">
        <f>IF(I1773="","",IF(AND(I1773="Fail",K1773=""),"Classify Issue Source",IF(AND(I1773="Fail",W1773=""),"Set Confidence",IF(AND(K1773="Unknown",W1773&lt;&gt;"Low"),"Unknown must be Low confidence",IF(AND(OR(K1773="Backend",K1773="SAP"),N1773=""),"Add HTTP status + endpoint",IF(AND(OR(K1773="Backend",K1773="SAP",K1773="Network"),P1773=""),"Add Correlation ID",IF(AND(I1773="Fail",T1773=""),"Write Root Cause / evidence gap",IF(AND(I1773="Fail",V1773=""),"Assign team","OK"))))))))</f>
        <v/>
      </c>
    </row>
    <row r="1774">
      <c r="A1774" s="5" t="n"/>
      <c r="B1774" s="5" t="n"/>
      <c r="C1774" s="5" t="n"/>
      <c r="D1774" s="5" t="n"/>
      <c r="E1774" s="5" t="n"/>
      <c r="F1774" s="5" t="n"/>
      <c r="G1774" s="5" t="n"/>
      <c r="H1774" s="5" t="n"/>
      <c r="I1774" s="5" t="n"/>
      <c r="J1774" s="5" t="n"/>
      <c r="K1774" s="5" t="n"/>
      <c r="L1774" s="5" t="n"/>
      <c r="M1774" s="5" t="n"/>
      <c r="N1774" s="5" t="n"/>
      <c r="O1774" s="5" t="n"/>
      <c r="P1774" s="5" t="n"/>
      <c r="Q1774" s="5" t="n"/>
      <c r="R1774" s="5" t="n"/>
      <c r="S1774" s="5" t="n"/>
      <c r="T1774" s="5" t="n"/>
      <c r="U1774" s="5" t="n"/>
      <c r="V1774" s="5" t="n"/>
      <c r="W1774" s="5" t="n"/>
      <c r="X1774" s="5" t="n"/>
      <c r="Y1774" s="5">
        <f>IF(I1774="","",IF(AND(I1774="Fail",K1774=""),"Classify Issue Source",IF(AND(I1774="Fail",W1774=""),"Set Confidence",IF(AND(K1774="Unknown",W1774&lt;&gt;"Low"),"Unknown must be Low confidence",IF(AND(OR(K1774="Backend",K1774="SAP"),N1774=""),"Add HTTP status + endpoint",IF(AND(OR(K1774="Backend",K1774="SAP",K1774="Network"),P1774=""),"Add Correlation ID",IF(AND(I1774="Fail",T1774=""),"Write Root Cause / evidence gap",IF(AND(I1774="Fail",V1774=""),"Assign team","OK"))))))))</f>
        <v/>
      </c>
    </row>
    <row r="1775">
      <c r="A1775" s="5" t="n"/>
      <c r="B1775" s="5" t="n"/>
      <c r="C1775" s="5" t="n"/>
      <c r="D1775" s="5" t="n"/>
      <c r="E1775" s="5" t="n"/>
      <c r="F1775" s="5" t="n"/>
      <c r="G1775" s="5" t="n"/>
      <c r="H1775" s="5" t="n"/>
      <c r="I1775" s="5" t="n"/>
      <c r="J1775" s="5" t="n"/>
      <c r="K1775" s="5" t="n"/>
      <c r="L1775" s="5" t="n"/>
      <c r="M1775" s="5" t="n"/>
      <c r="N1775" s="5" t="n"/>
      <c r="O1775" s="5" t="n"/>
      <c r="P1775" s="5" t="n"/>
      <c r="Q1775" s="5" t="n"/>
      <c r="R1775" s="5" t="n"/>
      <c r="S1775" s="5" t="n"/>
      <c r="T1775" s="5" t="n"/>
      <c r="U1775" s="5" t="n"/>
      <c r="V1775" s="5" t="n"/>
      <c r="W1775" s="5" t="n"/>
      <c r="X1775" s="5" t="n"/>
      <c r="Y1775" s="5">
        <f>IF(I1775="","",IF(AND(I1775="Fail",K1775=""),"Classify Issue Source",IF(AND(I1775="Fail",W1775=""),"Set Confidence",IF(AND(K1775="Unknown",W1775&lt;&gt;"Low"),"Unknown must be Low confidence",IF(AND(OR(K1775="Backend",K1775="SAP"),N1775=""),"Add HTTP status + endpoint",IF(AND(OR(K1775="Backend",K1775="SAP",K1775="Network"),P1775=""),"Add Correlation ID",IF(AND(I1775="Fail",T1775=""),"Write Root Cause / evidence gap",IF(AND(I1775="Fail",V1775=""),"Assign team","OK"))))))))</f>
        <v/>
      </c>
    </row>
    <row r="1776">
      <c r="A1776" s="5" t="n"/>
      <c r="B1776" s="5" t="n"/>
      <c r="C1776" s="5" t="n"/>
      <c r="D1776" s="5" t="n"/>
      <c r="E1776" s="5" t="n"/>
      <c r="F1776" s="5" t="n"/>
      <c r="G1776" s="5" t="n"/>
      <c r="H1776" s="5" t="n"/>
      <c r="I1776" s="5" t="n"/>
      <c r="J1776" s="5" t="n"/>
      <c r="K1776" s="5" t="n"/>
      <c r="L1776" s="5" t="n"/>
      <c r="M1776" s="5" t="n"/>
      <c r="N1776" s="5" t="n"/>
      <c r="O1776" s="5" t="n"/>
      <c r="P1776" s="5" t="n"/>
      <c r="Q1776" s="5" t="n"/>
      <c r="R1776" s="5" t="n"/>
      <c r="S1776" s="5" t="n"/>
      <c r="T1776" s="5" t="n"/>
      <c r="U1776" s="5" t="n"/>
      <c r="V1776" s="5" t="n"/>
      <c r="W1776" s="5" t="n"/>
      <c r="X1776" s="5" t="n"/>
      <c r="Y1776" s="5">
        <f>IF(I1776="","",IF(AND(I1776="Fail",K1776=""),"Classify Issue Source",IF(AND(I1776="Fail",W1776=""),"Set Confidence",IF(AND(K1776="Unknown",W1776&lt;&gt;"Low"),"Unknown must be Low confidence",IF(AND(OR(K1776="Backend",K1776="SAP"),N1776=""),"Add HTTP status + endpoint",IF(AND(OR(K1776="Backend",K1776="SAP",K1776="Network"),P1776=""),"Add Correlation ID",IF(AND(I1776="Fail",T1776=""),"Write Root Cause / evidence gap",IF(AND(I1776="Fail",V1776=""),"Assign team","OK"))))))))</f>
        <v/>
      </c>
    </row>
    <row r="1777">
      <c r="A1777" s="5" t="n"/>
      <c r="B1777" s="5" t="n"/>
      <c r="C1777" s="5" t="n"/>
      <c r="D1777" s="5" t="n"/>
      <c r="E1777" s="5" t="n"/>
      <c r="F1777" s="5" t="n"/>
      <c r="G1777" s="5" t="n"/>
      <c r="H1777" s="5" t="n"/>
      <c r="I1777" s="5" t="n"/>
      <c r="J1777" s="5" t="n"/>
      <c r="K1777" s="5" t="n"/>
      <c r="L1777" s="5" t="n"/>
      <c r="M1777" s="5" t="n"/>
      <c r="N1777" s="5" t="n"/>
      <c r="O1777" s="5" t="n"/>
      <c r="P1777" s="5" t="n"/>
      <c r="Q1777" s="5" t="n"/>
      <c r="R1777" s="5" t="n"/>
      <c r="S1777" s="5" t="n"/>
      <c r="T1777" s="5" t="n"/>
      <c r="U1777" s="5" t="n"/>
      <c r="V1777" s="5" t="n"/>
      <c r="W1777" s="5" t="n"/>
      <c r="X1777" s="5" t="n"/>
      <c r="Y1777" s="5">
        <f>IF(I1777="","",IF(AND(I1777="Fail",K1777=""),"Classify Issue Source",IF(AND(I1777="Fail",W1777=""),"Set Confidence",IF(AND(K1777="Unknown",W1777&lt;&gt;"Low"),"Unknown must be Low confidence",IF(AND(OR(K1777="Backend",K1777="SAP"),N1777=""),"Add HTTP status + endpoint",IF(AND(OR(K1777="Backend",K1777="SAP",K1777="Network"),P1777=""),"Add Correlation ID",IF(AND(I1777="Fail",T1777=""),"Write Root Cause / evidence gap",IF(AND(I1777="Fail",V1777=""),"Assign team","OK"))))))))</f>
        <v/>
      </c>
    </row>
    <row r="1778">
      <c r="A1778" s="5" t="n"/>
      <c r="B1778" s="5" t="n"/>
      <c r="C1778" s="5" t="n"/>
      <c r="D1778" s="5" t="n"/>
      <c r="E1778" s="5" t="n"/>
      <c r="F1778" s="5" t="n"/>
      <c r="G1778" s="5" t="n"/>
      <c r="H1778" s="5" t="n"/>
      <c r="I1778" s="5" t="n"/>
      <c r="J1778" s="5" t="n"/>
      <c r="K1778" s="5" t="n"/>
      <c r="L1778" s="5" t="n"/>
      <c r="M1778" s="5" t="n"/>
      <c r="N1778" s="5" t="n"/>
      <c r="O1778" s="5" t="n"/>
      <c r="P1778" s="5" t="n"/>
      <c r="Q1778" s="5" t="n"/>
      <c r="R1778" s="5" t="n"/>
      <c r="S1778" s="5" t="n"/>
      <c r="T1778" s="5" t="n"/>
      <c r="U1778" s="5" t="n"/>
      <c r="V1778" s="5" t="n"/>
      <c r="W1778" s="5" t="n"/>
      <c r="X1778" s="5" t="n"/>
      <c r="Y1778" s="5">
        <f>IF(I1778="","",IF(AND(I1778="Fail",K1778=""),"Classify Issue Source",IF(AND(I1778="Fail",W1778=""),"Set Confidence",IF(AND(K1778="Unknown",W1778&lt;&gt;"Low"),"Unknown must be Low confidence",IF(AND(OR(K1778="Backend",K1778="SAP"),N1778=""),"Add HTTP status + endpoint",IF(AND(OR(K1778="Backend",K1778="SAP",K1778="Network"),P1778=""),"Add Correlation ID",IF(AND(I1778="Fail",T1778=""),"Write Root Cause / evidence gap",IF(AND(I1778="Fail",V1778=""),"Assign team","OK"))))))))</f>
        <v/>
      </c>
    </row>
    <row r="1779">
      <c r="A1779" s="5" t="n"/>
      <c r="B1779" s="5" t="n"/>
      <c r="C1779" s="5" t="n"/>
      <c r="D1779" s="5" t="n"/>
      <c r="E1779" s="5" t="n"/>
      <c r="F1779" s="5" t="n"/>
      <c r="G1779" s="5" t="n"/>
      <c r="H1779" s="5" t="n"/>
      <c r="I1779" s="5" t="n"/>
      <c r="J1779" s="5" t="n"/>
      <c r="K1779" s="5" t="n"/>
      <c r="L1779" s="5" t="n"/>
      <c r="M1779" s="5" t="n"/>
      <c r="N1779" s="5" t="n"/>
      <c r="O1779" s="5" t="n"/>
      <c r="P1779" s="5" t="n"/>
      <c r="Q1779" s="5" t="n"/>
      <c r="R1779" s="5" t="n"/>
      <c r="S1779" s="5" t="n"/>
      <c r="T1779" s="5" t="n"/>
      <c r="U1779" s="5" t="n"/>
      <c r="V1779" s="5" t="n"/>
      <c r="W1779" s="5" t="n"/>
      <c r="X1779" s="5" t="n"/>
      <c r="Y1779" s="5">
        <f>IF(I1779="","",IF(AND(I1779="Fail",K1779=""),"Classify Issue Source",IF(AND(I1779="Fail",W1779=""),"Set Confidence",IF(AND(K1779="Unknown",W1779&lt;&gt;"Low"),"Unknown must be Low confidence",IF(AND(OR(K1779="Backend",K1779="SAP"),N1779=""),"Add HTTP status + endpoint",IF(AND(OR(K1779="Backend",K1779="SAP",K1779="Network"),P1779=""),"Add Correlation ID",IF(AND(I1779="Fail",T1779=""),"Write Root Cause / evidence gap",IF(AND(I1779="Fail",V1779=""),"Assign team","OK"))))))))</f>
        <v/>
      </c>
    </row>
    <row r="1780">
      <c r="A1780" s="5" t="n"/>
      <c r="B1780" s="5" t="n"/>
      <c r="C1780" s="5" t="n"/>
      <c r="D1780" s="5" t="n"/>
      <c r="E1780" s="5" t="n"/>
      <c r="F1780" s="5" t="n"/>
      <c r="G1780" s="5" t="n"/>
      <c r="H1780" s="5" t="n"/>
      <c r="I1780" s="5" t="n"/>
      <c r="J1780" s="5" t="n"/>
      <c r="K1780" s="5" t="n"/>
      <c r="L1780" s="5" t="n"/>
      <c r="M1780" s="5" t="n"/>
      <c r="N1780" s="5" t="n"/>
      <c r="O1780" s="5" t="n"/>
      <c r="P1780" s="5" t="n"/>
      <c r="Q1780" s="5" t="n"/>
      <c r="R1780" s="5" t="n"/>
      <c r="S1780" s="5" t="n"/>
      <c r="T1780" s="5" t="n"/>
      <c r="U1780" s="5" t="n"/>
      <c r="V1780" s="5" t="n"/>
      <c r="W1780" s="5" t="n"/>
      <c r="X1780" s="5" t="n"/>
      <c r="Y1780" s="5">
        <f>IF(I1780="","",IF(AND(I1780="Fail",K1780=""),"Classify Issue Source",IF(AND(I1780="Fail",W1780=""),"Set Confidence",IF(AND(K1780="Unknown",W1780&lt;&gt;"Low"),"Unknown must be Low confidence",IF(AND(OR(K1780="Backend",K1780="SAP"),N1780=""),"Add HTTP status + endpoint",IF(AND(OR(K1780="Backend",K1780="SAP",K1780="Network"),P1780=""),"Add Correlation ID",IF(AND(I1780="Fail",T1780=""),"Write Root Cause / evidence gap",IF(AND(I1780="Fail",V1780=""),"Assign team","OK"))))))))</f>
        <v/>
      </c>
    </row>
    <row r="1781">
      <c r="A1781" s="5" t="n"/>
      <c r="B1781" s="5" t="n"/>
      <c r="C1781" s="5" t="n"/>
      <c r="D1781" s="5" t="n"/>
      <c r="E1781" s="5" t="n"/>
      <c r="F1781" s="5" t="n"/>
      <c r="G1781" s="5" t="n"/>
      <c r="H1781" s="5" t="n"/>
      <c r="I1781" s="5" t="n"/>
      <c r="J1781" s="5" t="n"/>
      <c r="K1781" s="5" t="n"/>
      <c r="L1781" s="5" t="n"/>
      <c r="M1781" s="5" t="n"/>
      <c r="N1781" s="5" t="n"/>
      <c r="O1781" s="5" t="n"/>
      <c r="P1781" s="5" t="n"/>
      <c r="Q1781" s="5" t="n"/>
      <c r="R1781" s="5" t="n"/>
      <c r="S1781" s="5" t="n"/>
      <c r="T1781" s="5" t="n"/>
      <c r="U1781" s="5" t="n"/>
      <c r="V1781" s="5" t="n"/>
      <c r="W1781" s="5" t="n"/>
      <c r="X1781" s="5" t="n"/>
      <c r="Y1781" s="5">
        <f>IF(I1781="","",IF(AND(I1781="Fail",K1781=""),"Classify Issue Source",IF(AND(I1781="Fail",W1781=""),"Set Confidence",IF(AND(K1781="Unknown",W1781&lt;&gt;"Low"),"Unknown must be Low confidence",IF(AND(OR(K1781="Backend",K1781="SAP"),N1781=""),"Add HTTP status + endpoint",IF(AND(OR(K1781="Backend",K1781="SAP",K1781="Network"),P1781=""),"Add Correlation ID",IF(AND(I1781="Fail",T1781=""),"Write Root Cause / evidence gap",IF(AND(I1781="Fail",V1781=""),"Assign team","OK"))))))))</f>
        <v/>
      </c>
    </row>
    <row r="1782">
      <c r="A1782" s="5" t="n"/>
      <c r="B1782" s="5" t="n"/>
      <c r="C1782" s="5" t="n"/>
      <c r="D1782" s="5" t="n"/>
      <c r="E1782" s="5" t="n"/>
      <c r="F1782" s="5" t="n"/>
      <c r="G1782" s="5" t="n"/>
      <c r="H1782" s="5" t="n"/>
      <c r="I1782" s="5" t="n"/>
      <c r="J1782" s="5" t="n"/>
      <c r="K1782" s="5" t="n"/>
      <c r="L1782" s="5" t="n"/>
      <c r="M1782" s="5" t="n"/>
      <c r="N1782" s="5" t="n"/>
      <c r="O1782" s="5" t="n"/>
      <c r="P1782" s="5" t="n"/>
      <c r="Q1782" s="5" t="n"/>
      <c r="R1782" s="5" t="n"/>
      <c r="S1782" s="5" t="n"/>
      <c r="T1782" s="5" t="n"/>
      <c r="U1782" s="5" t="n"/>
      <c r="V1782" s="5" t="n"/>
      <c r="W1782" s="5" t="n"/>
      <c r="X1782" s="5" t="n"/>
      <c r="Y1782" s="5">
        <f>IF(I1782="","",IF(AND(I1782="Fail",K1782=""),"Classify Issue Source",IF(AND(I1782="Fail",W1782=""),"Set Confidence",IF(AND(K1782="Unknown",W1782&lt;&gt;"Low"),"Unknown must be Low confidence",IF(AND(OR(K1782="Backend",K1782="SAP"),N1782=""),"Add HTTP status + endpoint",IF(AND(OR(K1782="Backend",K1782="SAP",K1782="Network"),P1782=""),"Add Correlation ID",IF(AND(I1782="Fail",T1782=""),"Write Root Cause / evidence gap",IF(AND(I1782="Fail",V1782=""),"Assign team","OK"))))))))</f>
        <v/>
      </c>
    </row>
    <row r="1783">
      <c r="A1783" s="5" t="n"/>
      <c r="B1783" s="5" t="n"/>
      <c r="C1783" s="5" t="n"/>
      <c r="D1783" s="5" t="n"/>
      <c r="E1783" s="5" t="n"/>
      <c r="F1783" s="5" t="n"/>
      <c r="G1783" s="5" t="n"/>
      <c r="H1783" s="5" t="n"/>
      <c r="I1783" s="5" t="n"/>
      <c r="J1783" s="5" t="n"/>
      <c r="K1783" s="5" t="n"/>
      <c r="L1783" s="5" t="n"/>
      <c r="M1783" s="5" t="n"/>
      <c r="N1783" s="5" t="n"/>
      <c r="O1783" s="5" t="n"/>
      <c r="P1783" s="5" t="n"/>
      <c r="Q1783" s="5" t="n"/>
      <c r="R1783" s="5" t="n"/>
      <c r="S1783" s="5" t="n"/>
      <c r="T1783" s="5" t="n"/>
      <c r="U1783" s="5" t="n"/>
      <c r="V1783" s="5" t="n"/>
      <c r="W1783" s="5" t="n"/>
      <c r="X1783" s="5" t="n"/>
      <c r="Y1783" s="5">
        <f>IF(I1783="","",IF(AND(I1783="Fail",K1783=""),"Classify Issue Source",IF(AND(I1783="Fail",W1783=""),"Set Confidence",IF(AND(K1783="Unknown",W1783&lt;&gt;"Low"),"Unknown must be Low confidence",IF(AND(OR(K1783="Backend",K1783="SAP"),N1783=""),"Add HTTP status + endpoint",IF(AND(OR(K1783="Backend",K1783="SAP",K1783="Network"),P1783=""),"Add Correlation ID",IF(AND(I1783="Fail",T1783=""),"Write Root Cause / evidence gap",IF(AND(I1783="Fail",V1783=""),"Assign team","OK"))))))))</f>
        <v/>
      </c>
    </row>
    <row r="1784">
      <c r="A1784" s="5" t="n"/>
      <c r="B1784" s="5" t="n"/>
      <c r="C1784" s="5" t="n"/>
      <c r="D1784" s="5" t="n"/>
      <c r="E1784" s="5" t="n"/>
      <c r="F1784" s="5" t="n"/>
      <c r="G1784" s="5" t="n"/>
      <c r="H1784" s="5" t="n"/>
      <c r="I1784" s="5" t="n"/>
      <c r="J1784" s="5" t="n"/>
      <c r="K1784" s="5" t="n"/>
      <c r="L1784" s="5" t="n"/>
      <c r="M1784" s="5" t="n"/>
      <c r="N1784" s="5" t="n"/>
      <c r="O1784" s="5" t="n"/>
      <c r="P1784" s="5" t="n"/>
      <c r="Q1784" s="5" t="n"/>
      <c r="R1784" s="5" t="n"/>
      <c r="S1784" s="5" t="n"/>
      <c r="T1784" s="5" t="n"/>
      <c r="U1784" s="5" t="n"/>
      <c r="V1784" s="5" t="n"/>
      <c r="W1784" s="5" t="n"/>
      <c r="X1784" s="5" t="n"/>
      <c r="Y1784" s="5">
        <f>IF(I1784="","",IF(AND(I1784="Fail",K1784=""),"Classify Issue Source",IF(AND(I1784="Fail",W1784=""),"Set Confidence",IF(AND(K1784="Unknown",W1784&lt;&gt;"Low"),"Unknown must be Low confidence",IF(AND(OR(K1784="Backend",K1784="SAP"),N1784=""),"Add HTTP status + endpoint",IF(AND(OR(K1784="Backend",K1784="SAP",K1784="Network"),P1784=""),"Add Correlation ID",IF(AND(I1784="Fail",T1784=""),"Write Root Cause / evidence gap",IF(AND(I1784="Fail",V1784=""),"Assign team","OK"))))))))</f>
        <v/>
      </c>
    </row>
    <row r="1785">
      <c r="A1785" s="5" t="n"/>
      <c r="B1785" s="5" t="n"/>
      <c r="C1785" s="5" t="n"/>
      <c r="D1785" s="5" t="n"/>
      <c r="E1785" s="5" t="n"/>
      <c r="F1785" s="5" t="n"/>
      <c r="G1785" s="5" t="n"/>
      <c r="H1785" s="5" t="n"/>
      <c r="I1785" s="5" t="n"/>
      <c r="J1785" s="5" t="n"/>
      <c r="K1785" s="5" t="n"/>
      <c r="L1785" s="5" t="n"/>
      <c r="M1785" s="5" t="n"/>
      <c r="N1785" s="5" t="n"/>
      <c r="O1785" s="5" t="n"/>
      <c r="P1785" s="5" t="n"/>
      <c r="Q1785" s="5" t="n"/>
      <c r="R1785" s="5" t="n"/>
      <c r="S1785" s="5" t="n"/>
      <c r="T1785" s="5" t="n"/>
      <c r="U1785" s="5" t="n"/>
      <c r="V1785" s="5" t="n"/>
      <c r="W1785" s="5" t="n"/>
      <c r="X1785" s="5" t="n"/>
      <c r="Y1785" s="5">
        <f>IF(I1785="","",IF(AND(I1785="Fail",K1785=""),"Classify Issue Source",IF(AND(I1785="Fail",W1785=""),"Set Confidence",IF(AND(K1785="Unknown",W1785&lt;&gt;"Low"),"Unknown must be Low confidence",IF(AND(OR(K1785="Backend",K1785="SAP"),N1785=""),"Add HTTP status + endpoint",IF(AND(OR(K1785="Backend",K1785="SAP",K1785="Network"),P1785=""),"Add Correlation ID",IF(AND(I1785="Fail",T1785=""),"Write Root Cause / evidence gap",IF(AND(I1785="Fail",V1785=""),"Assign team","OK"))))))))</f>
        <v/>
      </c>
    </row>
    <row r="1786">
      <c r="A1786" s="5" t="n"/>
      <c r="B1786" s="5" t="n"/>
      <c r="C1786" s="5" t="n"/>
      <c r="D1786" s="5" t="n"/>
      <c r="E1786" s="5" t="n"/>
      <c r="F1786" s="5" t="n"/>
      <c r="G1786" s="5" t="n"/>
      <c r="H1786" s="5" t="n"/>
      <c r="I1786" s="5" t="n"/>
      <c r="J1786" s="5" t="n"/>
      <c r="K1786" s="5" t="n"/>
      <c r="L1786" s="5" t="n"/>
      <c r="M1786" s="5" t="n"/>
      <c r="N1786" s="5" t="n"/>
      <c r="O1786" s="5" t="n"/>
      <c r="P1786" s="5" t="n"/>
      <c r="Q1786" s="5" t="n"/>
      <c r="R1786" s="5" t="n"/>
      <c r="S1786" s="5" t="n"/>
      <c r="T1786" s="5" t="n"/>
      <c r="U1786" s="5" t="n"/>
      <c r="V1786" s="5" t="n"/>
      <c r="W1786" s="5" t="n"/>
      <c r="X1786" s="5" t="n"/>
      <c r="Y1786" s="5">
        <f>IF(I1786="","",IF(AND(I1786="Fail",K1786=""),"Classify Issue Source",IF(AND(I1786="Fail",W1786=""),"Set Confidence",IF(AND(K1786="Unknown",W1786&lt;&gt;"Low"),"Unknown must be Low confidence",IF(AND(OR(K1786="Backend",K1786="SAP"),N1786=""),"Add HTTP status + endpoint",IF(AND(OR(K1786="Backend",K1786="SAP",K1786="Network"),P1786=""),"Add Correlation ID",IF(AND(I1786="Fail",T1786=""),"Write Root Cause / evidence gap",IF(AND(I1786="Fail",V1786=""),"Assign team","OK"))))))))</f>
        <v/>
      </c>
    </row>
    <row r="1787">
      <c r="A1787" s="5" t="n"/>
      <c r="B1787" s="5" t="n"/>
      <c r="C1787" s="5" t="n"/>
      <c r="D1787" s="5" t="n"/>
      <c r="E1787" s="5" t="n"/>
      <c r="F1787" s="5" t="n"/>
      <c r="G1787" s="5" t="n"/>
      <c r="H1787" s="5" t="n"/>
      <c r="I1787" s="5" t="n"/>
      <c r="J1787" s="5" t="n"/>
      <c r="K1787" s="5" t="n"/>
      <c r="L1787" s="5" t="n"/>
      <c r="M1787" s="5" t="n"/>
      <c r="N1787" s="5" t="n"/>
      <c r="O1787" s="5" t="n"/>
      <c r="P1787" s="5" t="n"/>
      <c r="Q1787" s="5" t="n"/>
      <c r="R1787" s="5" t="n"/>
      <c r="S1787" s="5" t="n"/>
      <c r="T1787" s="5" t="n"/>
      <c r="U1787" s="5" t="n"/>
      <c r="V1787" s="5" t="n"/>
      <c r="W1787" s="5" t="n"/>
      <c r="X1787" s="5" t="n"/>
      <c r="Y1787" s="5">
        <f>IF(I1787="","",IF(AND(I1787="Fail",K1787=""),"Classify Issue Source",IF(AND(I1787="Fail",W1787=""),"Set Confidence",IF(AND(K1787="Unknown",W1787&lt;&gt;"Low"),"Unknown must be Low confidence",IF(AND(OR(K1787="Backend",K1787="SAP"),N1787=""),"Add HTTP status + endpoint",IF(AND(OR(K1787="Backend",K1787="SAP",K1787="Network"),P1787=""),"Add Correlation ID",IF(AND(I1787="Fail",T1787=""),"Write Root Cause / evidence gap",IF(AND(I1787="Fail",V1787=""),"Assign team","OK"))))))))</f>
        <v/>
      </c>
    </row>
    <row r="1788">
      <c r="A1788" s="5" t="n"/>
      <c r="B1788" s="5" t="n"/>
      <c r="C1788" s="5" t="n"/>
      <c r="D1788" s="5" t="n"/>
      <c r="E1788" s="5" t="n"/>
      <c r="F1788" s="5" t="n"/>
      <c r="G1788" s="5" t="n"/>
      <c r="H1788" s="5" t="n"/>
      <c r="I1788" s="5" t="n"/>
      <c r="J1788" s="5" t="n"/>
      <c r="K1788" s="5" t="n"/>
      <c r="L1788" s="5" t="n"/>
      <c r="M1788" s="5" t="n"/>
      <c r="N1788" s="5" t="n"/>
      <c r="O1788" s="5" t="n"/>
      <c r="P1788" s="5" t="n"/>
      <c r="Q1788" s="5" t="n"/>
      <c r="R1788" s="5" t="n"/>
      <c r="S1788" s="5" t="n"/>
      <c r="T1788" s="5" t="n"/>
      <c r="U1788" s="5" t="n"/>
      <c r="V1788" s="5" t="n"/>
      <c r="W1788" s="5" t="n"/>
      <c r="X1788" s="5" t="n"/>
      <c r="Y1788" s="5">
        <f>IF(I1788="","",IF(AND(I1788="Fail",K1788=""),"Classify Issue Source",IF(AND(I1788="Fail",W1788=""),"Set Confidence",IF(AND(K1788="Unknown",W1788&lt;&gt;"Low"),"Unknown must be Low confidence",IF(AND(OR(K1788="Backend",K1788="SAP"),N1788=""),"Add HTTP status + endpoint",IF(AND(OR(K1788="Backend",K1788="SAP",K1788="Network"),P1788=""),"Add Correlation ID",IF(AND(I1788="Fail",T1788=""),"Write Root Cause / evidence gap",IF(AND(I1788="Fail",V1788=""),"Assign team","OK"))))))))</f>
        <v/>
      </c>
    </row>
    <row r="1789">
      <c r="A1789" s="5" t="n"/>
      <c r="B1789" s="5" t="n"/>
      <c r="C1789" s="5" t="n"/>
      <c r="D1789" s="5" t="n"/>
      <c r="E1789" s="5" t="n"/>
      <c r="F1789" s="5" t="n"/>
      <c r="G1789" s="5" t="n"/>
      <c r="H1789" s="5" t="n"/>
      <c r="I1789" s="5" t="n"/>
      <c r="J1789" s="5" t="n"/>
      <c r="K1789" s="5" t="n"/>
      <c r="L1789" s="5" t="n"/>
      <c r="M1789" s="5" t="n"/>
      <c r="N1789" s="5" t="n"/>
      <c r="O1789" s="5" t="n"/>
      <c r="P1789" s="5" t="n"/>
      <c r="Q1789" s="5" t="n"/>
      <c r="R1789" s="5" t="n"/>
      <c r="S1789" s="5" t="n"/>
      <c r="T1789" s="5" t="n"/>
      <c r="U1789" s="5" t="n"/>
      <c r="V1789" s="5" t="n"/>
      <c r="W1789" s="5" t="n"/>
      <c r="X1789" s="5" t="n"/>
      <c r="Y1789" s="5">
        <f>IF(I1789="","",IF(AND(I1789="Fail",K1789=""),"Classify Issue Source",IF(AND(I1789="Fail",W1789=""),"Set Confidence",IF(AND(K1789="Unknown",W1789&lt;&gt;"Low"),"Unknown must be Low confidence",IF(AND(OR(K1789="Backend",K1789="SAP"),N1789=""),"Add HTTP status + endpoint",IF(AND(OR(K1789="Backend",K1789="SAP",K1789="Network"),P1789=""),"Add Correlation ID",IF(AND(I1789="Fail",T1789=""),"Write Root Cause / evidence gap",IF(AND(I1789="Fail",V1789=""),"Assign team","OK"))))))))</f>
        <v/>
      </c>
    </row>
    <row r="1790">
      <c r="A1790" s="5" t="n"/>
      <c r="B1790" s="5" t="n"/>
      <c r="C1790" s="5" t="n"/>
      <c r="D1790" s="5" t="n"/>
      <c r="E1790" s="5" t="n"/>
      <c r="F1790" s="5" t="n"/>
      <c r="G1790" s="5" t="n"/>
      <c r="H1790" s="5" t="n"/>
      <c r="I1790" s="5" t="n"/>
      <c r="J1790" s="5" t="n"/>
      <c r="K1790" s="5" t="n"/>
      <c r="L1790" s="5" t="n"/>
      <c r="M1790" s="5" t="n"/>
      <c r="N1790" s="5" t="n"/>
      <c r="O1790" s="5" t="n"/>
      <c r="P1790" s="5" t="n"/>
      <c r="Q1790" s="5" t="n"/>
      <c r="R1790" s="5" t="n"/>
      <c r="S1790" s="5" t="n"/>
      <c r="T1790" s="5" t="n"/>
      <c r="U1790" s="5" t="n"/>
      <c r="V1790" s="5" t="n"/>
      <c r="W1790" s="5" t="n"/>
      <c r="X1790" s="5" t="n"/>
      <c r="Y1790" s="5">
        <f>IF(I1790="","",IF(AND(I1790="Fail",K1790=""),"Classify Issue Source",IF(AND(I1790="Fail",W1790=""),"Set Confidence",IF(AND(K1790="Unknown",W1790&lt;&gt;"Low"),"Unknown must be Low confidence",IF(AND(OR(K1790="Backend",K1790="SAP"),N1790=""),"Add HTTP status + endpoint",IF(AND(OR(K1790="Backend",K1790="SAP",K1790="Network"),P1790=""),"Add Correlation ID",IF(AND(I1790="Fail",T1790=""),"Write Root Cause / evidence gap",IF(AND(I1790="Fail",V1790=""),"Assign team","OK"))))))))</f>
        <v/>
      </c>
    </row>
    <row r="1791">
      <c r="A1791" s="5" t="n"/>
      <c r="B1791" s="5" t="n"/>
      <c r="C1791" s="5" t="n"/>
      <c r="D1791" s="5" t="n"/>
      <c r="E1791" s="5" t="n"/>
      <c r="F1791" s="5" t="n"/>
      <c r="G1791" s="5" t="n"/>
      <c r="H1791" s="5" t="n"/>
      <c r="I1791" s="5" t="n"/>
      <c r="J1791" s="5" t="n"/>
      <c r="K1791" s="5" t="n"/>
      <c r="L1791" s="5" t="n"/>
      <c r="M1791" s="5" t="n"/>
      <c r="N1791" s="5" t="n"/>
      <c r="O1791" s="5" t="n"/>
      <c r="P1791" s="5" t="n"/>
      <c r="Q1791" s="5" t="n"/>
      <c r="R1791" s="5" t="n"/>
      <c r="S1791" s="5" t="n"/>
      <c r="T1791" s="5" t="n"/>
      <c r="U1791" s="5" t="n"/>
      <c r="V1791" s="5" t="n"/>
      <c r="W1791" s="5" t="n"/>
      <c r="X1791" s="5" t="n"/>
      <c r="Y1791" s="5">
        <f>IF(I1791="","",IF(AND(I1791="Fail",K1791=""),"Classify Issue Source",IF(AND(I1791="Fail",W1791=""),"Set Confidence",IF(AND(K1791="Unknown",W1791&lt;&gt;"Low"),"Unknown must be Low confidence",IF(AND(OR(K1791="Backend",K1791="SAP"),N1791=""),"Add HTTP status + endpoint",IF(AND(OR(K1791="Backend",K1791="SAP",K1791="Network"),P1791=""),"Add Correlation ID",IF(AND(I1791="Fail",T1791=""),"Write Root Cause / evidence gap",IF(AND(I1791="Fail",V1791=""),"Assign team","OK"))))))))</f>
        <v/>
      </c>
    </row>
    <row r="1792">
      <c r="A1792" s="5" t="n"/>
      <c r="B1792" s="5" t="n"/>
      <c r="C1792" s="5" t="n"/>
      <c r="D1792" s="5" t="n"/>
      <c r="E1792" s="5" t="n"/>
      <c r="F1792" s="5" t="n"/>
      <c r="G1792" s="5" t="n"/>
      <c r="H1792" s="5" t="n"/>
      <c r="I1792" s="5" t="n"/>
      <c r="J1792" s="5" t="n"/>
      <c r="K1792" s="5" t="n"/>
      <c r="L1792" s="5" t="n"/>
      <c r="M1792" s="5" t="n"/>
      <c r="N1792" s="5" t="n"/>
      <c r="O1792" s="5" t="n"/>
      <c r="P1792" s="5" t="n"/>
      <c r="Q1792" s="5" t="n"/>
      <c r="R1792" s="5" t="n"/>
      <c r="S1792" s="5" t="n"/>
      <c r="T1792" s="5" t="n"/>
      <c r="U1792" s="5" t="n"/>
      <c r="V1792" s="5" t="n"/>
      <c r="W1792" s="5" t="n"/>
      <c r="X1792" s="5" t="n"/>
      <c r="Y1792" s="5">
        <f>IF(I1792="","",IF(AND(I1792="Fail",K1792=""),"Classify Issue Source",IF(AND(I1792="Fail",W1792=""),"Set Confidence",IF(AND(K1792="Unknown",W1792&lt;&gt;"Low"),"Unknown must be Low confidence",IF(AND(OR(K1792="Backend",K1792="SAP"),N1792=""),"Add HTTP status + endpoint",IF(AND(OR(K1792="Backend",K1792="SAP",K1792="Network"),P1792=""),"Add Correlation ID",IF(AND(I1792="Fail",T1792=""),"Write Root Cause / evidence gap",IF(AND(I1792="Fail",V1792=""),"Assign team","OK"))))))))</f>
        <v/>
      </c>
    </row>
    <row r="1793">
      <c r="A1793" s="5" t="n"/>
      <c r="B1793" s="5" t="n"/>
      <c r="C1793" s="5" t="n"/>
      <c r="D1793" s="5" t="n"/>
      <c r="E1793" s="5" t="n"/>
      <c r="F1793" s="5" t="n"/>
      <c r="G1793" s="5" t="n"/>
      <c r="H1793" s="5" t="n"/>
      <c r="I1793" s="5" t="n"/>
      <c r="J1793" s="5" t="n"/>
      <c r="K1793" s="5" t="n"/>
      <c r="L1793" s="5" t="n"/>
      <c r="M1793" s="5" t="n"/>
      <c r="N1793" s="5" t="n"/>
      <c r="O1793" s="5" t="n"/>
      <c r="P1793" s="5" t="n"/>
      <c r="Q1793" s="5" t="n"/>
      <c r="R1793" s="5" t="n"/>
      <c r="S1793" s="5" t="n"/>
      <c r="T1793" s="5" t="n"/>
      <c r="U1793" s="5" t="n"/>
      <c r="V1793" s="5" t="n"/>
      <c r="W1793" s="5" t="n"/>
      <c r="X1793" s="5" t="n"/>
      <c r="Y1793" s="5">
        <f>IF(I1793="","",IF(AND(I1793="Fail",K1793=""),"Classify Issue Source",IF(AND(I1793="Fail",W1793=""),"Set Confidence",IF(AND(K1793="Unknown",W1793&lt;&gt;"Low"),"Unknown must be Low confidence",IF(AND(OR(K1793="Backend",K1793="SAP"),N1793=""),"Add HTTP status + endpoint",IF(AND(OR(K1793="Backend",K1793="SAP",K1793="Network"),P1793=""),"Add Correlation ID",IF(AND(I1793="Fail",T1793=""),"Write Root Cause / evidence gap",IF(AND(I1793="Fail",V1793=""),"Assign team","OK"))))))))</f>
        <v/>
      </c>
    </row>
    <row r="1794">
      <c r="A1794" s="5" t="n"/>
      <c r="B1794" s="5" t="n"/>
      <c r="C1794" s="5" t="n"/>
      <c r="D1794" s="5" t="n"/>
      <c r="E1794" s="5" t="n"/>
      <c r="F1794" s="5" t="n"/>
      <c r="G1794" s="5" t="n"/>
      <c r="H1794" s="5" t="n"/>
      <c r="I1794" s="5" t="n"/>
      <c r="J1794" s="5" t="n"/>
      <c r="K1794" s="5" t="n"/>
      <c r="L1794" s="5" t="n"/>
      <c r="M1794" s="5" t="n"/>
      <c r="N1794" s="5" t="n"/>
      <c r="O1794" s="5" t="n"/>
      <c r="P1794" s="5" t="n"/>
      <c r="Q1794" s="5" t="n"/>
      <c r="R1794" s="5" t="n"/>
      <c r="S1794" s="5" t="n"/>
      <c r="T1794" s="5" t="n"/>
      <c r="U1794" s="5" t="n"/>
      <c r="V1794" s="5" t="n"/>
      <c r="W1794" s="5" t="n"/>
      <c r="X1794" s="5" t="n"/>
      <c r="Y1794" s="5">
        <f>IF(I1794="","",IF(AND(I1794="Fail",K1794=""),"Classify Issue Source",IF(AND(I1794="Fail",W1794=""),"Set Confidence",IF(AND(K1794="Unknown",W1794&lt;&gt;"Low"),"Unknown must be Low confidence",IF(AND(OR(K1794="Backend",K1794="SAP"),N1794=""),"Add HTTP status + endpoint",IF(AND(OR(K1794="Backend",K1794="SAP",K1794="Network"),P1794=""),"Add Correlation ID",IF(AND(I1794="Fail",T1794=""),"Write Root Cause / evidence gap",IF(AND(I1794="Fail",V1794=""),"Assign team","OK"))))))))</f>
        <v/>
      </c>
    </row>
    <row r="1795">
      <c r="A1795" s="5" t="n"/>
      <c r="B1795" s="5" t="n"/>
      <c r="C1795" s="5" t="n"/>
      <c r="D1795" s="5" t="n"/>
      <c r="E1795" s="5" t="n"/>
      <c r="F1795" s="5" t="n"/>
      <c r="G1795" s="5" t="n"/>
      <c r="H1795" s="5" t="n"/>
      <c r="I1795" s="5" t="n"/>
      <c r="J1795" s="5" t="n"/>
      <c r="K1795" s="5" t="n"/>
      <c r="L1795" s="5" t="n"/>
      <c r="M1795" s="5" t="n"/>
      <c r="N1795" s="5" t="n"/>
      <c r="O1795" s="5" t="n"/>
      <c r="P1795" s="5" t="n"/>
      <c r="Q1795" s="5" t="n"/>
      <c r="R1795" s="5" t="n"/>
      <c r="S1795" s="5" t="n"/>
      <c r="T1795" s="5" t="n"/>
      <c r="U1795" s="5" t="n"/>
      <c r="V1795" s="5" t="n"/>
      <c r="W1795" s="5" t="n"/>
      <c r="X1795" s="5" t="n"/>
      <c r="Y1795" s="5">
        <f>IF(I1795="","",IF(AND(I1795="Fail",K1795=""),"Classify Issue Source",IF(AND(I1795="Fail",W1795=""),"Set Confidence",IF(AND(K1795="Unknown",W1795&lt;&gt;"Low"),"Unknown must be Low confidence",IF(AND(OR(K1795="Backend",K1795="SAP"),N1795=""),"Add HTTP status + endpoint",IF(AND(OR(K1795="Backend",K1795="SAP",K1795="Network"),P1795=""),"Add Correlation ID",IF(AND(I1795="Fail",T1795=""),"Write Root Cause / evidence gap",IF(AND(I1795="Fail",V1795=""),"Assign team","OK"))))))))</f>
        <v/>
      </c>
    </row>
    <row r="1796">
      <c r="A1796" s="5" t="n"/>
      <c r="B1796" s="5" t="n"/>
      <c r="C1796" s="5" t="n"/>
      <c r="D1796" s="5" t="n"/>
      <c r="E1796" s="5" t="n"/>
      <c r="F1796" s="5" t="n"/>
      <c r="G1796" s="5" t="n"/>
      <c r="H1796" s="5" t="n"/>
      <c r="I1796" s="5" t="n"/>
      <c r="J1796" s="5" t="n"/>
      <c r="K1796" s="5" t="n"/>
      <c r="L1796" s="5" t="n"/>
      <c r="M1796" s="5" t="n"/>
      <c r="N1796" s="5" t="n"/>
      <c r="O1796" s="5" t="n"/>
      <c r="P1796" s="5" t="n"/>
      <c r="Q1796" s="5" t="n"/>
      <c r="R1796" s="5" t="n"/>
      <c r="S1796" s="5" t="n"/>
      <c r="T1796" s="5" t="n"/>
      <c r="U1796" s="5" t="n"/>
      <c r="V1796" s="5" t="n"/>
      <c r="W1796" s="5" t="n"/>
      <c r="X1796" s="5" t="n"/>
      <c r="Y1796" s="5">
        <f>IF(I1796="","",IF(AND(I1796="Fail",K1796=""),"Classify Issue Source",IF(AND(I1796="Fail",W1796=""),"Set Confidence",IF(AND(K1796="Unknown",W1796&lt;&gt;"Low"),"Unknown must be Low confidence",IF(AND(OR(K1796="Backend",K1796="SAP"),N1796=""),"Add HTTP status + endpoint",IF(AND(OR(K1796="Backend",K1796="SAP",K1796="Network"),P1796=""),"Add Correlation ID",IF(AND(I1796="Fail",T1796=""),"Write Root Cause / evidence gap",IF(AND(I1796="Fail",V1796=""),"Assign team","OK"))))))))</f>
        <v/>
      </c>
    </row>
    <row r="1797">
      <c r="A1797" s="5" t="n"/>
      <c r="B1797" s="5" t="n"/>
      <c r="C1797" s="5" t="n"/>
      <c r="D1797" s="5" t="n"/>
      <c r="E1797" s="5" t="n"/>
      <c r="F1797" s="5" t="n"/>
      <c r="G1797" s="5" t="n"/>
      <c r="H1797" s="5" t="n"/>
      <c r="I1797" s="5" t="n"/>
      <c r="J1797" s="5" t="n"/>
      <c r="K1797" s="5" t="n"/>
      <c r="L1797" s="5" t="n"/>
      <c r="M1797" s="5" t="n"/>
      <c r="N1797" s="5" t="n"/>
      <c r="O1797" s="5" t="n"/>
      <c r="P1797" s="5" t="n"/>
      <c r="Q1797" s="5" t="n"/>
      <c r="R1797" s="5" t="n"/>
      <c r="S1797" s="5" t="n"/>
      <c r="T1797" s="5" t="n"/>
      <c r="U1797" s="5" t="n"/>
      <c r="V1797" s="5" t="n"/>
      <c r="W1797" s="5" t="n"/>
      <c r="X1797" s="5" t="n"/>
      <c r="Y1797" s="5">
        <f>IF(I1797="","",IF(AND(I1797="Fail",K1797=""),"Classify Issue Source",IF(AND(I1797="Fail",W1797=""),"Set Confidence",IF(AND(K1797="Unknown",W1797&lt;&gt;"Low"),"Unknown must be Low confidence",IF(AND(OR(K1797="Backend",K1797="SAP"),N1797=""),"Add HTTP status + endpoint",IF(AND(OR(K1797="Backend",K1797="SAP",K1797="Network"),P1797=""),"Add Correlation ID",IF(AND(I1797="Fail",T1797=""),"Write Root Cause / evidence gap",IF(AND(I1797="Fail",V1797=""),"Assign team","OK"))))))))</f>
        <v/>
      </c>
    </row>
    <row r="1798">
      <c r="A1798" s="5" t="n"/>
      <c r="B1798" s="5" t="n"/>
      <c r="C1798" s="5" t="n"/>
      <c r="D1798" s="5" t="n"/>
      <c r="E1798" s="5" t="n"/>
      <c r="F1798" s="5" t="n"/>
      <c r="G1798" s="5" t="n"/>
      <c r="H1798" s="5" t="n"/>
      <c r="I1798" s="5" t="n"/>
      <c r="J1798" s="5" t="n"/>
      <c r="K1798" s="5" t="n"/>
      <c r="L1798" s="5" t="n"/>
      <c r="M1798" s="5" t="n"/>
      <c r="N1798" s="5" t="n"/>
      <c r="O1798" s="5" t="n"/>
      <c r="P1798" s="5" t="n"/>
      <c r="Q1798" s="5" t="n"/>
      <c r="R1798" s="5" t="n"/>
      <c r="S1798" s="5" t="n"/>
      <c r="T1798" s="5" t="n"/>
      <c r="U1798" s="5" t="n"/>
      <c r="V1798" s="5" t="n"/>
      <c r="W1798" s="5" t="n"/>
      <c r="X1798" s="5" t="n"/>
      <c r="Y1798" s="5">
        <f>IF(I1798="","",IF(AND(I1798="Fail",K1798=""),"Classify Issue Source",IF(AND(I1798="Fail",W1798=""),"Set Confidence",IF(AND(K1798="Unknown",W1798&lt;&gt;"Low"),"Unknown must be Low confidence",IF(AND(OR(K1798="Backend",K1798="SAP"),N1798=""),"Add HTTP status + endpoint",IF(AND(OR(K1798="Backend",K1798="SAP",K1798="Network"),P1798=""),"Add Correlation ID",IF(AND(I1798="Fail",T1798=""),"Write Root Cause / evidence gap",IF(AND(I1798="Fail",V1798=""),"Assign team","OK"))))))))</f>
        <v/>
      </c>
    </row>
    <row r="1799">
      <c r="A1799" s="5" t="n"/>
      <c r="B1799" s="5" t="n"/>
      <c r="C1799" s="5" t="n"/>
      <c r="D1799" s="5" t="n"/>
      <c r="E1799" s="5" t="n"/>
      <c r="F1799" s="5" t="n"/>
      <c r="G1799" s="5" t="n"/>
      <c r="H1799" s="5" t="n"/>
      <c r="I1799" s="5" t="n"/>
      <c r="J1799" s="5" t="n"/>
      <c r="K1799" s="5" t="n"/>
      <c r="L1799" s="5" t="n"/>
      <c r="M1799" s="5" t="n"/>
      <c r="N1799" s="5" t="n"/>
      <c r="O1799" s="5" t="n"/>
      <c r="P1799" s="5" t="n"/>
      <c r="Q1799" s="5" t="n"/>
      <c r="R1799" s="5" t="n"/>
      <c r="S1799" s="5" t="n"/>
      <c r="T1799" s="5" t="n"/>
      <c r="U1799" s="5" t="n"/>
      <c r="V1799" s="5" t="n"/>
      <c r="W1799" s="5" t="n"/>
      <c r="X1799" s="5" t="n"/>
      <c r="Y1799" s="5">
        <f>IF(I1799="","",IF(AND(I1799="Fail",K1799=""),"Classify Issue Source",IF(AND(I1799="Fail",W1799=""),"Set Confidence",IF(AND(K1799="Unknown",W1799&lt;&gt;"Low"),"Unknown must be Low confidence",IF(AND(OR(K1799="Backend",K1799="SAP"),N1799=""),"Add HTTP status + endpoint",IF(AND(OR(K1799="Backend",K1799="SAP",K1799="Network"),P1799=""),"Add Correlation ID",IF(AND(I1799="Fail",T1799=""),"Write Root Cause / evidence gap",IF(AND(I1799="Fail",V1799=""),"Assign team","OK"))))))))</f>
        <v/>
      </c>
    </row>
    <row r="1800">
      <c r="A1800" s="5" t="n"/>
      <c r="B1800" s="5" t="n"/>
      <c r="C1800" s="5" t="n"/>
      <c r="D1800" s="5" t="n"/>
      <c r="E1800" s="5" t="n"/>
      <c r="F1800" s="5" t="n"/>
      <c r="G1800" s="5" t="n"/>
      <c r="H1800" s="5" t="n"/>
      <c r="I1800" s="5" t="n"/>
      <c r="J1800" s="5" t="n"/>
      <c r="K1800" s="5" t="n"/>
      <c r="L1800" s="5" t="n"/>
      <c r="M1800" s="5" t="n"/>
      <c r="N1800" s="5" t="n"/>
      <c r="O1800" s="5" t="n"/>
      <c r="P1800" s="5" t="n"/>
      <c r="Q1800" s="5" t="n"/>
      <c r="R1800" s="5" t="n"/>
      <c r="S1800" s="5" t="n"/>
      <c r="T1800" s="5" t="n"/>
      <c r="U1800" s="5" t="n"/>
      <c r="V1800" s="5" t="n"/>
      <c r="W1800" s="5" t="n"/>
      <c r="X1800" s="5" t="n"/>
      <c r="Y1800" s="5">
        <f>IF(I1800="","",IF(AND(I1800="Fail",K1800=""),"Classify Issue Source",IF(AND(I1800="Fail",W1800=""),"Set Confidence",IF(AND(K1800="Unknown",W1800&lt;&gt;"Low"),"Unknown must be Low confidence",IF(AND(OR(K1800="Backend",K1800="SAP"),N1800=""),"Add HTTP status + endpoint",IF(AND(OR(K1800="Backend",K1800="SAP",K1800="Network"),P1800=""),"Add Correlation ID",IF(AND(I1800="Fail",T1800=""),"Write Root Cause / evidence gap",IF(AND(I1800="Fail",V1800=""),"Assign team","OK"))))))))</f>
        <v/>
      </c>
    </row>
    <row r="1801">
      <c r="A1801" s="5" t="n"/>
      <c r="B1801" s="5" t="n"/>
      <c r="C1801" s="5" t="n"/>
      <c r="D1801" s="5" t="n"/>
      <c r="E1801" s="5" t="n"/>
      <c r="F1801" s="5" t="n"/>
      <c r="G1801" s="5" t="n"/>
      <c r="H1801" s="5" t="n"/>
      <c r="I1801" s="5" t="n"/>
      <c r="J1801" s="5" t="n"/>
      <c r="K1801" s="5" t="n"/>
      <c r="L1801" s="5" t="n"/>
      <c r="M1801" s="5" t="n"/>
      <c r="N1801" s="5" t="n"/>
      <c r="O1801" s="5" t="n"/>
      <c r="P1801" s="5" t="n"/>
      <c r="Q1801" s="5" t="n"/>
      <c r="R1801" s="5" t="n"/>
      <c r="S1801" s="5" t="n"/>
      <c r="T1801" s="5" t="n"/>
      <c r="U1801" s="5" t="n"/>
      <c r="V1801" s="5" t="n"/>
      <c r="W1801" s="5" t="n"/>
      <c r="X1801" s="5" t="n"/>
      <c r="Y1801" s="5">
        <f>IF(I1801="","",IF(AND(I1801="Fail",K1801=""),"Classify Issue Source",IF(AND(I1801="Fail",W1801=""),"Set Confidence",IF(AND(K1801="Unknown",W1801&lt;&gt;"Low"),"Unknown must be Low confidence",IF(AND(OR(K1801="Backend",K1801="SAP"),N1801=""),"Add HTTP status + endpoint",IF(AND(OR(K1801="Backend",K1801="SAP",K1801="Network"),P1801=""),"Add Correlation ID",IF(AND(I1801="Fail",T1801=""),"Write Root Cause / evidence gap",IF(AND(I1801="Fail",V1801=""),"Assign team","OK"))))))))</f>
        <v/>
      </c>
    </row>
    <row r="1802">
      <c r="A1802" s="5" t="n"/>
      <c r="B1802" s="5" t="n"/>
      <c r="C1802" s="5" t="n"/>
      <c r="D1802" s="5" t="n"/>
      <c r="E1802" s="5" t="n"/>
      <c r="F1802" s="5" t="n"/>
      <c r="G1802" s="5" t="n"/>
      <c r="H1802" s="5" t="n"/>
      <c r="I1802" s="5" t="n"/>
      <c r="J1802" s="5" t="n"/>
      <c r="K1802" s="5" t="n"/>
      <c r="L1802" s="5" t="n"/>
      <c r="M1802" s="5" t="n"/>
      <c r="N1802" s="5" t="n"/>
      <c r="O1802" s="5" t="n"/>
      <c r="P1802" s="5" t="n"/>
      <c r="Q1802" s="5" t="n"/>
      <c r="R1802" s="5" t="n"/>
      <c r="S1802" s="5" t="n"/>
      <c r="T1802" s="5" t="n"/>
      <c r="U1802" s="5" t="n"/>
      <c r="V1802" s="5" t="n"/>
      <c r="W1802" s="5" t="n"/>
      <c r="X1802" s="5" t="n"/>
      <c r="Y1802" s="5">
        <f>IF(I1802="","",IF(AND(I1802="Fail",K1802=""),"Classify Issue Source",IF(AND(I1802="Fail",W1802=""),"Set Confidence",IF(AND(K1802="Unknown",W1802&lt;&gt;"Low"),"Unknown must be Low confidence",IF(AND(OR(K1802="Backend",K1802="SAP"),N1802=""),"Add HTTP status + endpoint",IF(AND(OR(K1802="Backend",K1802="SAP",K1802="Network"),P1802=""),"Add Correlation ID",IF(AND(I1802="Fail",T1802=""),"Write Root Cause / evidence gap",IF(AND(I1802="Fail",V1802=""),"Assign team","OK"))))))))</f>
        <v/>
      </c>
    </row>
    <row r="1803">
      <c r="A1803" s="5" t="n"/>
      <c r="B1803" s="5" t="n"/>
      <c r="C1803" s="5" t="n"/>
      <c r="D1803" s="5" t="n"/>
      <c r="E1803" s="5" t="n"/>
      <c r="F1803" s="5" t="n"/>
      <c r="G1803" s="5" t="n"/>
      <c r="H1803" s="5" t="n"/>
      <c r="I1803" s="5" t="n"/>
      <c r="J1803" s="5" t="n"/>
      <c r="K1803" s="5" t="n"/>
      <c r="L1803" s="5" t="n"/>
      <c r="M1803" s="5" t="n"/>
      <c r="N1803" s="5" t="n"/>
      <c r="O1803" s="5" t="n"/>
      <c r="P1803" s="5" t="n"/>
      <c r="Q1803" s="5" t="n"/>
      <c r="R1803" s="5" t="n"/>
      <c r="S1803" s="5" t="n"/>
      <c r="T1803" s="5" t="n"/>
      <c r="U1803" s="5" t="n"/>
      <c r="V1803" s="5" t="n"/>
      <c r="W1803" s="5" t="n"/>
      <c r="X1803" s="5" t="n"/>
      <c r="Y1803" s="5">
        <f>IF(I1803="","",IF(AND(I1803="Fail",K1803=""),"Classify Issue Source",IF(AND(I1803="Fail",W1803=""),"Set Confidence",IF(AND(K1803="Unknown",W1803&lt;&gt;"Low"),"Unknown must be Low confidence",IF(AND(OR(K1803="Backend",K1803="SAP"),N1803=""),"Add HTTP status + endpoint",IF(AND(OR(K1803="Backend",K1803="SAP",K1803="Network"),P1803=""),"Add Correlation ID",IF(AND(I1803="Fail",T1803=""),"Write Root Cause / evidence gap",IF(AND(I1803="Fail",V1803=""),"Assign team","OK"))))))))</f>
        <v/>
      </c>
    </row>
    <row r="1804">
      <c r="A1804" s="5" t="n"/>
      <c r="B1804" s="5" t="n"/>
      <c r="C1804" s="5" t="n"/>
      <c r="D1804" s="5" t="n"/>
      <c r="E1804" s="5" t="n"/>
      <c r="F1804" s="5" t="n"/>
      <c r="G1804" s="5" t="n"/>
      <c r="H1804" s="5" t="n"/>
      <c r="I1804" s="5" t="n"/>
      <c r="J1804" s="5" t="n"/>
      <c r="K1804" s="5" t="n"/>
      <c r="L1804" s="5" t="n"/>
      <c r="M1804" s="5" t="n"/>
      <c r="N1804" s="5" t="n"/>
      <c r="O1804" s="5" t="n"/>
      <c r="P1804" s="5" t="n"/>
      <c r="Q1804" s="5" t="n"/>
      <c r="R1804" s="5" t="n"/>
      <c r="S1804" s="5" t="n"/>
      <c r="T1804" s="5" t="n"/>
      <c r="U1804" s="5" t="n"/>
      <c r="V1804" s="5" t="n"/>
      <c r="W1804" s="5" t="n"/>
      <c r="X1804" s="5" t="n"/>
      <c r="Y1804" s="5">
        <f>IF(I1804="","",IF(AND(I1804="Fail",K1804=""),"Classify Issue Source",IF(AND(I1804="Fail",W1804=""),"Set Confidence",IF(AND(K1804="Unknown",W1804&lt;&gt;"Low"),"Unknown must be Low confidence",IF(AND(OR(K1804="Backend",K1804="SAP"),N1804=""),"Add HTTP status + endpoint",IF(AND(OR(K1804="Backend",K1804="SAP",K1804="Network"),P1804=""),"Add Correlation ID",IF(AND(I1804="Fail",T1804=""),"Write Root Cause / evidence gap",IF(AND(I1804="Fail",V1804=""),"Assign team","OK"))))))))</f>
        <v/>
      </c>
    </row>
    <row r="1805">
      <c r="A1805" s="5" t="n"/>
      <c r="B1805" s="5" t="n"/>
      <c r="C1805" s="5" t="n"/>
      <c r="D1805" s="5" t="n"/>
      <c r="E1805" s="5" t="n"/>
      <c r="F1805" s="5" t="n"/>
      <c r="G1805" s="5" t="n"/>
      <c r="H1805" s="5" t="n"/>
      <c r="I1805" s="5" t="n"/>
      <c r="J1805" s="5" t="n"/>
      <c r="K1805" s="5" t="n"/>
      <c r="L1805" s="5" t="n"/>
      <c r="M1805" s="5" t="n"/>
      <c r="N1805" s="5" t="n"/>
      <c r="O1805" s="5" t="n"/>
      <c r="P1805" s="5" t="n"/>
      <c r="Q1805" s="5" t="n"/>
      <c r="R1805" s="5" t="n"/>
      <c r="S1805" s="5" t="n"/>
      <c r="T1805" s="5" t="n"/>
      <c r="U1805" s="5" t="n"/>
      <c r="V1805" s="5" t="n"/>
      <c r="W1805" s="5" t="n"/>
      <c r="X1805" s="5" t="n"/>
      <c r="Y1805" s="5">
        <f>IF(I1805="","",IF(AND(I1805="Fail",K1805=""),"Classify Issue Source",IF(AND(I1805="Fail",W1805=""),"Set Confidence",IF(AND(K1805="Unknown",W1805&lt;&gt;"Low"),"Unknown must be Low confidence",IF(AND(OR(K1805="Backend",K1805="SAP"),N1805=""),"Add HTTP status + endpoint",IF(AND(OR(K1805="Backend",K1805="SAP",K1805="Network"),P1805=""),"Add Correlation ID",IF(AND(I1805="Fail",T1805=""),"Write Root Cause / evidence gap",IF(AND(I1805="Fail",V1805=""),"Assign team","OK"))))))))</f>
        <v/>
      </c>
    </row>
    <row r="1806">
      <c r="A1806" s="5" t="n"/>
      <c r="B1806" s="5" t="n"/>
      <c r="C1806" s="5" t="n"/>
      <c r="D1806" s="5" t="n"/>
      <c r="E1806" s="5" t="n"/>
      <c r="F1806" s="5" t="n"/>
      <c r="G1806" s="5" t="n"/>
      <c r="H1806" s="5" t="n"/>
      <c r="I1806" s="5" t="n"/>
      <c r="J1806" s="5" t="n"/>
      <c r="K1806" s="5" t="n"/>
      <c r="L1806" s="5" t="n"/>
      <c r="M1806" s="5" t="n"/>
      <c r="N1806" s="5" t="n"/>
      <c r="O1806" s="5" t="n"/>
      <c r="P1806" s="5" t="n"/>
      <c r="Q1806" s="5" t="n"/>
      <c r="R1806" s="5" t="n"/>
      <c r="S1806" s="5" t="n"/>
      <c r="T1806" s="5" t="n"/>
      <c r="U1806" s="5" t="n"/>
      <c r="V1806" s="5" t="n"/>
      <c r="W1806" s="5" t="n"/>
      <c r="X1806" s="5" t="n"/>
      <c r="Y1806" s="5">
        <f>IF(I1806="","",IF(AND(I1806="Fail",K1806=""),"Classify Issue Source",IF(AND(I1806="Fail",W1806=""),"Set Confidence",IF(AND(K1806="Unknown",W1806&lt;&gt;"Low"),"Unknown must be Low confidence",IF(AND(OR(K1806="Backend",K1806="SAP"),N1806=""),"Add HTTP status + endpoint",IF(AND(OR(K1806="Backend",K1806="SAP",K1806="Network"),P1806=""),"Add Correlation ID",IF(AND(I1806="Fail",T1806=""),"Write Root Cause / evidence gap",IF(AND(I1806="Fail",V1806=""),"Assign team","OK"))))))))</f>
        <v/>
      </c>
    </row>
    <row r="1807">
      <c r="A1807" s="5" t="n"/>
      <c r="B1807" s="5" t="n"/>
      <c r="C1807" s="5" t="n"/>
      <c r="D1807" s="5" t="n"/>
      <c r="E1807" s="5" t="n"/>
      <c r="F1807" s="5" t="n"/>
      <c r="G1807" s="5" t="n"/>
      <c r="H1807" s="5" t="n"/>
      <c r="I1807" s="5" t="n"/>
      <c r="J1807" s="5" t="n"/>
      <c r="K1807" s="5" t="n"/>
      <c r="L1807" s="5" t="n"/>
      <c r="M1807" s="5" t="n"/>
      <c r="N1807" s="5" t="n"/>
      <c r="O1807" s="5" t="n"/>
      <c r="P1807" s="5" t="n"/>
      <c r="Q1807" s="5" t="n"/>
      <c r="R1807" s="5" t="n"/>
      <c r="S1807" s="5" t="n"/>
      <c r="T1807" s="5" t="n"/>
      <c r="U1807" s="5" t="n"/>
      <c r="V1807" s="5" t="n"/>
      <c r="W1807" s="5" t="n"/>
      <c r="X1807" s="5" t="n"/>
      <c r="Y1807" s="5">
        <f>IF(I1807="","",IF(AND(I1807="Fail",K1807=""),"Classify Issue Source",IF(AND(I1807="Fail",W1807=""),"Set Confidence",IF(AND(K1807="Unknown",W1807&lt;&gt;"Low"),"Unknown must be Low confidence",IF(AND(OR(K1807="Backend",K1807="SAP"),N1807=""),"Add HTTP status + endpoint",IF(AND(OR(K1807="Backend",K1807="SAP",K1807="Network"),P1807=""),"Add Correlation ID",IF(AND(I1807="Fail",T1807=""),"Write Root Cause / evidence gap",IF(AND(I1807="Fail",V1807=""),"Assign team","OK"))))))))</f>
        <v/>
      </c>
    </row>
    <row r="1808">
      <c r="A1808" s="5" t="n"/>
      <c r="B1808" s="5" t="n"/>
      <c r="C1808" s="5" t="n"/>
      <c r="D1808" s="5" t="n"/>
      <c r="E1808" s="5" t="n"/>
      <c r="F1808" s="5" t="n"/>
      <c r="G1808" s="5" t="n"/>
      <c r="H1808" s="5" t="n"/>
      <c r="I1808" s="5" t="n"/>
      <c r="J1808" s="5" t="n"/>
      <c r="K1808" s="5" t="n"/>
      <c r="L1808" s="5" t="n"/>
      <c r="M1808" s="5" t="n"/>
      <c r="N1808" s="5" t="n"/>
      <c r="O1808" s="5" t="n"/>
      <c r="P1808" s="5" t="n"/>
      <c r="Q1808" s="5" t="n"/>
      <c r="R1808" s="5" t="n"/>
      <c r="S1808" s="5" t="n"/>
      <c r="T1808" s="5" t="n"/>
      <c r="U1808" s="5" t="n"/>
      <c r="V1808" s="5" t="n"/>
      <c r="W1808" s="5" t="n"/>
      <c r="X1808" s="5" t="n"/>
      <c r="Y1808" s="5">
        <f>IF(I1808="","",IF(AND(I1808="Fail",K1808=""),"Classify Issue Source",IF(AND(I1808="Fail",W1808=""),"Set Confidence",IF(AND(K1808="Unknown",W1808&lt;&gt;"Low"),"Unknown must be Low confidence",IF(AND(OR(K1808="Backend",K1808="SAP"),N1808=""),"Add HTTP status + endpoint",IF(AND(OR(K1808="Backend",K1808="SAP",K1808="Network"),P1808=""),"Add Correlation ID",IF(AND(I1808="Fail",T1808=""),"Write Root Cause / evidence gap",IF(AND(I1808="Fail",V1808=""),"Assign team","OK"))))))))</f>
        <v/>
      </c>
    </row>
    <row r="1809">
      <c r="A1809" s="5" t="n"/>
      <c r="B1809" s="5" t="n"/>
      <c r="C1809" s="5" t="n"/>
      <c r="D1809" s="5" t="n"/>
      <c r="E1809" s="5" t="n"/>
      <c r="F1809" s="5" t="n"/>
      <c r="G1809" s="5" t="n"/>
      <c r="H1809" s="5" t="n"/>
      <c r="I1809" s="5" t="n"/>
      <c r="J1809" s="5" t="n"/>
      <c r="K1809" s="5" t="n"/>
      <c r="L1809" s="5" t="n"/>
      <c r="M1809" s="5" t="n"/>
      <c r="N1809" s="5" t="n"/>
      <c r="O1809" s="5" t="n"/>
      <c r="P1809" s="5" t="n"/>
      <c r="Q1809" s="5" t="n"/>
      <c r="R1809" s="5" t="n"/>
      <c r="S1809" s="5" t="n"/>
      <c r="T1809" s="5" t="n"/>
      <c r="U1809" s="5" t="n"/>
      <c r="V1809" s="5" t="n"/>
      <c r="W1809" s="5" t="n"/>
      <c r="X1809" s="5" t="n"/>
      <c r="Y1809" s="5">
        <f>IF(I1809="","",IF(AND(I1809="Fail",K1809=""),"Classify Issue Source",IF(AND(I1809="Fail",W1809=""),"Set Confidence",IF(AND(K1809="Unknown",W1809&lt;&gt;"Low"),"Unknown must be Low confidence",IF(AND(OR(K1809="Backend",K1809="SAP"),N1809=""),"Add HTTP status + endpoint",IF(AND(OR(K1809="Backend",K1809="SAP",K1809="Network"),P1809=""),"Add Correlation ID",IF(AND(I1809="Fail",T1809=""),"Write Root Cause / evidence gap",IF(AND(I1809="Fail",V1809=""),"Assign team","OK"))))))))</f>
        <v/>
      </c>
    </row>
    <row r="1810">
      <c r="A1810" s="5" t="n"/>
      <c r="B1810" s="5" t="n"/>
      <c r="C1810" s="5" t="n"/>
      <c r="D1810" s="5" t="n"/>
      <c r="E1810" s="5" t="n"/>
      <c r="F1810" s="5" t="n"/>
      <c r="G1810" s="5" t="n"/>
      <c r="H1810" s="5" t="n"/>
      <c r="I1810" s="5" t="n"/>
      <c r="J1810" s="5" t="n"/>
      <c r="K1810" s="5" t="n"/>
      <c r="L1810" s="5" t="n"/>
      <c r="M1810" s="5" t="n"/>
      <c r="N1810" s="5" t="n"/>
      <c r="O1810" s="5" t="n"/>
      <c r="P1810" s="5" t="n"/>
      <c r="Q1810" s="5" t="n"/>
      <c r="R1810" s="5" t="n"/>
      <c r="S1810" s="5" t="n"/>
      <c r="T1810" s="5" t="n"/>
      <c r="U1810" s="5" t="n"/>
      <c r="V1810" s="5" t="n"/>
      <c r="W1810" s="5" t="n"/>
      <c r="X1810" s="5" t="n"/>
      <c r="Y1810" s="5">
        <f>IF(I1810="","",IF(AND(I1810="Fail",K1810=""),"Classify Issue Source",IF(AND(I1810="Fail",W1810=""),"Set Confidence",IF(AND(K1810="Unknown",W1810&lt;&gt;"Low"),"Unknown must be Low confidence",IF(AND(OR(K1810="Backend",K1810="SAP"),N1810=""),"Add HTTP status + endpoint",IF(AND(OR(K1810="Backend",K1810="SAP",K1810="Network"),P1810=""),"Add Correlation ID",IF(AND(I1810="Fail",T1810=""),"Write Root Cause / evidence gap",IF(AND(I1810="Fail",V1810=""),"Assign team","OK"))))))))</f>
        <v/>
      </c>
    </row>
    <row r="1811">
      <c r="A1811" s="5" t="n"/>
      <c r="B1811" s="5" t="n"/>
      <c r="C1811" s="5" t="n"/>
      <c r="D1811" s="5" t="n"/>
      <c r="E1811" s="5" t="n"/>
      <c r="F1811" s="5" t="n"/>
      <c r="G1811" s="5" t="n"/>
      <c r="H1811" s="5" t="n"/>
      <c r="I1811" s="5" t="n"/>
      <c r="J1811" s="5" t="n"/>
      <c r="K1811" s="5" t="n"/>
      <c r="L1811" s="5" t="n"/>
      <c r="M1811" s="5" t="n"/>
      <c r="N1811" s="5" t="n"/>
      <c r="O1811" s="5" t="n"/>
      <c r="P1811" s="5" t="n"/>
      <c r="Q1811" s="5" t="n"/>
      <c r="R1811" s="5" t="n"/>
      <c r="S1811" s="5" t="n"/>
      <c r="T1811" s="5" t="n"/>
      <c r="U1811" s="5" t="n"/>
      <c r="V1811" s="5" t="n"/>
      <c r="W1811" s="5" t="n"/>
      <c r="X1811" s="5" t="n"/>
      <c r="Y1811" s="5">
        <f>IF(I1811="","",IF(AND(I1811="Fail",K1811=""),"Classify Issue Source",IF(AND(I1811="Fail",W1811=""),"Set Confidence",IF(AND(K1811="Unknown",W1811&lt;&gt;"Low"),"Unknown must be Low confidence",IF(AND(OR(K1811="Backend",K1811="SAP"),N1811=""),"Add HTTP status + endpoint",IF(AND(OR(K1811="Backend",K1811="SAP",K1811="Network"),P1811=""),"Add Correlation ID",IF(AND(I1811="Fail",T1811=""),"Write Root Cause / evidence gap",IF(AND(I1811="Fail",V1811=""),"Assign team","OK"))))))))</f>
        <v/>
      </c>
    </row>
    <row r="1812">
      <c r="A1812" s="5" t="n"/>
      <c r="B1812" s="5" t="n"/>
      <c r="C1812" s="5" t="n"/>
      <c r="D1812" s="5" t="n"/>
      <c r="E1812" s="5" t="n"/>
      <c r="F1812" s="5" t="n"/>
      <c r="G1812" s="5" t="n"/>
      <c r="H1812" s="5" t="n"/>
      <c r="I1812" s="5" t="n"/>
      <c r="J1812" s="5" t="n"/>
      <c r="K1812" s="5" t="n"/>
      <c r="L1812" s="5" t="n"/>
      <c r="M1812" s="5" t="n"/>
      <c r="N1812" s="5" t="n"/>
      <c r="O1812" s="5" t="n"/>
      <c r="P1812" s="5" t="n"/>
      <c r="Q1812" s="5" t="n"/>
      <c r="R1812" s="5" t="n"/>
      <c r="S1812" s="5" t="n"/>
      <c r="T1812" s="5" t="n"/>
      <c r="U1812" s="5" t="n"/>
      <c r="V1812" s="5" t="n"/>
      <c r="W1812" s="5" t="n"/>
      <c r="X1812" s="5" t="n"/>
      <c r="Y1812" s="5">
        <f>IF(I1812="","",IF(AND(I1812="Fail",K1812=""),"Classify Issue Source",IF(AND(I1812="Fail",W1812=""),"Set Confidence",IF(AND(K1812="Unknown",W1812&lt;&gt;"Low"),"Unknown must be Low confidence",IF(AND(OR(K1812="Backend",K1812="SAP"),N1812=""),"Add HTTP status + endpoint",IF(AND(OR(K1812="Backend",K1812="SAP",K1812="Network"),P1812=""),"Add Correlation ID",IF(AND(I1812="Fail",T1812=""),"Write Root Cause / evidence gap",IF(AND(I1812="Fail",V1812=""),"Assign team","OK"))))))))</f>
        <v/>
      </c>
    </row>
    <row r="1813">
      <c r="A1813" s="5" t="n"/>
      <c r="B1813" s="5" t="n"/>
      <c r="C1813" s="5" t="n"/>
      <c r="D1813" s="5" t="n"/>
      <c r="E1813" s="5" t="n"/>
      <c r="F1813" s="5" t="n"/>
      <c r="G1813" s="5" t="n"/>
      <c r="H1813" s="5" t="n"/>
      <c r="I1813" s="5" t="n"/>
      <c r="J1813" s="5" t="n"/>
      <c r="K1813" s="5" t="n"/>
      <c r="L1813" s="5" t="n"/>
      <c r="M1813" s="5" t="n"/>
      <c r="N1813" s="5" t="n"/>
      <c r="O1813" s="5" t="n"/>
      <c r="P1813" s="5" t="n"/>
      <c r="Q1813" s="5" t="n"/>
      <c r="R1813" s="5" t="n"/>
      <c r="S1813" s="5" t="n"/>
      <c r="T1813" s="5" t="n"/>
      <c r="U1813" s="5" t="n"/>
      <c r="V1813" s="5" t="n"/>
      <c r="W1813" s="5" t="n"/>
      <c r="X1813" s="5" t="n"/>
      <c r="Y1813" s="5">
        <f>IF(I1813="","",IF(AND(I1813="Fail",K1813=""),"Classify Issue Source",IF(AND(I1813="Fail",W1813=""),"Set Confidence",IF(AND(K1813="Unknown",W1813&lt;&gt;"Low"),"Unknown must be Low confidence",IF(AND(OR(K1813="Backend",K1813="SAP"),N1813=""),"Add HTTP status + endpoint",IF(AND(OR(K1813="Backend",K1813="SAP",K1813="Network"),P1813=""),"Add Correlation ID",IF(AND(I1813="Fail",T1813=""),"Write Root Cause / evidence gap",IF(AND(I1813="Fail",V1813=""),"Assign team","OK"))))))))</f>
        <v/>
      </c>
    </row>
    <row r="1814">
      <c r="A1814" s="5" t="n"/>
      <c r="B1814" s="5" t="n"/>
      <c r="C1814" s="5" t="n"/>
      <c r="D1814" s="5" t="n"/>
      <c r="E1814" s="5" t="n"/>
      <c r="F1814" s="5" t="n"/>
      <c r="G1814" s="5" t="n"/>
      <c r="H1814" s="5" t="n"/>
      <c r="I1814" s="5" t="n"/>
      <c r="J1814" s="5" t="n"/>
      <c r="K1814" s="5" t="n"/>
      <c r="L1814" s="5" t="n"/>
      <c r="M1814" s="5" t="n"/>
      <c r="N1814" s="5" t="n"/>
      <c r="O1814" s="5" t="n"/>
      <c r="P1814" s="5" t="n"/>
      <c r="Q1814" s="5" t="n"/>
      <c r="R1814" s="5" t="n"/>
      <c r="S1814" s="5" t="n"/>
      <c r="T1814" s="5" t="n"/>
      <c r="U1814" s="5" t="n"/>
      <c r="V1814" s="5" t="n"/>
      <c r="W1814" s="5" t="n"/>
      <c r="X1814" s="5" t="n"/>
      <c r="Y1814" s="5">
        <f>IF(I1814="","",IF(AND(I1814="Fail",K1814=""),"Classify Issue Source",IF(AND(I1814="Fail",W1814=""),"Set Confidence",IF(AND(K1814="Unknown",W1814&lt;&gt;"Low"),"Unknown must be Low confidence",IF(AND(OR(K1814="Backend",K1814="SAP"),N1814=""),"Add HTTP status + endpoint",IF(AND(OR(K1814="Backend",K1814="SAP",K1814="Network"),P1814=""),"Add Correlation ID",IF(AND(I1814="Fail",T1814=""),"Write Root Cause / evidence gap",IF(AND(I1814="Fail",V1814=""),"Assign team","OK"))))))))</f>
        <v/>
      </c>
    </row>
    <row r="1815">
      <c r="A1815" s="5" t="n"/>
      <c r="B1815" s="5" t="n"/>
      <c r="C1815" s="5" t="n"/>
      <c r="D1815" s="5" t="n"/>
      <c r="E1815" s="5" t="n"/>
      <c r="F1815" s="5" t="n"/>
      <c r="G1815" s="5" t="n"/>
      <c r="H1815" s="5" t="n"/>
      <c r="I1815" s="5" t="n"/>
      <c r="J1815" s="5" t="n"/>
      <c r="K1815" s="5" t="n"/>
      <c r="L1815" s="5" t="n"/>
      <c r="M1815" s="5" t="n"/>
      <c r="N1815" s="5" t="n"/>
      <c r="O1815" s="5" t="n"/>
      <c r="P1815" s="5" t="n"/>
      <c r="Q1815" s="5" t="n"/>
      <c r="R1815" s="5" t="n"/>
      <c r="S1815" s="5" t="n"/>
      <c r="T1815" s="5" t="n"/>
      <c r="U1815" s="5" t="n"/>
      <c r="V1815" s="5" t="n"/>
      <c r="W1815" s="5" t="n"/>
      <c r="X1815" s="5" t="n"/>
      <c r="Y1815" s="5">
        <f>IF(I1815="","",IF(AND(I1815="Fail",K1815=""),"Classify Issue Source",IF(AND(I1815="Fail",W1815=""),"Set Confidence",IF(AND(K1815="Unknown",W1815&lt;&gt;"Low"),"Unknown must be Low confidence",IF(AND(OR(K1815="Backend",K1815="SAP"),N1815=""),"Add HTTP status + endpoint",IF(AND(OR(K1815="Backend",K1815="SAP",K1815="Network"),P1815=""),"Add Correlation ID",IF(AND(I1815="Fail",T1815=""),"Write Root Cause / evidence gap",IF(AND(I1815="Fail",V1815=""),"Assign team","OK"))))))))</f>
        <v/>
      </c>
    </row>
    <row r="1816">
      <c r="A1816" s="5" t="n"/>
      <c r="B1816" s="5" t="n"/>
      <c r="C1816" s="5" t="n"/>
      <c r="D1816" s="5" t="n"/>
      <c r="E1816" s="5" t="n"/>
      <c r="F1816" s="5" t="n"/>
      <c r="G1816" s="5" t="n"/>
      <c r="H1816" s="5" t="n"/>
      <c r="I1816" s="5" t="n"/>
      <c r="J1816" s="5" t="n"/>
      <c r="K1816" s="5" t="n"/>
      <c r="L1816" s="5" t="n"/>
      <c r="M1816" s="5" t="n"/>
      <c r="N1816" s="5" t="n"/>
      <c r="O1816" s="5" t="n"/>
      <c r="P1816" s="5" t="n"/>
      <c r="Q1816" s="5" t="n"/>
      <c r="R1816" s="5" t="n"/>
      <c r="S1816" s="5" t="n"/>
      <c r="T1816" s="5" t="n"/>
      <c r="U1816" s="5" t="n"/>
      <c r="V1816" s="5" t="n"/>
      <c r="W1816" s="5" t="n"/>
      <c r="X1816" s="5" t="n"/>
      <c r="Y1816" s="5">
        <f>IF(I1816="","",IF(AND(I1816="Fail",K1816=""),"Classify Issue Source",IF(AND(I1816="Fail",W1816=""),"Set Confidence",IF(AND(K1816="Unknown",W1816&lt;&gt;"Low"),"Unknown must be Low confidence",IF(AND(OR(K1816="Backend",K1816="SAP"),N1816=""),"Add HTTP status + endpoint",IF(AND(OR(K1816="Backend",K1816="SAP",K1816="Network"),P1816=""),"Add Correlation ID",IF(AND(I1816="Fail",T1816=""),"Write Root Cause / evidence gap",IF(AND(I1816="Fail",V1816=""),"Assign team","OK"))))))))</f>
        <v/>
      </c>
    </row>
    <row r="1817">
      <c r="A1817" s="5" t="n"/>
      <c r="B1817" s="5" t="n"/>
      <c r="C1817" s="5" t="n"/>
      <c r="D1817" s="5" t="n"/>
      <c r="E1817" s="5" t="n"/>
      <c r="F1817" s="5" t="n"/>
      <c r="G1817" s="5" t="n"/>
      <c r="H1817" s="5" t="n"/>
      <c r="I1817" s="5" t="n"/>
      <c r="J1817" s="5" t="n"/>
      <c r="K1817" s="5" t="n"/>
      <c r="L1817" s="5" t="n"/>
      <c r="M1817" s="5" t="n"/>
      <c r="N1817" s="5" t="n"/>
      <c r="O1817" s="5" t="n"/>
      <c r="P1817" s="5" t="n"/>
      <c r="Q1817" s="5" t="n"/>
      <c r="R1817" s="5" t="n"/>
      <c r="S1817" s="5" t="n"/>
      <c r="T1817" s="5" t="n"/>
      <c r="U1817" s="5" t="n"/>
      <c r="V1817" s="5" t="n"/>
      <c r="W1817" s="5" t="n"/>
      <c r="X1817" s="5" t="n"/>
      <c r="Y1817" s="5">
        <f>IF(I1817="","",IF(AND(I1817="Fail",K1817=""),"Classify Issue Source",IF(AND(I1817="Fail",W1817=""),"Set Confidence",IF(AND(K1817="Unknown",W1817&lt;&gt;"Low"),"Unknown must be Low confidence",IF(AND(OR(K1817="Backend",K1817="SAP"),N1817=""),"Add HTTP status + endpoint",IF(AND(OR(K1817="Backend",K1817="SAP",K1817="Network"),P1817=""),"Add Correlation ID",IF(AND(I1817="Fail",T1817=""),"Write Root Cause / evidence gap",IF(AND(I1817="Fail",V1817=""),"Assign team","OK"))))))))</f>
        <v/>
      </c>
    </row>
    <row r="1818">
      <c r="A1818" s="5" t="n"/>
      <c r="B1818" s="5" t="n"/>
      <c r="C1818" s="5" t="n"/>
      <c r="D1818" s="5" t="n"/>
      <c r="E1818" s="5" t="n"/>
      <c r="F1818" s="5" t="n"/>
      <c r="G1818" s="5" t="n"/>
      <c r="H1818" s="5" t="n"/>
      <c r="I1818" s="5" t="n"/>
      <c r="J1818" s="5" t="n"/>
      <c r="K1818" s="5" t="n"/>
      <c r="L1818" s="5" t="n"/>
      <c r="M1818" s="5" t="n"/>
      <c r="N1818" s="5" t="n"/>
      <c r="O1818" s="5" t="n"/>
      <c r="P1818" s="5" t="n"/>
      <c r="Q1818" s="5" t="n"/>
      <c r="R1818" s="5" t="n"/>
      <c r="S1818" s="5" t="n"/>
      <c r="T1818" s="5" t="n"/>
      <c r="U1818" s="5" t="n"/>
      <c r="V1818" s="5" t="n"/>
      <c r="W1818" s="5" t="n"/>
      <c r="X1818" s="5" t="n"/>
      <c r="Y1818" s="5">
        <f>IF(I1818="","",IF(AND(I1818="Fail",K1818=""),"Classify Issue Source",IF(AND(I1818="Fail",W1818=""),"Set Confidence",IF(AND(K1818="Unknown",W1818&lt;&gt;"Low"),"Unknown must be Low confidence",IF(AND(OR(K1818="Backend",K1818="SAP"),N1818=""),"Add HTTP status + endpoint",IF(AND(OR(K1818="Backend",K1818="SAP",K1818="Network"),P1818=""),"Add Correlation ID",IF(AND(I1818="Fail",T1818=""),"Write Root Cause / evidence gap",IF(AND(I1818="Fail",V1818=""),"Assign team","OK"))))))))</f>
        <v/>
      </c>
    </row>
    <row r="1819">
      <c r="A1819" s="5" t="n"/>
      <c r="B1819" s="5" t="n"/>
      <c r="C1819" s="5" t="n"/>
      <c r="D1819" s="5" t="n"/>
      <c r="E1819" s="5" t="n"/>
      <c r="F1819" s="5" t="n"/>
      <c r="G1819" s="5" t="n"/>
      <c r="H1819" s="5" t="n"/>
      <c r="I1819" s="5" t="n"/>
      <c r="J1819" s="5" t="n"/>
      <c r="K1819" s="5" t="n"/>
      <c r="L1819" s="5" t="n"/>
      <c r="M1819" s="5" t="n"/>
      <c r="N1819" s="5" t="n"/>
      <c r="O1819" s="5" t="n"/>
      <c r="P1819" s="5" t="n"/>
      <c r="Q1819" s="5" t="n"/>
      <c r="R1819" s="5" t="n"/>
      <c r="S1819" s="5" t="n"/>
      <c r="T1819" s="5" t="n"/>
      <c r="U1819" s="5" t="n"/>
      <c r="V1819" s="5" t="n"/>
      <c r="W1819" s="5" t="n"/>
      <c r="X1819" s="5" t="n"/>
      <c r="Y1819" s="5">
        <f>IF(I1819="","",IF(AND(I1819="Fail",K1819=""),"Classify Issue Source",IF(AND(I1819="Fail",W1819=""),"Set Confidence",IF(AND(K1819="Unknown",W1819&lt;&gt;"Low"),"Unknown must be Low confidence",IF(AND(OR(K1819="Backend",K1819="SAP"),N1819=""),"Add HTTP status + endpoint",IF(AND(OR(K1819="Backend",K1819="SAP",K1819="Network"),P1819=""),"Add Correlation ID",IF(AND(I1819="Fail",T1819=""),"Write Root Cause / evidence gap",IF(AND(I1819="Fail",V1819=""),"Assign team","OK"))))))))</f>
        <v/>
      </c>
    </row>
    <row r="1820">
      <c r="A1820" s="5" t="n"/>
      <c r="B1820" s="5" t="n"/>
      <c r="C1820" s="5" t="n"/>
      <c r="D1820" s="5" t="n"/>
      <c r="E1820" s="5" t="n"/>
      <c r="F1820" s="5" t="n"/>
      <c r="G1820" s="5" t="n"/>
      <c r="H1820" s="5" t="n"/>
      <c r="I1820" s="5" t="n"/>
      <c r="J1820" s="5" t="n"/>
      <c r="K1820" s="5" t="n"/>
      <c r="L1820" s="5" t="n"/>
      <c r="M1820" s="5" t="n"/>
      <c r="N1820" s="5" t="n"/>
      <c r="O1820" s="5" t="n"/>
      <c r="P1820" s="5" t="n"/>
      <c r="Q1820" s="5" t="n"/>
      <c r="R1820" s="5" t="n"/>
      <c r="S1820" s="5" t="n"/>
      <c r="T1820" s="5" t="n"/>
      <c r="U1820" s="5" t="n"/>
      <c r="V1820" s="5" t="n"/>
      <c r="W1820" s="5" t="n"/>
      <c r="X1820" s="5" t="n"/>
      <c r="Y1820" s="5">
        <f>IF(I1820="","",IF(AND(I1820="Fail",K1820=""),"Classify Issue Source",IF(AND(I1820="Fail",W1820=""),"Set Confidence",IF(AND(K1820="Unknown",W1820&lt;&gt;"Low"),"Unknown must be Low confidence",IF(AND(OR(K1820="Backend",K1820="SAP"),N1820=""),"Add HTTP status + endpoint",IF(AND(OR(K1820="Backend",K1820="SAP",K1820="Network"),P1820=""),"Add Correlation ID",IF(AND(I1820="Fail",T1820=""),"Write Root Cause / evidence gap",IF(AND(I1820="Fail",V1820=""),"Assign team","OK"))))))))</f>
        <v/>
      </c>
    </row>
    <row r="1821">
      <c r="A1821" s="5" t="n"/>
      <c r="B1821" s="5" t="n"/>
      <c r="C1821" s="5" t="n"/>
      <c r="D1821" s="5" t="n"/>
      <c r="E1821" s="5" t="n"/>
      <c r="F1821" s="5" t="n"/>
      <c r="G1821" s="5" t="n"/>
      <c r="H1821" s="5" t="n"/>
      <c r="I1821" s="5" t="n"/>
      <c r="J1821" s="5" t="n"/>
      <c r="K1821" s="5" t="n"/>
      <c r="L1821" s="5" t="n"/>
      <c r="M1821" s="5" t="n"/>
      <c r="N1821" s="5" t="n"/>
      <c r="O1821" s="5" t="n"/>
      <c r="P1821" s="5" t="n"/>
      <c r="Q1821" s="5" t="n"/>
      <c r="R1821" s="5" t="n"/>
      <c r="S1821" s="5" t="n"/>
      <c r="T1821" s="5" t="n"/>
      <c r="U1821" s="5" t="n"/>
      <c r="V1821" s="5" t="n"/>
      <c r="W1821" s="5" t="n"/>
      <c r="X1821" s="5" t="n"/>
      <c r="Y1821" s="5">
        <f>IF(I1821="","",IF(AND(I1821="Fail",K1821=""),"Classify Issue Source",IF(AND(I1821="Fail",W1821=""),"Set Confidence",IF(AND(K1821="Unknown",W1821&lt;&gt;"Low"),"Unknown must be Low confidence",IF(AND(OR(K1821="Backend",K1821="SAP"),N1821=""),"Add HTTP status + endpoint",IF(AND(OR(K1821="Backend",K1821="SAP",K1821="Network"),P1821=""),"Add Correlation ID",IF(AND(I1821="Fail",T1821=""),"Write Root Cause / evidence gap",IF(AND(I1821="Fail",V1821=""),"Assign team","OK"))))))))</f>
        <v/>
      </c>
    </row>
    <row r="1822">
      <c r="A1822" s="5" t="n"/>
      <c r="B1822" s="5" t="n"/>
      <c r="C1822" s="5" t="n"/>
      <c r="D1822" s="5" t="n"/>
      <c r="E1822" s="5" t="n"/>
      <c r="F1822" s="5" t="n"/>
      <c r="G1822" s="5" t="n"/>
      <c r="H1822" s="5" t="n"/>
      <c r="I1822" s="5" t="n"/>
      <c r="J1822" s="5" t="n"/>
      <c r="K1822" s="5" t="n"/>
      <c r="L1822" s="5" t="n"/>
      <c r="M1822" s="5" t="n"/>
      <c r="N1822" s="5" t="n"/>
      <c r="O1822" s="5" t="n"/>
      <c r="P1822" s="5" t="n"/>
      <c r="Q1822" s="5" t="n"/>
      <c r="R1822" s="5" t="n"/>
      <c r="S1822" s="5" t="n"/>
      <c r="T1822" s="5" t="n"/>
      <c r="U1822" s="5" t="n"/>
      <c r="V1822" s="5" t="n"/>
      <c r="W1822" s="5" t="n"/>
      <c r="X1822" s="5" t="n"/>
      <c r="Y1822" s="5">
        <f>IF(I1822="","",IF(AND(I1822="Fail",K1822=""),"Classify Issue Source",IF(AND(I1822="Fail",W1822=""),"Set Confidence",IF(AND(K1822="Unknown",W1822&lt;&gt;"Low"),"Unknown must be Low confidence",IF(AND(OR(K1822="Backend",K1822="SAP"),N1822=""),"Add HTTP status + endpoint",IF(AND(OR(K1822="Backend",K1822="SAP",K1822="Network"),P1822=""),"Add Correlation ID",IF(AND(I1822="Fail",T1822=""),"Write Root Cause / evidence gap",IF(AND(I1822="Fail",V1822=""),"Assign team","OK"))))))))</f>
        <v/>
      </c>
    </row>
    <row r="1823">
      <c r="A1823" s="5" t="n"/>
      <c r="B1823" s="5" t="n"/>
      <c r="C1823" s="5" t="n"/>
      <c r="D1823" s="5" t="n"/>
      <c r="E1823" s="5" t="n"/>
      <c r="F1823" s="5" t="n"/>
      <c r="G1823" s="5" t="n"/>
      <c r="H1823" s="5" t="n"/>
      <c r="I1823" s="5" t="n"/>
      <c r="J1823" s="5" t="n"/>
      <c r="K1823" s="5" t="n"/>
      <c r="L1823" s="5" t="n"/>
      <c r="M1823" s="5" t="n"/>
      <c r="N1823" s="5" t="n"/>
      <c r="O1823" s="5" t="n"/>
      <c r="P1823" s="5" t="n"/>
      <c r="Q1823" s="5" t="n"/>
      <c r="R1823" s="5" t="n"/>
      <c r="S1823" s="5" t="n"/>
      <c r="T1823" s="5" t="n"/>
      <c r="U1823" s="5" t="n"/>
      <c r="V1823" s="5" t="n"/>
      <c r="W1823" s="5" t="n"/>
      <c r="X1823" s="5" t="n"/>
      <c r="Y1823" s="5">
        <f>IF(I1823="","",IF(AND(I1823="Fail",K1823=""),"Classify Issue Source",IF(AND(I1823="Fail",W1823=""),"Set Confidence",IF(AND(K1823="Unknown",W1823&lt;&gt;"Low"),"Unknown must be Low confidence",IF(AND(OR(K1823="Backend",K1823="SAP"),N1823=""),"Add HTTP status + endpoint",IF(AND(OR(K1823="Backend",K1823="SAP",K1823="Network"),P1823=""),"Add Correlation ID",IF(AND(I1823="Fail",T1823=""),"Write Root Cause / evidence gap",IF(AND(I1823="Fail",V1823=""),"Assign team","OK"))))))))</f>
        <v/>
      </c>
    </row>
    <row r="1824">
      <c r="A1824" s="5" t="n"/>
      <c r="B1824" s="5" t="n"/>
      <c r="C1824" s="5" t="n"/>
      <c r="D1824" s="5" t="n"/>
      <c r="E1824" s="5" t="n"/>
      <c r="F1824" s="5" t="n"/>
      <c r="G1824" s="5" t="n"/>
      <c r="H1824" s="5" t="n"/>
      <c r="I1824" s="5" t="n"/>
      <c r="J1824" s="5" t="n"/>
      <c r="K1824" s="5" t="n"/>
      <c r="L1824" s="5" t="n"/>
      <c r="M1824" s="5" t="n"/>
      <c r="N1824" s="5" t="n"/>
      <c r="O1824" s="5" t="n"/>
      <c r="P1824" s="5" t="n"/>
      <c r="Q1824" s="5" t="n"/>
      <c r="R1824" s="5" t="n"/>
      <c r="S1824" s="5" t="n"/>
      <c r="T1824" s="5" t="n"/>
      <c r="U1824" s="5" t="n"/>
      <c r="V1824" s="5" t="n"/>
      <c r="W1824" s="5" t="n"/>
      <c r="X1824" s="5" t="n"/>
      <c r="Y1824" s="5">
        <f>IF(I1824="","",IF(AND(I1824="Fail",K1824=""),"Classify Issue Source",IF(AND(I1824="Fail",W1824=""),"Set Confidence",IF(AND(K1824="Unknown",W1824&lt;&gt;"Low"),"Unknown must be Low confidence",IF(AND(OR(K1824="Backend",K1824="SAP"),N1824=""),"Add HTTP status + endpoint",IF(AND(OR(K1824="Backend",K1824="SAP",K1824="Network"),P1824=""),"Add Correlation ID",IF(AND(I1824="Fail",T1824=""),"Write Root Cause / evidence gap",IF(AND(I1824="Fail",V1824=""),"Assign team","OK"))))))))</f>
        <v/>
      </c>
    </row>
    <row r="1825">
      <c r="A1825" s="5" t="n"/>
      <c r="B1825" s="5" t="n"/>
      <c r="C1825" s="5" t="n"/>
      <c r="D1825" s="5" t="n"/>
      <c r="E1825" s="5" t="n"/>
      <c r="F1825" s="5" t="n"/>
      <c r="G1825" s="5" t="n"/>
      <c r="H1825" s="5" t="n"/>
      <c r="I1825" s="5" t="n"/>
      <c r="J1825" s="5" t="n"/>
      <c r="K1825" s="5" t="n"/>
      <c r="L1825" s="5" t="n"/>
      <c r="M1825" s="5" t="n"/>
      <c r="N1825" s="5" t="n"/>
      <c r="O1825" s="5" t="n"/>
      <c r="P1825" s="5" t="n"/>
      <c r="Q1825" s="5" t="n"/>
      <c r="R1825" s="5" t="n"/>
      <c r="S1825" s="5" t="n"/>
      <c r="T1825" s="5" t="n"/>
      <c r="U1825" s="5" t="n"/>
      <c r="V1825" s="5" t="n"/>
      <c r="W1825" s="5" t="n"/>
      <c r="X1825" s="5" t="n"/>
      <c r="Y1825" s="5">
        <f>IF(I1825="","",IF(AND(I1825="Fail",K1825=""),"Classify Issue Source",IF(AND(I1825="Fail",W1825=""),"Set Confidence",IF(AND(K1825="Unknown",W1825&lt;&gt;"Low"),"Unknown must be Low confidence",IF(AND(OR(K1825="Backend",K1825="SAP"),N1825=""),"Add HTTP status + endpoint",IF(AND(OR(K1825="Backend",K1825="SAP",K1825="Network"),P1825=""),"Add Correlation ID",IF(AND(I1825="Fail",T1825=""),"Write Root Cause / evidence gap",IF(AND(I1825="Fail",V1825=""),"Assign team","OK"))))))))</f>
        <v/>
      </c>
    </row>
    <row r="1826">
      <c r="A1826" s="5" t="n"/>
      <c r="B1826" s="5" t="n"/>
      <c r="C1826" s="5" t="n"/>
      <c r="D1826" s="5" t="n"/>
      <c r="E1826" s="5" t="n"/>
      <c r="F1826" s="5" t="n"/>
      <c r="G1826" s="5" t="n"/>
      <c r="H1826" s="5" t="n"/>
      <c r="I1826" s="5" t="n"/>
      <c r="J1826" s="5" t="n"/>
      <c r="K1826" s="5" t="n"/>
      <c r="L1826" s="5" t="n"/>
      <c r="M1826" s="5" t="n"/>
      <c r="N1826" s="5" t="n"/>
      <c r="O1826" s="5" t="n"/>
      <c r="P1826" s="5" t="n"/>
      <c r="Q1826" s="5" t="n"/>
      <c r="R1826" s="5" t="n"/>
      <c r="S1826" s="5" t="n"/>
      <c r="T1826" s="5" t="n"/>
      <c r="U1826" s="5" t="n"/>
      <c r="V1826" s="5" t="n"/>
      <c r="W1826" s="5" t="n"/>
      <c r="X1826" s="5" t="n"/>
      <c r="Y1826" s="5">
        <f>IF(I1826="","",IF(AND(I1826="Fail",K1826=""),"Classify Issue Source",IF(AND(I1826="Fail",W1826=""),"Set Confidence",IF(AND(K1826="Unknown",W1826&lt;&gt;"Low"),"Unknown must be Low confidence",IF(AND(OR(K1826="Backend",K1826="SAP"),N1826=""),"Add HTTP status + endpoint",IF(AND(OR(K1826="Backend",K1826="SAP",K1826="Network"),P1826=""),"Add Correlation ID",IF(AND(I1826="Fail",T1826=""),"Write Root Cause / evidence gap",IF(AND(I1826="Fail",V1826=""),"Assign team","OK"))))))))</f>
        <v/>
      </c>
    </row>
    <row r="1827">
      <c r="A1827" s="5" t="n"/>
      <c r="B1827" s="5" t="n"/>
      <c r="C1827" s="5" t="n"/>
      <c r="D1827" s="5" t="n"/>
      <c r="E1827" s="5" t="n"/>
      <c r="F1827" s="5" t="n"/>
      <c r="G1827" s="5" t="n"/>
      <c r="H1827" s="5" t="n"/>
      <c r="I1827" s="5" t="n"/>
      <c r="J1827" s="5" t="n"/>
      <c r="K1827" s="5" t="n"/>
      <c r="L1827" s="5" t="n"/>
      <c r="M1827" s="5" t="n"/>
      <c r="N1827" s="5" t="n"/>
      <c r="O1827" s="5" t="n"/>
      <c r="P1827" s="5" t="n"/>
      <c r="Q1827" s="5" t="n"/>
      <c r="R1827" s="5" t="n"/>
      <c r="S1827" s="5" t="n"/>
      <c r="T1827" s="5" t="n"/>
      <c r="U1827" s="5" t="n"/>
      <c r="V1827" s="5" t="n"/>
      <c r="W1827" s="5" t="n"/>
      <c r="X1827" s="5" t="n"/>
      <c r="Y1827" s="5">
        <f>IF(I1827="","",IF(AND(I1827="Fail",K1827=""),"Classify Issue Source",IF(AND(I1827="Fail",W1827=""),"Set Confidence",IF(AND(K1827="Unknown",W1827&lt;&gt;"Low"),"Unknown must be Low confidence",IF(AND(OR(K1827="Backend",K1827="SAP"),N1827=""),"Add HTTP status + endpoint",IF(AND(OR(K1827="Backend",K1827="SAP",K1827="Network"),P1827=""),"Add Correlation ID",IF(AND(I1827="Fail",T1827=""),"Write Root Cause / evidence gap",IF(AND(I1827="Fail",V1827=""),"Assign team","OK"))))))))</f>
        <v/>
      </c>
    </row>
    <row r="1828">
      <c r="A1828" s="5" t="n"/>
      <c r="B1828" s="5" t="n"/>
      <c r="C1828" s="5" t="n"/>
      <c r="D1828" s="5" t="n"/>
      <c r="E1828" s="5" t="n"/>
      <c r="F1828" s="5" t="n"/>
      <c r="G1828" s="5" t="n"/>
      <c r="H1828" s="5" t="n"/>
      <c r="I1828" s="5" t="n"/>
      <c r="J1828" s="5" t="n"/>
      <c r="K1828" s="5" t="n"/>
      <c r="L1828" s="5" t="n"/>
      <c r="M1828" s="5" t="n"/>
      <c r="N1828" s="5" t="n"/>
      <c r="O1828" s="5" t="n"/>
      <c r="P1828" s="5" t="n"/>
      <c r="Q1828" s="5" t="n"/>
      <c r="R1828" s="5" t="n"/>
      <c r="S1828" s="5" t="n"/>
      <c r="T1828" s="5" t="n"/>
      <c r="U1828" s="5" t="n"/>
      <c r="V1828" s="5" t="n"/>
      <c r="W1828" s="5" t="n"/>
      <c r="X1828" s="5" t="n"/>
      <c r="Y1828" s="5">
        <f>IF(I1828="","",IF(AND(I1828="Fail",K1828=""),"Classify Issue Source",IF(AND(I1828="Fail",W1828=""),"Set Confidence",IF(AND(K1828="Unknown",W1828&lt;&gt;"Low"),"Unknown must be Low confidence",IF(AND(OR(K1828="Backend",K1828="SAP"),N1828=""),"Add HTTP status + endpoint",IF(AND(OR(K1828="Backend",K1828="SAP",K1828="Network"),P1828=""),"Add Correlation ID",IF(AND(I1828="Fail",T1828=""),"Write Root Cause / evidence gap",IF(AND(I1828="Fail",V1828=""),"Assign team","OK"))))))))</f>
        <v/>
      </c>
    </row>
    <row r="1829">
      <c r="A1829" s="5" t="n"/>
      <c r="B1829" s="5" t="n"/>
      <c r="C1829" s="5" t="n"/>
      <c r="D1829" s="5" t="n"/>
      <c r="E1829" s="5" t="n"/>
      <c r="F1829" s="5" t="n"/>
      <c r="G1829" s="5" t="n"/>
      <c r="H1829" s="5" t="n"/>
      <c r="I1829" s="5" t="n"/>
      <c r="J1829" s="5" t="n"/>
      <c r="K1829" s="5" t="n"/>
      <c r="L1829" s="5" t="n"/>
      <c r="M1829" s="5" t="n"/>
      <c r="N1829" s="5" t="n"/>
      <c r="O1829" s="5" t="n"/>
      <c r="P1829" s="5" t="n"/>
      <c r="Q1829" s="5" t="n"/>
      <c r="R1829" s="5" t="n"/>
      <c r="S1829" s="5" t="n"/>
      <c r="T1829" s="5" t="n"/>
      <c r="U1829" s="5" t="n"/>
      <c r="V1829" s="5" t="n"/>
      <c r="W1829" s="5" t="n"/>
      <c r="X1829" s="5" t="n"/>
      <c r="Y1829" s="5">
        <f>IF(I1829="","",IF(AND(I1829="Fail",K1829=""),"Classify Issue Source",IF(AND(I1829="Fail",W1829=""),"Set Confidence",IF(AND(K1829="Unknown",W1829&lt;&gt;"Low"),"Unknown must be Low confidence",IF(AND(OR(K1829="Backend",K1829="SAP"),N1829=""),"Add HTTP status + endpoint",IF(AND(OR(K1829="Backend",K1829="SAP",K1829="Network"),P1829=""),"Add Correlation ID",IF(AND(I1829="Fail",T1829=""),"Write Root Cause / evidence gap",IF(AND(I1829="Fail",V1829=""),"Assign team","OK"))))))))</f>
        <v/>
      </c>
    </row>
    <row r="1830">
      <c r="A1830" s="5" t="n"/>
      <c r="B1830" s="5" t="n"/>
      <c r="C1830" s="5" t="n"/>
      <c r="D1830" s="5" t="n"/>
      <c r="E1830" s="5" t="n"/>
      <c r="F1830" s="5" t="n"/>
      <c r="G1830" s="5" t="n"/>
      <c r="H1830" s="5" t="n"/>
      <c r="I1830" s="5" t="n"/>
      <c r="J1830" s="5" t="n"/>
      <c r="K1830" s="5" t="n"/>
      <c r="L1830" s="5" t="n"/>
      <c r="M1830" s="5" t="n"/>
      <c r="N1830" s="5" t="n"/>
      <c r="O1830" s="5" t="n"/>
      <c r="P1830" s="5" t="n"/>
      <c r="Q1830" s="5" t="n"/>
      <c r="R1830" s="5" t="n"/>
      <c r="S1830" s="5" t="n"/>
      <c r="T1830" s="5" t="n"/>
      <c r="U1830" s="5" t="n"/>
      <c r="V1830" s="5" t="n"/>
      <c r="W1830" s="5" t="n"/>
      <c r="X1830" s="5" t="n"/>
      <c r="Y1830" s="5">
        <f>IF(I1830="","",IF(AND(I1830="Fail",K1830=""),"Classify Issue Source",IF(AND(I1830="Fail",W1830=""),"Set Confidence",IF(AND(K1830="Unknown",W1830&lt;&gt;"Low"),"Unknown must be Low confidence",IF(AND(OR(K1830="Backend",K1830="SAP"),N1830=""),"Add HTTP status + endpoint",IF(AND(OR(K1830="Backend",K1830="SAP",K1830="Network"),P1830=""),"Add Correlation ID",IF(AND(I1830="Fail",T1830=""),"Write Root Cause / evidence gap",IF(AND(I1830="Fail",V1830=""),"Assign team","OK"))))))))</f>
        <v/>
      </c>
    </row>
    <row r="1831">
      <c r="A1831" s="5" t="n"/>
      <c r="B1831" s="5" t="n"/>
      <c r="C1831" s="5" t="n"/>
      <c r="D1831" s="5" t="n"/>
      <c r="E1831" s="5" t="n"/>
      <c r="F1831" s="5" t="n"/>
      <c r="G1831" s="5" t="n"/>
      <c r="H1831" s="5" t="n"/>
      <c r="I1831" s="5" t="n"/>
      <c r="J1831" s="5" t="n"/>
      <c r="K1831" s="5" t="n"/>
      <c r="L1831" s="5" t="n"/>
      <c r="M1831" s="5" t="n"/>
      <c r="N1831" s="5" t="n"/>
      <c r="O1831" s="5" t="n"/>
      <c r="P1831" s="5" t="n"/>
      <c r="Q1831" s="5" t="n"/>
      <c r="R1831" s="5" t="n"/>
      <c r="S1831" s="5" t="n"/>
      <c r="T1831" s="5" t="n"/>
      <c r="U1831" s="5" t="n"/>
      <c r="V1831" s="5" t="n"/>
      <c r="W1831" s="5" t="n"/>
      <c r="X1831" s="5" t="n"/>
      <c r="Y1831" s="5">
        <f>IF(I1831="","",IF(AND(I1831="Fail",K1831=""),"Classify Issue Source",IF(AND(I1831="Fail",W1831=""),"Set Confidence",IF(AND(K1831="Unknown",W1831&lt;&gt;"Low"),"Unknown must be Low confidence",IF(AND(OR(K1831="Backend",K1831="SAP"),N1831=""),"Add HTTP status + endpoint",IF(AND(OR(K1831="Backend",K1831="SAP",K1831="Network"),P1831=""),"Add Correlation ID",IF(AND(I1831="Fail",T1831=""),"Write Root Cause / evidence gap",IF(AND(I1831="Fail",V1831=""),"Assign team","OK"))))))))</f>
        <v/>
      </c>
    </row>
    <row r="1832">
      <c r="A1832" s="5" t="n"/>
      <c r="B1832" s="5" t="n"/>
      <c r="C1832" s="5" t="n"/>
      <c r="D1832" s="5" t="n"/>
      <c r="E1832" s="5" t="n"/>
      <c r="F1832" s="5" t="n"/>
      <c r="G1832" s="5" t="n"/>
      <c r="H1832" s="5" t="n"/>
      <c r="I1832" s="5" t="n"/>
      <c r="J1832" s="5" t="n"/>
      <c r="K1832" s="5" t="n"/>
      <c r="L1832" s="5" t="n"/>
      <c r="M1832" s="5" t="n"/>
      <c r="N1832" s="5" t="n"/>
      <c r="O1832" s="5" t="n"/>
      <c r="P1832" s="5" t="n"/>
      <c r="Q1832" s="5" t="n"/>
      <c r="R1832" s="5" t="n"/>
      <c r="S1832" s="5" t="n"/>
      <c r="T1832" s="5" t="n"/>
      <c r="U1832" s="5" t="n"/>
      <c r="V1832" s="5" t="n"/>
      <c r="W1832" s="5" t="n"/>
      <c r="X1832" s="5" t="n"/>
      <c r="Y1832" s="5">
        <f>IF(I1832="","",IF(AND(I1832="Fail",K1832=""),"Classify Issue Source",IF(AND(I1832="Fail",W1832=""),"Set Confidence",IF(AND(K1832="Unknown",W1832&lt;&gt;"Low"),"Unknown must be Low confidence",IF(AND(OR(K1832="Backend",K1832="SAP"),N1832=""),"Add HTTP status + endpoint",IF(AND(OR(K1832="Backend",K1832="SAP",K1832="Network"),P1832=""),"Add Correlation ID",IF(AND(I1832="Fail",T1832=""),"Write Root Cause / evidence gap",IF(AND(I1832="Fail",V1832=""),"Assign team","OK"))))))))</f>
        <v/>
      </c>
    </row>
    <row r="1833">
      <c r="A1833" s="5" t="n"/>
      <c r="B1833" s="5" t="n"/>
      <c r="C1833" s="5" t="n"/>
      <c r="D1833" s="5" t="n"/>
      <c r="E1833" s="5" t="n"/>
      <c r="F1833" s="5" t="n"/>
      <c r="G1833" s="5" t="n"/>
      <c r="H1833" s="5" t="n"/>
      <c r="I1833" s="5" t="n"/>
      <c r="J1833" s="5" t="n"/>
      <c r="K1833" s="5" t="n"/>
      <c r="L1833" s="5" t="n"/>
      <c r="M1833" s="5" t="n"/>
      <c r="N1833" s="5" t="n"/>
      <c r="O1833" s="5" t="n"/>
      <c r="P1833" s="5" t="n"/>
      <c r="Q1833" s="5" t="n"/>
      <c r="R1833" s="5" t="n"/>
      <c r="S1833" s="5" t="n"/>
      <c r="T1833" s="5" t="n"/>
      <c r="U1833" s="5" t="n"/>
      <c r="V1833" s="5" t="n"/>
      <c r="W1833" s="5" t="n"/>
      <c r="X1833" s="5" t="n"/>
      <c r="Y1833" s="5">
        <f>IF(I1833="","",IF(AND(I1833="Fail",K1833=""),"Classify Issue Source",IF(AND(I1833="Fail",W1833=""),"Set Confidence",IF(AND(K1833="Unknown",W1833&lt;&gt;"Low"),"Unknown must be Low confidence",IF(AND(OR(K1833="Backend",K1833="SAP"),N1833=""),"Add HTTP status + endpoint",IF(AND(OR(K1833="Backend",K1833="SAP",K1833="Network"),P1833=""),"Add Correlation ID",IF(AND(I1833="Fail",T1833=""),"Write Root Cause / evidence gap",IF(AND(I1833="Fail",V1833=""),"Assign team","OK"))))))))</f>
        <v/>
      </c>
    </row>
    <row r="1834">
      <c r="A1834" s="5" t="n"/>
      <c r="B1834" s="5" t="n"/>
      <c r="C1834" s="5" t="n"/>
      <c r="D1834" s="5" t="n"/>
      <c r="E1834" s="5" t="n"/>
      <c r="F1834" s="5" t="n"/>
      <c r="G1834" s="5" t="n"/>
      <c r="H1834" s="5" t="n"/>
      <c r="I1834" s="5" t="n"/>
      <c r="J1834" s="5" t="n"/>
      <c r="K1834" s="5" t="n"/>
      <c r="L1834" s="5" t="n"/>
      <c r="M1834" s="5" t="n"/>
      <c r="N1834" s="5" t="n"/>
      <c r="O1834" s="5" t="n"/>
      <c r="P1834" s="5" t="n"/>
      <c r="Q1834" s="5" t="n"/>
      <c r="R1834" s="5" t="n"/>
      <c r="S1834" s="5" t="n"/>
      <c r="T1834" s="5" t="n"/>
      <c r="U1834" s="5" t="n"/>
      <c r="V1834" s="5" t="n"/>
      <c r="W1834" s="5" t="n"/>
      <c r="X1834" s="5" t="n"/>
      <c r="Y1834" s="5">
        <f>IF(I1834="","",IF(AND(I1834="Fail",K1834=""),"Classify Issue Source",IF(AND(I1834="Fail",W1834=""),"Set Confidence",IF(AND(K1834="Unknown",W1834&lt;&gt;"Low"),"Unknown must be Low confidence",IF(AND(OR(K1834="Backend",K1834="SAP"),N1834=""),"Add HTTP status + endpoint",IF(AND(OR(K1834="Backend",K1834="SAP",K1834="Network"),P1834=""),"Add Correlation ID",IF(AND(I1834="Fail",T1834=""),"Write Root Cause / evidence gap",IF(AND(I1834="Fail",V1834=""),"Assign team","OK"))))))))</f>
        <v/>
      </c>
    </row>
    <row r="1835">
      <c r="A1835" s="5" t="n"/>
      <c r="B1835" s="5" t="n"/>
      <c r="C1835" s="5" t="n"/>
      <c r="D1835" s="5" t="n"/>
      <c r="E1835" s="5" t="n"/>
      <c r="F1835" s="5" t="n"/>
      <c r="G1835" s="5" t="n"/>
      <c r="H1835" s="5" t="n"/>
      <c r="I1835" s="5" t="n"/>
      <c r="J1835" s="5" t="n"/>
      <c r="K1835" s="5" t="n"/>
      <c r="L1835" s="5" t="n"/>
      <c r="M1835" s="5" t="n"/>
      <c r="N1835" s="5" t="n"/>
      <c r="O1835" s="5" t="n"/>
      <c r="P1835" s="5" t="n"/>
      <c r="Q1835" s="5" t="n"/>
      <c r="R1835" s="5" t="n"/>
      <c r="S1835" s="5" t="n"/>
      <c r="T1835" s="5" t="n"/>
      <c r="U1835" s="5" t="n"/>
      <c r="V1835" s="5" t="n"/>
      <c r="W1835" s="5" t="n"/>
      <c r="X1835" s="5" t="n"/>
      <c r="Y1835" s="5">
        <f>IF(I1835="","",IF(AND(I1835="Fail",K1835=""),"Classify Issue Source",IF(AND(I1835="Fail",W1835=""),"Set Confidence",IF(AND(K1835="Unknown",W1835&lt;&gt;"Low"),"Unknown must be Low confidence",IF(AND(OR(K1835="Backend",K1835="SAP"),N1835=""),"Add HTTP status + endpoint",IF(AND(OR(K1835="Backend",K1835="SAP",K1835="Network"),P1835=""),"Add Correlation ID",IF(AND(I1835="Fail",T1835=""),"Write Root Cause / evidence gap",IF(AND(I1835="Fail",V1835=""),"Assign team","OK"))))))))</f>
        <v/>
      </c>
    </row>
    <row r="1836">
      <c r="A1836" s="5" t="n"/>
      <c r="B1836" s="5" t="n"/>
      <c r="C1836" s="5" t="n"/>
      <c r="D1836" s="5" t="n"/>
      <c r="E1836" s="5" t="n"/>
      <c r="F1836" s="5" t="n"/>
      <c r="G1836" s="5" t="n"/>
      <c r="H1836" s="5" t="n"/>
      <c r="I1836" s="5" t="n"/>
      <c r="J1836" s="5" t="n"/>
      <c r="K1836" s="5" t="n"/>
      <c r="L1836" s="5" t="n"/>
      <c r="M1836" s="5" t="n"/>
      <c r="N1836" s="5" t="n"/>
      <c r="O1836" s="5" t="n"/>
      <c r="P1836" s="5" t="n"/>
      <c r="Q1836" s="5" t="n"/>
      <c r="R1836" s="5" t="n"/>
      <c r="S1836" s="5" t="n"/>
      <c r="T1836" s="5" t="n"/>
      <c r="U1836" s="5" t="n"/>
      <c r="V1836" s="5" t="n"/>
      <c r="W1836" s="5" t="n"/>
      <c r="X1836" s="5" t="n"/>
      <c r="Y1836" s="5">
        <f>IF(I1836="","",IF(AND(I1836="Fail",K1836=""),"Classify Issue Source",IF(AND(I1836="Fail",W1836=""),"Set Confidence",IF(AND(K1836="Unknown",W1836&lt;&gt;"Low"),"Unknown must be Low confidence",IF(AND(OR(K1836="Backend",K1836="SAP"),N1836=""),"Add HTTP status + endpoint",IF(AND(OR(K1836="Backend",K1836="SAP",K1836="Network"),P1836=""),"Add Correlation ID",IF(AND(I1836="Fail",T1836=""),"Write Root Cause / evidence gap",IF(AND(I1836="Fail",V1836=""),"Assign team","OK"))))))))</f>
        <v/>
      </c>
    </row>
    <row r="1837">
      <c r="A1837" s="5" t="n"/>
      <c r="B1837" s="5" t="n"/>
      <c r="C1837" s="5" t="n"/>
      <c r="D1837" s="5" t="n"/>
      <c r="E1837" s="5" t="n"/>
      <c r="F1837" s="5" t="n"/>
      <c r="G1837" s="5" t="n"/>
      <c r="H1837" s="5" t="n"/>
      <c r="I1837" s="5" t="n"/>
      <c r="J1837" s="5" t="n"/>
      <c r="K1837" s="5" t="n"/>
      <c r="L1837" s="5" t="n"/>
      <c r="M1837" s="5" t="n"/>
      <c r="N1837" s="5" t="n"/>
      <c r="O1837" s="5" t="n"/>
      <c r="P1837" s="5" t="n"/>
      <c r="Q1837" s="5" t="n"/>
      <c r="R1837" s="5" t="n"/>
      <c r="S1837" s="5" t="n"/>
      <c r="T1837" s="5" t="n"/>
      <c r="U1837" s="5" t="n"/>
      <c r="V1837" s="5" t="n"/>
      <c r="W1837" s="5" t="n"/>
      <c r="X1837" s="5" t="n"/>
      <c r="Y1837" s="5">
        <f>IF(I1837="","",IF(AND(I1837="Fail",K1837=""),"Classify Issue Source",IF(AND(I1837="Fail",W1837=""),"Set Confidence",IF(AND(K1837="Unknown",W1837&lt;&gt;"Low"),"Unknown must be Low confidence",IF(AND(OR(K1837="Backend",K1837="SAP"),N1837=""),"Add HTTP status + endpoint",IF(AND(OR(K1837="Backend",K1837="SAP",K1837="Network"),P1837=""),"Add Correlation ID",IF(AND(I1837="Fail",T1837=""),"Write Root Cause / evidence gap",IF(AND(I1837="Fail",V1837=""),"Assign team","OK"))))))))</f>
        <v/>
      </c>
    </row>
    <row r="1838">
      <c r="A1838" s="5" t="n"/>
      <c r="B1838" s="5" t="n"/>
      <c r="C1838" s="5" t="n"/>
      <c r="D1838" s="5" t="n"/>
      <c r="E1838" s="5" t="n"/>
      <c r="F1838" s="5" t="n"/>
      <c r="G1838" s="5" t="n"/>
      <c r="H1838" s="5" t="n"/>
      <c r="I1838" s="5" t="n"/>
      <c r="J1838" s="5" t="n"/>
      <c r="K1838" s="5" t="n"/>
      <c r="L1838" s="5" t="n"/>
      <c r="M1838" s="5" t="n"/>
      <c r="N1838" s="5" t="n"/>
      <c r="O1838" s="5" t="n"/>
      <c r="P1838" s="5" t="n"/>
      <c r="Q1838" s="5" t="n"/>
      <c r="R1838" s="5" t="n"/>
      <c r="S1838" s="5" t="n"/>
      <c r="T1838" s="5" t="n"/>
      <c r="U1838" s="5" t="n"/>
      <c r="V1838" s="5" t="n"/>
      <c r="W1838" s="5" t="n"/>
      <c r="X1838" s="5" t="n"/>
      <c r="Y1838" s="5">
        <f>IF(I1838="","",IF(AND(I1838="Fail",K1838=""),"Classify Issue Source",IF(AND(I1838="Fail",W1838=""),"Set Confidence",IF(AND(K1838="Unknown",W1838&lt;&gt;"Low"),"Unknown must be Low confidence",IF(AND(OR(K1838="Backend",K1838="SAP"),N1838=""),"Add HTTP status + endpoint",IF(AND(OR(K1838="Backend",K1838="SAP",K1838="Network"),P1838=""),"Add Correlation ID",IF(AND(I1838="Fail",T1838=""),"Write Root Cause / evidence gap",IF(AND(I1838="Fail",V1838=""),"Assign team","OK"))))))))</f>
        <v/>
      </c>
    </row>
    <row r="1839">
      <c r="A1839" s="5" t="n"/>
      <c r="B1839" s="5" t="n"/>
      <c r="C1839" s="5" t="n"/>
      <c r="D1839" s="5" t="n"/>
      <c r="E1839" s="5" t="n"/>
      <c r="F1839" s="5" t="n"/>
      <c r="G1839" s="5" t="n"/>
      <c r="H1839" s="5" t="n"/>
      <c r="I1839" s="5" t="n"/>
      <c r="J1839" s="5" t="n"/>
      <c r="K1839" s="5" t="n"/>
      <c r="L1839" s="5" t="n"/>
      <c r="M1839" s="5" t="n"/>
      <c r="N1839" s="5" t="n"/>
      <c r="O1839" s="5" t="n"/>
      <c r="P1839" s="5" t="n"/>
      <c r="Q1839" s="5" t="n"/>
      <c r="R1839" s="5" t="n"/>
      <c r="S1839" s="5" t="n"/>
      <c r="T1839" s="5" t="n"/>
      <c r="U1839" s="5" t="n"/>
      <c r="V1839" s="5" t="n"/>
      <c r="W1839" s="5" t="n"/>
      <c r="X1839" s="5" t="n"/>
      <c r="Y1839" s="5">
        <f>IF(I1839="","",IF(AND(I1839="Fail",K1839=""),"Classify Issue Source",IF(AND(I1839="Fail",W1839=""),"Set Confidence",IF(AND(K1839="Unknown",W1839&lt;&gt;"Low"),"Unknown must be Low confidence",IF(AND(OR(K1839="Backend",K1839="SAP"),N1839=""),"Add HTTP status + endpoint",IF(AND(OR(K1839="Backend",K1839="SAP",K1839="Network"),P1839=""),"Add Correlation ID",IF(AND(I1839="Fail",T1839=""),"Write Root Cause / evidence gap",IF(AND(I1839="Fail",V1839=""),"Assign team","OK"))))))))</f>
        <v/>
      </c>
    </row>
    <row r="1840">
      <c r="A1840" s="5" t="n"/>
      <c r="B1840" s="5" t="n"/>
      <c r="C1840" s="5" t="n"/>
      <c r="D1840" s="5" t="n"/>
      <c r="E1840" s="5" t="n"/>
      <c r="F1840" s="5" t="n"/>
      <c r="G1840" s="5" t="n"/>
      <c r="H1840" s="5" t="n"/>
      <c r="I1840" s="5" t="n"/>
      <c r="J1840" s="5" t="n"/>
      <c r="K1840" s="5" t="n"/>
      <c r="L1840" s="5" t="n"/>
      <c r="M1840" s="5" t="n"/>
      <c r="N1840" s="5" t="n"/>
      <c r="O1840" s="5" t="n"/>
      <c r="P1840" s="5" t="n"/>
      <c r="Q1840" s="5" t="n"/>
      <c r="R1840" s="5" t="n"/>
      <c r="S1840" s="5" t="n"/>
      <c r="T1840" s="5" t="n"/>
      <c r="U1840" s="5" t="n"/>
      <c r="V1840" s="5" t="n"/>
      <c r="W1840" s="5" t="n"/>
      <c r="X1840" s="5" t="n"/>
      <c r="Y1840" s="5">
        <f>IF(I1840="","",IF(AND(I1840="Fail",K1840=""),"Classify Issue Source",IF(AND(I1840="Fail",W1840=""),"Set Confidence",IF(AND(K1840="Unknown",W1840&lt;&gt;"Low"),"Unknown must be Low confidence",IF(AND(OR(K1840="Backend",K1840="SAP"),N1840=""),"Add HTTP status + endpoint",IF(AND(OR(K1840="Backend",K1840="SAP",K1840="Network"),P1840=""),"Add Correlation ID",IF(AND(I1840="Fail",T1840=""),"Write Root Cause / evidence gap",IF(AND(I1840="Fail",V1840=""),"Assign team","OK"))))))))</f>
        <v/>
      </c>
    </row>
    <row r="1841">
      <c r="A1841" s="5" t="n"/>
      <c r="B1841" s="5" t="n"/>
      <c r="C1841" s="5" t="n"/>
      <c r="D1841" s="5" t="n"/>
      <c r="E1841" s="5" t="n"/>
      <c r="F1841" s="5" t="n"/>
      <c r="G1841" s="5" t="n"/>
      <c r="H1841" s="5" t="n"/>
      <c r="I1841" s="5" t="n"/>
      <c r="J1841" s="5" t="n"/>
      <c r="K1841" s="5" t="n"/>
      <c r="L1841" s="5" t="n"/>
      <c r="M1841" s="5" t="n"/>
      <c r="N1841" s="5" t="n"/>
      <c r="O1841" s="5" t="n"/>
      <c r="P1841" s="5" t="n"/>
      <c r="Q1841" s="5" t="n"/>
      <c r="R1841" s="5" t="n"/>
      <c r="S1841" s="5" t="n"/>
      <c r="T1841" s="5" t="n"/>
      <c r="U1841" s="5" t="n"/>
      <c r="V1841" s="5" t="n"/>
      <c r="W1841" s="5" t="n"/>
      <c r="X1841" s="5" t="n"/>
      <c r="Y1841" s="5">
        <f>IF(I1841="","",IF(AND(I1841="Fail",K1841=""),"Classify Issue Source",IF(AND(I1841="Fail",W1841=""),"Set Confidence",IF(AND(K1841="Unknown",W1841&lt;&gt;"Low"),"Unknown must be Low confidence",IF(AND(OR(K1841="Backend",K1841="SAP"),N1841=""),"Add HTTP status + endpoint",IF(AND(OR(K1841="Backend",K1841="SAP",K1841="Network"),P1841=""),"Add Correlation ID",IF(AND(I1841="Fail",T1841=""),"Write Root Cause / evidence gap",IF(AND(I1841="Fail",V1841=""),"Assign team","OK"))))))))</f>
        <v/>
      </c>
    </row>
    <row r="1842">
      <c r="A1842" s="5" t="n"/>
      <c r="B1842" s="5" t="n"/>
      <c r="C1842" s="5" t="n"/>
      <c r="D1842" s="5" t="n"/>
      <c r="E1842" s="5" t="n"/>
      <c r="F1842" s="5" t="n"/>
      <c r="G1842" s="5" t="n"/>
      <c r="H1842" s="5" t="n"/>
      <c r="I1842" s="5" t="n"/>
      <c r="J1842" s="5" t="n"/>
      <c r="K1842" s="5" t="n"/>
      <c r="L1842" s="5" t="n"/>
      <c r="M1842" s="5" t="n"/>
      <c r="N1842" s="5" t="n"/>
      <c r="O1842" s="5" t="n"/>
      <c r="P1842" s="5" t="n"/>
      <c r="Q1842" s="5" t="n"/>
      <c r="R1842" s="5" t="n"/>
      <c r="S1842" s="5" t="n"/>
      <c r="T1842" s="5" t="n"/>
      <c r="U1842" s="5" t="n"/>
      <c r="V1842" s="5" t="n"/>
      <c r="W1842" s="5" t="n"/>
      <c r="X1842" s="5" t="n"/>
      <c r="Y1842" s="5">
        <f>IF(I1842="","",IF(AND(I1842="Fail",K1842=""),"Classify Issue Source",IF(AND(I1842="Fail",W1842=""),"Set Confidence",IF(AND(K1842="Unknown",W1842&lt;&gt;"Low"),"Unknown must be Low confidence",IF(AND(OR(K1842="Backend",K1842="SAP"),N1842=""),"Add HTTP status + endpoint",IF(AND(OR(K1842="Backend",K1842="SAP",K1842="Network"),P1842=""),"Add Correlation ID",IF(AND(I1842="Fail",T1842=""),"Write Root Cause / evidence gap",IF(AND(I1842="Fail",V1842=""),"Assign team","OK"))))))))</f>
        <v/>
      </c>
    </row>
    <row r="1843">
      <c r="A1843" s="5" t="n"/>
      <c r="B1843" s="5" t="n"/>
      <c r="C1843" s="5" t="n"/>
      <c r="D1843" s="5" t="n"/>
      <c r="E1843" s="5" t="n"/>
      <c r="F1843" s="5" t="n"/>
      <c r="G1843" s="5" t="n"/>
      <c r="H1843" s="5" t="n"/>
      <c r="I1843" s="5" t="n"/>
      <c r="J1843" s="5" t="n"/>
      <c r="K1843" s="5" t="n"/>
      <c r="L1843" s="5" t="n"/>
      <c r="M1843" s="5" t="n"/>
      <c r="N1843" s="5" t="n"/>
      <c r="O1843" s="5" t="n"/>
      <c r="P1843" s="5" t="n"/>
      <c r="Q1843" s="5" t="n"/>
      <c r="R1843" s="5" t="n"/>
      <c r="S1843" s="5" t="n"/>
      <c r="T1843" s="5" t="n"/>
      <c r="U1843" s="5" t="n"/>
      <c r="V1843" s="5" t="n"/>
      <c r="W1843" s="5" t="n"/>
      <c r="X1843" s="5" t="n"/>
      <c r="Y1843" s="5">
        <f>IF(I1843="","",IF(AND(I1843="Fail",K1843=""),"Classify Issue Source",IF(AND(I1843="Fail",W1843=""),"Set Confidence",IF(AND(K1843="Unknown",W1843&lt;&gt;"Low"),"Unknown must be Low confidence",IF(AND(OR(K1843="Backend",K1843="SAP"),N1843=""),"Add HTTP status + endpoint",IF(AND(OR(K1843="Backend",K1843="SAP",K1843="Network"),P1843=""),"Add Correlation ID",IF(AND(I1843="Fail",T1843=""),"Write Root Cause / evidence gap",IF(AND(I1843="Fail",V1843=""),"Assign team","OK"))))))))</f>
        <v/>
      </c>
    </row>
    <row r="1844">
      <c r="A1844" s="5" t="n"/>
      <c r="B1844" s="5" t="n"/>
      <c r="C1844" s="5" t="n"/>
      <c r="D1844" s="5" t="n"/>
      <c r="E1844" s="5" t="n"/>
      <c r="F1844" s="5" t="n"/>
      <c r="G1844" s="5" t="n"/>
      <c r="H1844" s="5" t="n"/>
      <c r="I1844" s="5" t="n"/>
      <c r="J1844" s="5" t="n"/>
      <c r="K1844" s="5" t="n"/>
      <c r="L1844" s="5" t="n"/>
      <c r="M1844" s="5" t="n"/>
      <c r="N1844" s="5" t="n"/>
      <c r="O1844" s="5" t="n"/>
      <c r="P1844" s="5" t="n"/>
      <c r="Q1844" s="5" t="n"/>
      <c r="R1844" s="5" t="n"/>
      <c r="S1844" s="5" t="n"/>
      <c r="T1844" s="5" t="n"/>
      <c r="U1844" s="5" t="n"/>
      <c r="V1844" s="5" t="n"/>
      <c r="W1844" s="5" t="n"/>
      <c r="X1844" s="5" t="n"/>
      <c r="Y1844" s="5">
        <f>IF(I1844="","",IF(AND(I1844="Fail",K1844=""),"Classify Issue Source",IF(AND(I1844="Fail",W1844=""),"Set Confidence",IF(AND(K1844="Unknown",W1844&lt;&gt;"Low"),"Unknown must be Low confidence",IF(AND(OR(K1844="Backend",K1844="SAP"),N1844=""),"Add HTTP status + endpoint",IF(AND(OR(K1844="Backend",K1844="SAP",K1844="Network"),P1844=""),"Add Correlation ID",IF(AND(I1844="Fail",T1844=""),"Write Root Cause / evidence gap",IF(AND(I1844="Fail",V1844=""),"Assign team","OK"))))))))</f>
        <v/>
      </c>
    </row>
    <row r="1845">
      <c r="A1845" s="5" t="n"/>
      <c r="B1845" s="5" t="n"/>
      <c r="C1845" s="5" t="n"/>
      <c r="D1845" s="5" t="n"/>
      <c r="E1845" s="5" t="n"/>
      <c r="F1845" s="5" t="n"/>
      <c r="G1845" s="5" t="n"/>
      <c r="H1845" s="5" t="n"/>
      <c r="I1845" s="5" t="n"/>
      <c r="J1845" s="5" t="n"/>
      <c r="K1845" s="5" t="n"/>
      <c r="L1845" s="5" t="n"/>
      <c r="M1845" s="5" t="n"/>
      <c r="N1845" s="5" t="n"/>
      <c r="O1845" s="5" t="n"/>
      <c r="P1845" s="5" t="n"/>
      <c r="Q1845" s="5" t="n"/>
      <c r="R1845" s="5" t="n"/>
      <c r="S1845" s="5" t="n"/>
      <c r="T1845" s="5" t="n"/>
      <c r="U1845" s="5" t="n"/>
      <c r="V1845" s="5" t="n"/>
      <c r="W1845" s="5" t="n"/>
      <c r="X1845" s="5" t="n"/>
      <c r="Y1845" s="5">
        <f>IF(I1845="","",IF(AND(I1845="Fail",K1845=""),"Classify Issue Source",IF(AND(I1845="Fail",W1845=""),"Set Confidence",IF(AND(K1845="Unknown",W1845&lt;&gt;"Low"),"Unknown must be Low confidence",IF(AND(OR(K1845="Backend",K1845="SAP"),N1845=""),"Add HTTP status + endpoint",IF(AND(OR(K1845="Backend",K1845="SAP",K1845="Network"),P1845=""),"Add Correlation ID",IF(AND(I1845="Fail",T1845=""),"Write Root Cause / evidence gap",IF(AND(I1845="Fail",V1845=""),"Assign team","OK"))))))))</f>
        <v/>
      </c>
    </row>
    <row r="1846">
      <c r="A1846" s="5" t="n"/>
      <c r="B1846" s="5" t="n"/>
      <c r="C1846" s="5" t="n"/>
      <c r="D1846" s="5" t="n"/>
      <c r="E1846" s="5" t="n"/>
      <c r="F1846" s="5" t="n"/>
      <c r="G1846" s="5" t="n"/>
      <c r="H1846" s="5" t="n"/>
      <c r="I1846" s="5" t="n"/>
      <c r="J1846" s="5" t="n"/>
      <c r="K1846" s="5" t="n"/>
      <c r="L1846" s="5" t="n"/>
      <c r="M1846" s="5" t="n"/>
      <c r="N1846" s="5" t="n"/>
      <c r="O1846" s="5" t="n"/>
      <c r="P1846" s="5" t="n"/>
      <c r="Q1846" s="5" t="n"/>
      <c r="R1846" s="5" t="n"/>
      <c r="S1846" s="5" t="n"/>
      <c r="T1846" s="5" t="n"/>
      <c r="U1846" s="5" t="n"/>
      <c r="V1846" s="5" t="n"/>
      <c r="W1846" s="5" t="n"/>
      <c r="X1846" s="5" t="n"/>
      <c r="Y1846" s="5">
        <f>IF(I1846="","",IF(AND(I1846="Fail",K1846=""),"Classify Issue Source",IF(AND(I1846="Fail",W1846=""),"Set Confidence",IF(AND(K1846="Unknown",W1846&lt;&gt;"Low"),"Unknown must be Low confidence",IF(AND(OR(K1846="Backend",K1846="SAP"),N1846=""),"Add HTTP status + endpoint",IF(AND(OR(K1846="Backend",K1846="SAP",K1846="Network"),P1846=""),"Add Correlation ID",IF(AND(I1846="Fail",T1846=""),"Write Root Cause / evidence gap",IF(AND(I1846="Fail",V1846=""),"Assign team","OK"))))))))</f>
        <v/>
      </c>
    </row>
    <row r="1847">
      <c r="A1847" s="5" t="n"/>
      <c r="B1847" s="5" t="n"/>
      <c r="C1847" s="5" t="n"/>
      <c r="D1847" s="5" t="n"/>
      <c r="E1847" s="5" t="n"/>
      <c r="F1847" s="5" t="n"/>
      <c r="G1847" s="5" t="n"/>
      <c r="H1847" s="5" t="n"/>
      <c r="I1847" s="5" t="n"/>
      <c r="J1847" s="5" t="n"/>
      <c r="K1847" s="5" t="n"/>
      <c r="L1847" s="5" t="n"/>
      <c r="M1847" s="5" t="n"/>
      <c r="N1847" s="5" t="n"/>
      <c r="O1847" s="5" t="n"/>
      <c r="P1847" s="5" t="n"/>
      <c r="Q1847" s="5" t="n"/>
      <c r="R1847" s="5" t="n"/>
      <c r="S1847" s="5" t="n"/>
      <c r="T1847" s="5" t="n"/>
      <c r="U1847" s="5" t="n"/>
      <c r="V1847" s="5" t="n"/>
      <c r="W1847" s="5" t="n"/>
      <c r="X1847" s="5" t="n"/>
      <c r="Y1847" s="5">
        <f>IF(I1847="","",IF(AND(I1847="Fail",K1847=""),"Classify Issue Source",IF(AND(I1847="Fail",W1847=""),"Set Confidence",IF(AND(K1847="Unknown",W1847&lt;&gt;"Low"),"Unknown must be Low confidence",IF(AND(OR(K1847="Backend",K1847="SAP"),N1847=""),"Add HTTP status + endpoint",IF(AND(OR(K1847="Backend",K1847="SAP",K1847="Network"),P1847=""),"Add Correlation ID",IF(AND(I1847="Fail",T1847=""),"Write Root Cause / evidence gap",IF(AND(I1847="Fail",V1847=""),"Assign team","OK"))))))))</f>
        <v/>
      </c>
    </row>
    <row r="1848">
      <c r="A1848" s="5" t="n"/>
      <c r="B1848" s="5" t="n"/>
      <c r="C1848" s="5" t="n"/>
      <c r="D1848" s="5" t="n"/>
      <c r="E1848" s="5" t="n"/>
      <c r="F1848" s="5" t="n"/>
      <c r="G1848" s="5" t="n"/>
      <c r="H1848" s="5" t="n"/>
      <c r="I1848" s="5" t="n"/>
      <c r="J1848" s="5" t="n"/>
      <c r="K1848" s="5" t="n"/>
      <c r="L1848" s="5" t="n"/>
      <c r="M1848" s="5" t="n"/>
      <c r="N1848" s="5" t="n"/>
      <c r="O1848" s="5" t="n"/>
      <c r="P1848" s="5" t="n"/>
      <c r="Q1848" s="5" t="n"/>
      <c r="R1848" s="5" t="n"/>
      <c r="S1848" s="5" t="n"/>
      <c r="T1848" s="5" t="n"/>
      <c r="U1848" s="5" t="n"/>
      <c r="V1848" s="5" t="n"/>
      <c r="W1848" s="5" t="n"/>
      <c r="X1848" s="5" t="n"/>
      <c r="Y1848" s="5">
        <f>IF(I1848="","",IF(AND(I1848="Fail",K1848=""),"Classify Issue Source",IF(AND(I1848="Fail",W1848=""),"Set Confidence",IF(AND(K1848="Unknown",W1848&lt;&gt;"Low"),"Unknown must be Low confidence",IF(AND(OR(K1848="Backend",K1848="SAP"),N1848=""),"Add HTTP status + endpoint",IF(AND(OR(K1848="Backend",K1848="SAP",K1848="Network"),P1848=""),"Add Correlation ID",IF(AND(I1848="Fail",T1848=""),"Write Root Cause / evidence gap",IF(AND(I1848="Fail",V1848=""),"Assign team","OK"))))))))</f>
        <v/>
      </c>
    </row>
    <row r="1849">
      <c r="A1849" s="5" t="n"/>
      <c r="B1849" s="5" t="n"/>
      <c r="C1849" s="5" t="n"/>
      <c r="D1849" s="5" t="n"/>
      <c r="E1849" s="5" t="n"/>
      <c r="F1849" s="5" t="n"/>
      <c r="G1849" s="5" t="n"/>
      <c r="H1849" s="5" t="n"/>
      <c r="I1849" s="5" t="n"/>
      <c r="J1849" s="5" t="n"/>
      <c r="K1849" s="5" t="n"/>
      <c r="L1849" s="5" t="n"/>
      <c r="M1849" s="5" t="n"/>
      <c r="N1849" s="5" t="n"/>
      <c r="O1849" s="5" t="n"/>
      <c r="P1849" s="5" t="n"/>
      <c r="Q1849" s="5" t="n"/>
      <c r="R1849" s="5" t="n"/>
      <c r="S1849" s="5" t="n"/>
      <c r="T1849" s="5" t="n"/>
      <c r="U1849" s="5" t="n"/>
      <c r="V1849" s="5" t="n"/>
      <c r="W1849" s="5" t="n"/>
      <c r="X1849" s="5" t="n"/>
      <c r="Y1849" s="5">
        <f>IF(I1849="","",IF(AND(I1849="Fail",K1849=""),"Classify Issue Source",IF(AND(I1849="Fail",W1849=""),"Set Confidence",IF(AND(K1849="Unknown",W1849&lt;&gt;"Low"),"Unknown must be Low confidence",IF(AND(OR(K1849="Backend",K1849="SAP"),N1849=""),"Add HTTP status + endpoint",IF(AND(OR(K1849="Backend",K1849="SAP",K1849="Network"),P1849=""),"Add Correlation ID",IF(AND(I1849="Fail",T1849=""),"Write Root Cause / evidence gap",IF(AND(I1849="Fail",V1849=""),"Assign team","OK"))))))))</f>
        <v/>
      </c>
    </row>
    <row r="1850">
      <c r="A1850" s="5" t="n"/>
      <c r="B1850" s="5" t="n"/>
      <c r="C1850" s="5" t="n"/>
      <c r="D1850" s="5" t="n"/>
      <c r="E1850" s="5" t="n"/>
      <c r="F1850" s="5" t="n"/>
      <c r="G1850" s="5" t="n"/>
      <c r="H1850" s="5" t="n"/>
      <c r="I1850" s="5" t="n"/>
      <c r="J1850" s="5" t="n"/>
      <c r="K1850" s="5" t="n"/>
      <c r="L1850" s="5" t="n"/>
      <c r="M1850" s="5" t="n"/>
      <c r="N1850" s="5" t="n"/>
      <c r="O1850" s="5" t="n"/>
      <c r="P1850" s="5" t="n"/>
      <c r="Q1850" s="5" t="n"/>
      <c r="R1850" s="5" t="n"/>
      <c r="S1850" s="5" t="n"/>
      <c r="T1850" s="5" t="n"/>
      <c r="U1850" s="5" t="n"/>
      <c r="V1850" s="5" t="n"/>
      <c r="W1850" s="5" t="n"/>
      <c r="X1850" s="5" t="n"/>
      <c r="Y1850" s="5">
        <f>IF(I1850="","",IF(AND(I1850="Fail",K1850=""),"Classify Issue Source",IF(AND(I1850="Fail",W1850=""),"Set Confidence",IF(AND(K1850="Unknown",W1850&lt;&gt;"Low"),"Unknown must be Low confidence",IF(AND(OR(K1850="Backend",K1850="SAP"),N1850=""),"Add HTTP status + endpoint",IF(AND(OR(K1850="Backend",K1850="SAP",K1850="Network"),P1850=""),"Add Correlation ID",IF(AND(I1850="Fail",T1850=""),"Write Root Cause / evidence gap",IF(AND(I1850="Fail",V1850=""),"Assign team","OK"))))))))</f>
        <v/>
      </c>
    </row>
    <row r="1851">
      <c r="A1851" s="5" t="n"/>
      <c r="B1851" s="5" t="n"/>
      <c r="C1851" s="5" t="n"/>
      <c r="D1851" s="5" t="n"/>
      <c r="E1851" s="5" t="n"/>
      <c r="F1851" s="5" t="n"/>
      <c r="G1851" s="5" t="n"/>
      <c r="H1851" s="5" t="n"/>
      <c r="I1851" s="5" t="n"/>
      <c r="J1851" s="5" t="n"/>
      <c r="K1851" s="5" t="n"/>
      <c r="L1851" s="5" t="n"/>
      <c r="M1851" s="5" t="n"/>
      <c r="N1851" s="5" t="n"/>
      <c r="O1851" s="5" t="n"/>
      <c r="P1851" s="5" t="n"/>
      <c r="Q1851" s="5" t="n"/>
      <c r="R1851" s="5" t="n"/>
      <c r="S1851" s="5" t="n"/>
      <c r="T1851" s="5" t="n"/>
      <c r="U1851" s="5" t="n"/>
      <c r="V1851" s="5" t="n"/>
      <c r="W1851" s="5" t="n"/>
      <c r="X1851" s="5" t="n"/>
      <c r="Y1851" s="5">
        <f>IF(I1851="","",IF(AND(I1851="Fail",K1851=""),"Classify Issue Source",IF(AND(I1851="Fail",W1851=""),"Set Confidence",IF(AND(K1851="Unknown",W1851&lt;&gt;"Low"),"Unknown must be Low confidence",IF(AND(OR(K1851="Backend",K1851="SAP"),N1851=""),"Add HTTP status + endpoint",IF(AND(OR(K1851="Backend",K1851="SAP",K1851="Network"),P1851=""),"Add Correlation ID",IF(AND(I1851="Fail",T1851=""),"Write Root Cause / evidence gap",IF(AND(I1851="Fail",V1851=""),"Assign team","OK"))))))))</f>
        <v/>
      </c>
    </row>
    <row r="1852">
      <c r="A1852" s="5" t="n"/>
      <c r="B1852" s="5" t="n"/>
      <c r="C1852" s="5" t="n"/>
      <c r="D1852" s="5" t="n"/>
      <c r="E1852" s="5" t="n"/>
      <c r="F1852" s="5" t="n"/>
      <c r="G1852" s="5" t="n"/>
      <c r="H1852" s="5" t="n"/>
      <c r="I1852" s="5" t="n"/>
      <c r="J1852" s="5" t="n"/>
      <c r="K1852" s="5" t="n"/>
      <c r="L1852" s="5" t="n"/>
      <c r="M1852" s="5" t="n"/>
      <c r="N1852" s="5" t="n"/>
      <c r="O1852" s="5" t="n"/>
      <c r="P1852" s="5" t="n"/>
      <c r="Q1852" s="5" t="n"/>
      <c r="R1852" s="5" t="n"/>
      <c r="S1852" s="5" t="n"/>
      <c r="T1852" s="5" t="n"/>
      <c r="U1852" s="5" t="n"/>
      <c r="V1852" s="5" t="n"/>
      <c r="W1852" s="5" t="n"/>
      <c r="X1852" s="5" t="n"/>
      <c r="Y1852" s="5">
        <f>IF(I1852="","",IF(AND(I1852="Fail",K1852=""),"Classify Issue Source",IF(AND(I1852="Fail",W1852=""),"Set Confidence",IF(AND(K1852="Unknown",W1852&lt;&gt;"Low"),"Unknown must be Low confidence",IF(AND(OR(K1852="Backend",K1852="SAP"),N1852=""),"Add HTTP status + endpoint",IF(AND(OR(K1852="Backend",K1852="SAP",K1852="Network"),P1852=""),"Add Correlation ID",IF(AND(I1852="Fail",T1852=""),"Write Root Cause / evidence gap",IF(AND(I1852="Fail",V1852=""),"Assign team","OK"))))))))</f>
        <v/>
      </c>
    </row>
    <row r="1853">
      <c r="A1853" s="5" t="n"/>
      <c r="B1853" s="5" t="n"/>
      <c r="C1853" s="5" t="n"/>
      <c r="D1853" s="5" t="n"/>
      <c r="E1853" s="5" t="n"/>
      <c r="F1853" s="5" t="n"/>
      <c r="G1853" s="5" t="n"/>
      <c r="H1853" s="5" t="n"/>
      <c r="I1853" s="5" t="n"/>
      <c r="J1853" s="5" t="n"/>
      <c r="K1853" s="5" t="n"/>
      <c r="L1853" s="5" t="n"/>
      <c r="M1853" s="5" t="n"/>
      <c r="N1853" s="5" t="n"/>
      <c r="O1853" s="5" t="n"/>
      <c r="P1853" s="5" t="n"/>
      <c r="Q1853" s="5" t="n"/>
      <c r="R1853" s="5" t="n"/>
      <c r="S1853" s="5" t="n"/>
      <c r="T1853" s="5" t="n"/>
      <c r="U1853" s="5" t="n"/>
      <c r="V1853" s="5" t="n"/>
      <c r="W1853" s="5" t="n"/>
      <c r="X1853" s="5" t="n"/>
      <c r="Y1853" s="5">
        <f>IF(I1853="","",IF(AND(I1853="Fail",K1853=""),"Classify Issue Source",IF(AND(I1853="Fail",W1853=""),"Set Confidence",IF(AND(K1853="Unknown",W1853&lt;&gt;"Low"),"Unknown must be Low confidence",IF(AND(OR(K1853="Backend",K1853="SAP"),N1853=""),"Add HTTP status + endpoint",IF(AND(OR(K1853="Backend",K1853="SAP",K1853="Network"),P1853=""),"Add Correlation ID",IF(AND(I1853="Fail",T1853=""),"Write Root Cause / evidence gap",IF(AND(I1853="Fail",V1853=""),"Assign team","OK"))))))))</f>
        <v/>
      </c>
    </row>
    <row r="1854">
      <c r="A1854" s="5" t="n"/>
      <c r="B1854" s="5" t="n"/>
      <c r="C1854" s="5" t="n"/>
      <c r="D1854" s="5" t="n"/>
      <c r="E1854" s="5" t="n"/>
      <c r="F1854" s="5" t="n"/>
      <c r="G1854" s="5" t="n"/>
      <c r="H1854" s="5" t="n"/>
      <c r="I1854" s="5" t="n"/>
      <c r="J1854" s="5" t="n"/>
      <c r="K1854" s="5" t="n"/>
      <c r="L1854" s="5" t="n"/>
      <c r="M1854" s="5" t="n"/>
      <c r="N1854" s="5" t="n"/>
      <c r="O1854" s="5" t="n"/>
      <c r="P1854" s="5" t="n"/>
      <c r="Q1854" s="5" t="n"/>
      <c r="R1854" s="5" t="n"/>
      <c r="S1854" s="5" t="n"/>
      <c r="T1854" s="5" t="n"/>
      <c r="U1854" s="5" t="n"/>
      <c r="V1854" s="5" t="n"/>
      <c r="W1854" s="5" t="n"/>
      <c r="X1854" s="5" t="n"/>
      <c r="Y1854" s="5">
        <f>IF(I1854="","",IF(AND(I1854="Fail",K1854=""),"Classify Issue Source",IF(AND(I1854="Fail",W1854=""),"Set Confidence",IF(AND(K1854="Unknown",W1854&lt;&gt;"Low"),"Unknown must be Low confidence",IF(AND(OR(K1854="Backend",K1854="SAP"),N1854=""),"Add HTTP status + endpoint",IF(AND(OR(K1854="Backend",K1854="SAP",K1854="Network"),P1854=""),"Add Correlation ID",IF(AND(I1854="Fail",T1854=""),"Write Root Cause / evidence gap",IF(AND(I1854="Fail",V1854=""),"Assign team","OK"))))))))</f>
        <v/>
      </c>
    </row>
    <row r="1855">
      <c r="A1855" s="5" t="n"/>
      <c r="B1855" s="5" t="n"/>
      <c r="C1855" s="5" t="n"/>
      <c r="D1855" s="5" t="n"/>
      <c r="E1855" s="5" t="n"/>
      <c r="F1855" s="5" t="n"/>
      <c r="G1855" s="5" t="n"/>
      <c r="H1855" s="5" t="n"/>
      <c r="I1855" s="5" t="n"/>
      <c r="J1855" s="5" t="n"/>
      <c r="K1855" s="5" t="n"/>
      <c r="L1855" s="5" t="n"/>
      <c r="M1855" s="5" t="n"/>
      <c r="N1855" s="5" t="n"/>
      <c r="O1855" s="5" t="n"/>
      <c r="P1855" s="5" t="n"/>
      <c r="Q1855" s="5" t="n"/>
      <c r="R1855" s="5" t="n"/>
      <c r="S1855" s="5" t="n"/>
      <c r="T1855" s="5" t="n"/>
      <c r="U1855" s="5" t="n"/>
      <c r="V1855" s="5" t="n"/>
      <c r="W1855" s="5" t="n"/>
      <c r="X1855" s="5" t="n"/>
      <c r="Y1855" s="5">
        <f>IF(I1855="","",IF(AND(I1855="Fail",K1855=""),"Classify Issue Source",IF(AND(I1855="Fail",W1855=""),"Set Confidence",IF(AND(K1855="Unknown",W1855&lt;&gt;"Low"),"Unknown must be Low confidence",IF(AND(OR(K1855="Backend",K1855="SAP"),N1855=""),"Add HTTP status + endpoint",IF(AND(OR(K1855="Backend",K1855="SAP",K1855="Network"),P1855=""),"Add Correlation ID",IF(AND(I1855="Fail",T1855=""),"Write Root Cause / evidence gap",IF(AND(I1855="Fail",V1855=""),"Assign team","OK"))))))))</f>
        <v/>
      </c>
    </row>
    <row r="1856">
      <c r="A1856" s="5" t="n"/>
      <c r="B1856" s="5" t="n"/>
      <c r="C1856" s="5" t="n"/>
      <c r="D1856" s="5" t="n"/>
      <c r="E1856" s="5" t="n"/>
      <c r="F1856" s="5" t="n"/>
      <c r="G1856" s="5" t="n"/>
      <c r="H1856" s="5" t="n"/>
      <c r="I1856" s="5" t="n"/>
      <c r="J1856" s="5" t="n"/>
      <c r="K1856" s="5" t="n"/>
      <c r="L1856" s="5" t="n"/>
      <c r="M1856" s="5" t="n"/>
      <c r="N1856" s="5" t="n"/>
      <c r="O1856" s="5" t="n"/>
      <c r="P1856" s="5" t="n"/>
      <c r="Q1856" s="5" t="n"/>
      <c r="R1856" s="5" t="n"/>
      <c r="S1856" s="5" t="n"/>
      <c r="T1856" s="5" t="n"/>
      <c r="U1856" s="5" t="n"/>
      <c r="V1856" s="5" t="n"/>
      <c r="W1856" s="5" t="n"/>
      <c r="X1856" s="5" t="n"/>
      <c r="Y1856" s="5">
        <f>IF(I1856="","",IF(AND(I1856="Fail",K1856=""),"Classify Issue Source",IF(AND(I1856="Fail",W1856=""),"Set Confidence",IF(AND(K1856="Unknown",W1856&lt;&gt;"Low"),"Unknown must be Low confidence",IF(AND(OR(K1856="Backend",K1856="SAP"),N1856=""),"Add HTTP status + endpoint",IF(AND(OR(K1856="Backend",K1856="SAP",K1856="Network"),P1856=""),"Add Correlation ID",IF(AND(I1856="Fail",T1856=""),"Write Root Cause / evidence gap",IF(AND(I1856="Fail",V1856=""),"Assign team","OK"))))))))</f>
        <v/>
      </c>
    </row>
    <row r="1857">
      <c r="A1857" s="5" t="n"/>
      <c r="B1857" s="5" t="n"/>
      <c r="C1857" s="5" t="n"/>
      <c r="D1857" s="5" t="n"/>
      <c r="E1857" s="5" t="n"/>
      <c r="F1857" s="5" t="n"/>
      <c r="G1857" s="5" t="n"/>
      <c r="H1857" s="5" t="n"/>
      <c r="I1857" s="5" t="n"/>
      <c r="J1857" s="5" t="n"/>
      <c r="K1857" s="5" t="n"/>
      <c r="L1857" s="5" t="n"/>
      <c r="M1857" s="5" t="n"/>
      <c r="N1857" s="5" t="n"/>
      <c r="O1857" s="5" t="n"/>
      <c r="P1857" s="5" t="n"/>
      <c r="Q1857" s="5" t="n"/>
      <c r="R1857" s="5" t="n"/>
      <c r="S1857" s="5" t="n"/>
      <c r="T1857" s="5" t="n"/>
      <c r="U1857" s="5" t="n"/>
      <c r="V1857" s="5" t="n"/>
      <c r="W1857" s="5" t="n"/>
      <c r="X1857" s="5" t="n"/>
      <c r="Y1857" s="5">
        <f>IF(I1857="","",IF(AND(I1857="Fail",K1857=""),"Classify Issue Source",IF(AND(I1857="Fail",W1857=""),"Set Confidence",IF(AND(K1857="Unknown",W1857&lt;&gt;"Low"),"Unknown must be Low confidence",IF(AND(OR(K1857="Backend",K1857="SAP"),N1857=""),"Add HTTP status + endpoint",IF(AND(OR(K1857="Backend",K1857="SAP",K1857="Network"),P1857=""),"Add Correlation ID",IF(AND(I1857="Fail",T1857=""),"Write Root Cause / evidence gap",IF(AND(I1857="Fail",V1857=""),"Assign team","OK"))))))))</f>
        <v/>
      </c>
    </row>
    <row r="1858">
      <c r="A1858" s="5" t="n"/>
      <c r="B1858" s="5" t="n"/>
      <c r="C1858" s="5" t="n"/>
      <c r="D1858" s="5" t="n"/>
      <c r="E1858" s="5" t="n"/>
      <c r="F1858" s="5" t="n"/>
      <c r="G1858" s="5" t="n"/>
      <c r="H1858" s="5" t="n"/>
      <c r="I1858" s="5" t="n"/>
      <c r="J1858" s="5" t="n"/>
      <c r="K1858" s="5" t="n"/>
      <c r="L1858" s="5" t="n"/>
      <c r="M1858" s="5" t="n"/>
      <c r="N1858" s="5" t="n"/>
      <c r="O1858" s="5" t="n"/>
      <c r="P1858" s="5" t="n"/>
      <c r="Q1858" s="5" t="n"/>
      <c r="R1858" s="5" t="n"/>
      <c r="S1858" s="5" t="n"/>
      <c r="T1858" s="5" t="n"/>
      <c r="U1858" s="5" t="n"/>
      <c r="V1858" s="5" t="n"/>
      <c r="W1858" s="5" t="n"/>
      <c r="X1858" s="5" t="n"/>
      <c r="Y1858" s="5">
        <f>IF(I1858="","",IF(AND(I1858="Fail",K1858=""),"Classify Issue Source",IF(AND(I1858="Fail",W1858=""),"Set Confidence",IF(AND(K1858="Unknown",W1858&lt;&gt;"Low"),"Unknown must be Low confidence",IF(AND(OR(K1858="Backend",K1858="SAP"),N1858=""),"Add HTTP status + endpoint",IF(AND(OR(K1858="Backend",K1858="SAP",K1858="Network"),P1858=""),"Add Correlation ID",IF(AND(I1858="Fail",T1858=""),"Write Root Cause / evidence gap",IF(AND(I1858="Fail",V1858=""),"Assign team","OK"))))))))</f>
        <v/>
      </c>
    </row>
    <row r="1859">
      <c r="A1859" s="5" t="n"/>
      <c r="B1859" s="5" t="n"/>
      <c r="C1859" s="5" t="n"/>
      <c r="D1859" s="5" t="n"/>
      <c r="E1859" s="5" t="n"/>
      <c r="F1859" s="5" t="n"/>
      <c r="G1859" s="5" t="n"/>
      <c r="H1859" s="5" t="n"/>
      <c r="I1859" s="5" t="n"/>
      <c r="J1859" s="5" t="n"/>
      <c r="K1859" s="5" t="n"/>
      <c r="L1859" s="5" t="n"/>
      <c r="M1859" s="5" t="n"/>
      <c r="N1859" s="5" t="n"/>
      <c r="O1859" s="5" t="n"/>
      <c r="P1859" s="5" t="n"/>
      <c r="Q1859" s="5" t="n"/>
      <c r="R1859" s="5" t="n"/>
      <c r="S1859" s="5" t="n"/>
      <c r="T1859" s="5" t="n"/>
      <c r="U1859" s="5" t="n"/>
      <c r="V1859" s="5" t="n"/>
      <c r="W1859" s="5" t="n"/>
      <c r="X1859" s="5" t="n"/>
      <c r="Y1859" s="5">
        <f>IF(I1859="","",IF(AND(I1859="Fail",K1859=""),"Classify Issue Source",IF(AND(I1859="Fail",W1859=""),"Set Confidence",IF(AND(K1859="Unknown",W1859&lt;&gt;"Low"),"Unknown must be Low confidence",IF(AND(OR(K1859="Backend",K1859="SAP"),N1859=""),"Add HTTP status + endpoint",IF(AND(OR(K1859="Backend",K1859="SAP",K1859="Network"),P1859=""),"Add Correlation ID",IF(AND(I1859="Fail",T1859=""),"Write Root Cause / evidence gap",IF(AND(I1859="Fail",V1859=""),"Assign team","OK"))))))))</f>
        <v/>
      </c>
    </row>
    <row r="1860">
      <c r="A1860" s="5" t="n"/>
      <c r="B1860" s="5" t="n"/>
      <c r="C1860" s="5" t="n"/>
      <c r="D1860" s="5" t="n"/>
      <c r="E1860" s="5" t="n"/>
      <c r="F1860" s="5" t="n"/>
      <c r="G1860" s="5" t="n"/>
      <c r="H1860" s="5" t="n"/>
      <c r="I1860" s="5" t="n"/>
      <c r="J1860" s="5" t="n"/>
      <c r="K1860" s="5" t="n"/>
      <c r="L1860" s="5" t="n"/>
      <c r="M1860" s="5" t="n"/>
      <c r="N1860" s="5" t="n"/>
      <c r="O1860" s="5" t="n"/>
      <c r="P1860" s="5" t="n"/>
      <c r="Q1860" s="5" t="n"/>
      <c r="R1860" s="5" t="n"/>
      <c r="S1860" s="5" t="n"/>
      <c r="T1860" s="5" t="n"/>
      <c r="U1860" s="5" t="n"/>
      <c r="V1860" s="5" t="n"/>
      <c r="W1860" s="5" t="n"/>
      <c r="X1860" s="5" t="n"/>
      <c r="Y1860" s="5">
        <f>IF(I1860="","",IF(AND(I1860="Fail",K1860=""),"Classify Issue Source",IF(AND(I1860="Fail",W1860=""),"Set Confidence",IF(AND(K1860="Unknown",W1860&lt;&gt;"Low"),"Unknown must be Low confidence",IF(AND(OR(K1860="Backend",K1860="SAP"),N1860=""),"Add HTTP status + endpoint",IF(AND(OR(K1860="Backend",K1860="SAP",K1860="Network"),P1860=""),"Add Correlation ID",IF(AND(I1860="Fail",T1860=""),"Write Root Cause / evidence gap",IF(AND(I1860="Fail",V1860=""),"Assign team","OK"))))))))</f>
        <v/>
      </c>
    </row>
    <row r="1861">
      <c r="A1861" s="5" t="n"/>
      <c r="B1861" s="5" t="n"/>
      <c r="C1861" s="5" t="n"/>
      <c r="D1861" s="5" t="n"/>
      <c r="E1861" s="5" t="n"/>
      <c r="F1861" s="5" t="n"/>
      <c r="G1861" s="5" t="n"/>
      <c r="H1861" s="5" t="n"/>
      <c r="I1861" s="5" t="n"/>
      <c r="J1861" s="5" t="n"/>
      <c r="K1861" s="5" t="n"/>
      <c r="L1861" s="5" t="n"/>
      <c r="M1861" s="5" t="n"/>
      <c r="N1861" s="5" t="n"/>
      <c r="O1861" s="5" t="n"/>
      <c r="P1861" s="5" t="n"/>
      <c r="Q1861" s="5" t="n"/>
      <c r="R1861" s="5" t="n"/>
      <c r="S1861" s="5" t="n"/>
      <c r="T1861" s="5" t="n"/>
      <c r="U1861" s="5" t="n"/>
      <c r="V1861" s="5" t="n"/>
      <c r="W1861" s="5" t="n"/>
      <c r="X1861" s="5" t="n"/>
      <c r="Y1861" s="5">
        <f>IF(I1861="","",IF(AND(I1861="Fail",K1861=""),"Classify Issue Source",IF(AND(I1861="Fail",W1861=""),"Set Confidence",IF(AND(K1861="Unknown",W1861&lt;&gt;"Low"),"Unknown must be Low confidence",IF(AND(OR(K1861="Backend",K1861="SAP"),N1861=""),"Add HTTP status + endpoint",IF(AND(OR(K1861="Backend",K1861="SAP",K1861="Network"),P1861=""),"Add Correlation ID",IF(AND(I1861="Fail",T1861=""),"Write Root Cause / evidence gap",IF(AND(I1861="Fail",V1861=""),"Assign team","OK"))))))))</f>
        <v/>
      </c>
    </row>
    <row r="1862">
      <c r="A1862" s="5" t="n"/>
      <c r="B1862" s="5" t="n"/>
      <c r="C1862" s="5" t="n"/>
      <c r="D1862" s="5" t="n"/>
      <c r="E1862" s="5" t="n"/>
      <c r="F1862" s="5" t="n"/>
      <c r="G1862" s="5" t="n"/>
      <c r="H1862" s="5" t="n"/>
      <c r="I1862" s="5" t="n"/>
      <c r="J1862" s="5" t="n"/>
      <c r="K1862" s="5" t="n"/>
      <c r="L1862" s="5" t="n"/>
      <c r="M1862" s="5" t="n"/>
      <c r="N1862" s="5" t="n"/>
      <c r="O1862" s="5" t="n"/>
      <c r="P1862" s="5" t="n"/>
      <c r="Q1862" s="5" t="n"/>
      <c r="R1862" s="5" t="n"/>
      <c r="S1862" s="5" t="n"/>
      <c r="T1862" s="5" t="n"/>
      <c r="U1862" s="5" t="n"/>
      <c r="V1862" s="5" t="n"/>
      <c r="W1862" s="5" t="n"/>
      <c r="X1862" s="5" t="n"/>
      <c r="Y1862" s="5">
        <f>IF(I1862="","",IF(AND(I1862="Fail",K1862=""),"Classify Issue Source",IF(AND(I1862="Fail",W1862=""),"Set Confidence",IF(AND(K1862="Unknown",W1862&lt;&gt;"Low"),"Unknown must be Low confidence",IF(AND(OR(K1862="Backend",K1862="SAP"),N1862=""),"Add HTTP status + endpoint",IF(AND(OR(K1862="Backend",K1862="SAP",K1862="Network"),P1862=""),"Add Correlation ID",IF(AND(I1862="Fail",T1862=""),"Write Root Cause / evidence gap",IF(AND(I1862="Fail",V1862=""),"Assign team","OK"))))))))</f>
        <v/>
      </c>
    </row>
    <row r="1863">
      <c r="A1863" s="5" t="n"/>
      <c r="B1863" s="5" t="n"/>
      <c r="C1863" s="5" t="n"/>
      <c r="D1863" s="5" t="n"/>
      <c r="E1863" s="5" t="n"/>
      <c r="F1863" s="5" t="n"/>
      <c r="G1863" s="5" t="n"/>
      <c r="H1863" s="5" t="n"/>
      <c r="I1863" s="5" t="n"/>
      <c r="J1863" s="5" t="n"/>
      <c r="K1863" s="5" t="n"/>
      <c r="L1863" s="5" t="n"/>
      <c r="M1863" s="5" t="n"/>
      <c r="N1863" s="5" t="n"/>
      <c r="O1863" s="5" t="n"/>
      <c r="P1863" s="5" t="n"/>
      <c r="Q1863" s="5" t="n"/>
      <c r="R1863" s="5" t="n"/>
      <c r="S1863" s="5" t="n"/>
      <c r="T1863" s="5" t="n"/>
      <c r="U1863" s="5" t="n"/>
      <c r="V1863" s="5" t="n"/>
      <c r="W1863" s="5" t="n"/>
      <c r="X1863" s="5" t="n"/>
      <c r="Y1863" s="5">
        <f>IF(I1863="","",IF(AND(I1863="Fail",K1863=""),"Classify Issue Source",IF(AND(I1863="Fail",W1863=""),"Set Confidence",IF(AND(K1863="Unknown",W1863&lt;&gt;"Low"),"Unknown must be Low confidence",IF(AND(OR(K1863="Backend",K1863="SAP"),N1863=""),"Add HTTP status + endpoint",IF(AND(OR(K1863="Backend",K1863="SAP",K1863="Network"),P1863=""),"Add Correlation ID",IF(AND(I1863="Fail",T1863=""),"Write Root Cause / evidence gap",IF(AND(I1863="Fail",V1863=""),"Assign team","OK"))))))))</f>
        <v/>
      </c>
    </row>
    <row r="1864">
      <c r="A1864" s="5" t="n"/>
      <c r="B1864" s="5" t="n"/>
      <c r="C1864" s="5" t="n"/>
      <c r="D1864" s="5" t="n"/>
      <c r="E1864" s="5" t="n"/>
      <c r="F1864" s="5" t="n"/>
      <c r="G1864" s="5" t="n"/>
      <c r="H1864" s="5" t="n"/>
      <c r="I1864" s="5" t="n"/>
      <c r="J1864" s="5" t="n"/>
      <c r="K1864" s="5" t="n"/>
      <c r="L1864" s="5" t="n"/>
      <c r="M1864" s="5" t="n"/>
      <c r="N1864" s="5" t="n"/>
      <c r="O1864" s="5" t="n"/>
      <c r="P1864" s="5" t="n"/>
      <c r="Q1864" s="5" t="n"/>
      <c r="R1864" s="5" t="n"/>
      <c r="S1864" s="5" t="n"/>
      <c r="T1864" s="5" t="n"/>
      <c r="U1864" s="5" t="n"/>
      <c r="V1864" s="5" t="n"/>
      <c r="W1864" s="5" t="n"/>
      <c r="X1864" s="5" t="n"/>
      <c r="Y1864" s="5">
        <f>IF(I1864="","",IF(AND(I1864="Fail",K1864=""),"Classify Issue Source",IF(AND(I1864="Fail",W1864=""),"Set Confidence",IF(AND(K1864="Unknown",W1864&lt;&gt;"Low"),"Unknown must be Low confidence",IF(AND(OR(K1864="Backend",K1864="SAP"),N1864=""),"Add HTTP status + endpoint",IF(AND(OR(K1864="Backend",K1864="SAP",K1864="Network"),P1864=""),"Add Correlation ID",IF(AND(I1864="Fail",T1864=""),"Write Root Cause / evidence gap",IF(AND(I1864="Fail",V1864=""),"Assign team","OK"))))))))</f>
        <v/>
      </c>
    </row>
    <row r="1865">
      <c r="A1865" s="5" t="n"/>
      <c r="B1865" s="5" t="n"/>
      <c r="C1865" s="5" t="n"/>
      <c r="D1865" s="5" t="n"/>
      <c r="E1865" s="5" t="n"/>
      <c r="F1865" s="5" t="n"/>
      <c r="G1865" s="5" t="n"/>
      <c r="H1865" s="5" t="n"/>
      <c r="I1865" s="5" t="n"/>
      <c r="J1865" s="5" t="n"/>
      <c r="K1865" s="5" t="n"/>
      <c r="L1865" s="5" t="n"/>
      <c r="M1865" s="5" t="n"/>
      <c r="N1865" s="5" t="n"/>
      <c r="O1865" s="5" t="n"/>
      <c r="P1865" s="5" t="n"/>
      <c r="Q1865" s="5" t="n"/>
      <c r="R1865" s="5" t="n"/>
      <c r="S1865" s="5" t="n"/>
      <c r="T1865" s="5" t="n"/>
      <c r="U1865" s="5" t="n"/>
      <c r="V1865" s="5" t="n"/>
      <c r="W1865" s="5" t="n"/>
      <c r="X1865" s="5" t="n"/>
      <c r="Y1865" s="5">
        <f>IF(I1865="","",IF(AND(I1865="Fail",K1865=""),"Classify Issue Source",IF(AND(I1865="Fail",W1865=""),"Set Confidence",IF(AND(K1865="Unknown",W1865&lt;&gt;"Low"),"Unknown must be Low confidence",IF(AND(OR(K1865="Backend",K1865="SAP"),N1865=""),"Add HTTP status + endpoint",IF(AND(OR(K1865="Backend",K1865="SAP",K1865="Network"),P1865=""),"Add Correlation ID",IF(AND(I1865="Fail",T1865=""),"Write Root Cause / evidence gap",IF(AND(I1865="Fail",V1865=""),"Assign team","OK"))))))))</f>
        <v/>
      </c>
    </row>
    <row r="1866">
      <c r="A1866" s="5" t="n"/>
      <c r="B1866" s="5" t="n"/>
      <c r="C1866" s="5" t="n"/>
      <c r="D1866" s="5" t="n"/>
      <c r="E1866" s="5" t="n"/>
      <c r="F1866" s="5" t="n"/>
      <c r="G1866" s="5" t="n"/>
      <c r="H1866" s="5" t="n"/>
      <c r="I1866" s="5" t="n"/>
      <c r="J1866" s="5" t="n"/>
      <c r="K1866" s="5" t="n"/>
      <c r="L1866" s="5" t="n"/>
      <c r="M1866" s="5" t="n"/>
      <c r="N1866" s="5" t="n"/>
      <c r="O1866" s="5" t="n"/>
      <c r="P1866" s="5" t="n"/>
      <c r="Q1866" s="5" t="n"/>
      <c r="R1866" s="5" t="n"/>
      <c r="S1866" s="5" t="n"/>
      <c r="T1866" s="5" t="n"/>
      <c r="U1866" s="5" t="n"/>
      <c r="V1866" s="5" t="n"/>
      <c r="W1866" s="5" t="n"/>
      <c r="X1866" s="5" t="n"/>
      <c r="Y1866" s="5">
        <f>IF(I1866="","",IF(AND(I1866="Fail",K1866=""),"Classify Issue Source",IF(AND(I1866="Fail",W1866=""),"Set Confidence",IF(AND(K1866="Unknown",W1866&lt;&gt;"Low"),"Unknown must be Low confidence",IF(AND(OR(K1866="Backend",K1866="SAP"),N1866=""),"Add HTTP status + endpoint",IF(AND(OR(K1866="Backend",K1866="SAP",K1866="Network"),P1866=""),"Add Correlation ID",IF(AND(I1866="Fail",T1866=""),"Write Root Cause / evidence gap",IF(AND(I1866="Fail",V1866=""),"Assign team","OK"))))))))</f>
        <v/>
      </c>
    </row>
    <row r="1867">
      <c r="A1867" s="5" t="n"/>
      <c r="B1867" s="5" t="n"/>
      <c r="C1867" s="5" t="n"/>
      <c r="D1867" s="5" t="n"/>
      <c r="E1867" s="5" t="n"/>
      <c r="F1867" s="5" t="n"/>
      <c r="G1867" s="5" t="n"/>
      <c r="H1867" s="5" t="n"/>
      <c r="I1867" s="5" t="n"/>
      <c r="J1867" s="5" t="n"/>
      <c r="K1867" s="5" t="n"/>
      <c r="L1867" s="5" t="n"/>
      <c r="M1867" s="5" t="n"/>
      <c r="N1867" s="5" t="n"/>
      <c r="O1867" s="5" t="n"/>
      <c r="P1867" s="5" t="n"/>
      <c r="Q1867" s="5" t="n"/>
      <c r="R1867" s="5" t="n"/>
      <c r="S1867" s="5" t="n"/>
      <c r="T1867" s="5" t="n"/>
      <c r="U1867" s="5" t="n"/>
      <c r="V1867" s="5" t="n"/>
      <c r="W1867" s="5" t="n"/>
      <c r="X1867" s="5" t="n"/>
      <c r="Y1867" s="5">
        <f>IF(I1867="","",IF(AND(I1867="Fail",K1867=""),"Classify Issue Source",IF(AND(I1867="Fail",W1867=""),"Set Confidence",IF(AND(K1867="Unknown",W1867&lt;&gt;"Low"),"Unknown must be Low confidence",IF(AND(OR(K1867="Backend",K1867="SAP"),N1867=""),"Add HTTP status + endpoint",IF(AND(OR(K1867="Backend",K1867="SAP",K1867="Network"),P1867=""),"Add Correlation ID",IF(AND(I1867="Fail",T1867=""),"Write Root Cause / evidence gap",IF(AND(I1867="Fail",V1867=""),"Assign team","OK"))))))))</f>
        <v/>
      </c>
    </row>
    <row r="1868">
      <c r="A1868" s="5" t="n"/>
      <c r="B1868" s="5" t="n"/>
      <c r="C1868" s="5" t="n"/>
      <c r="D1868" s="5" t="n"/>
      <c r="E1868" s="5" t="n"/>
      <c r="F1868" s="5" t="n"/>
      <c r="G1868" s="5" t="n"/>
      <c r="H1868" s="5" t="n"/>
      <c r="I1868" s="5" t="n"/>
      <c r="J1868" s="5" t="n"/>
      <c r="K1868" s="5" t="n"/>
      <c r="L1868" s="5" t="n"/>
      <c r="M1868" s="5" t="n"/>
      <c r="N1868" s="5" t="n"/>
      <c r="O1868" s="5" t="n"/>
      <c r="P1868" s="5" t="n"/>
      <c r="Q1868" s="5" t="n"/>
      <c r="R1868" s="5" t="n"/>
      <c r="S1868" s="5" t="n"/>
      <c r="T1868" s="5" t="n"/>
      <c r="U1868" s="5" t="n"/>
      <c r="V1868" s="5" t="n"/>
      <c r="W1868" s="5" t="n"/>
      <c r="X1868" s="5" t="n"/>
      <c r="Y1868" s="5">
        <f>IF(I1868="","",IF(AND(I1868="Fail",K1868=""),"Classify Issue Source",IF(AND(I1868="Fail",W1868=""),"Set Confidence",IF(AND(K1868="Unknown",W1868&lt;&gt;"Low"),"Unknown must be Low confidence",IF(AND(OR(K1868="Backend",K1868="SAP"),N1868=""),"Add HTTP status + endpoint",IF(AND(OR(K1868="Backend",K1868="SAP",K1868="Network"),P1868=""),"Add Correlation ID",IF(AND(I1868="Fail",T1868=""),"Write Root Cause / evidence gap",IF(AND(I1868="Fail",V1868=""),"Assign team","OK"))))))))</f>
        <v/>
      </c>
    </row>
    <row r="1869">
      <c r="A1869" s="5" t="n"/>
      <c r="B1869" s="5" t="n"/>
      <c r="C1869" s="5" t="n"/>
      <c r="D1869" s="5" t="n"/>
      <c r="E1869" s="5" t="n"/>
      <c r="F1869" s="5" t="n"/>
      <c r="G1869" s="5" t="n"/>
      <c r="H1869" s="5" t="n"/>
      <c r="I1869" s="5" t="n"/>
      <c r="J1869" s="5" t="n"/>
      <c r="K1869" s="5" t="n"/>
      <c r="L1869" s="5" t="n"/>
      <c r="M1869" s="5" t="n"/>
      <c r="N1869" s="5" t="n"/>
      <c r="O1869" s="5" t="n"/>
      <c r="P1869" s="5" t="n"/>
      <c r="Q1869" s="5" t="n"/>
      <c r="R1869" s="5" t="n"/>
      <c r="S1869" s="5" t="n"/>
      <c r="T1869" s="5" t="n"/>
      <c r="U1869" s="5" t="n"/>
      <c r="V1869" s="5" t="n"/>
      <c r="W1869" s="5" t="n"/>
      <c r="X1869" s="5" t="n"/>
      <c r="Y1869" s="5">
        <f>IF(I1869="","",IF(AND(I1869="Fail",K1869=""),"Classify Issue Source",IF(AND(I1869="Fail",W1869=""),"Set Confidence",IF(AND(K1869="Unknown",W1869&lt;&gt;"Low"),"Unknown must be Low confidence",IF(AND(OR(K1869="Backend",K1869="SAP"),N1869=""),"Add HTTP status + endpoint",IF(AND(OR(K1869="Backend",K1869="SAP",K1869="Network"),P1869=""),"Add Correlation ID",IF(AND(I1869="Fail",T1869=""),"Write Root Cause / evidence gap",IF(AND(I1869="Fail",V1869=""),"Assign team","OK"))))))))</f>
        <v/>
      </c>
    </row>
    <row r="1870">
      <c r="A1870" s="5" t="n"/>
      <c r="B1870" s="5" t="n"/>
      <c r="C1870" s="5" t="n"/>
      <c r="D1870" s="5" t="n"/>
      <c r="E1870" s="5" t="n"/>
      <c r="F1870" s="5" t="n"/>
      <c r="G1870" s="5" t="n"/>
      <c r="H1870" s="5" t="n"/>
      <c r="I1870" s="5" t="n"/>
      <c r="J1870" s="5" t="n"/>
      <c r="K1870" s="5" t="n"/>
      <c r="L1870" s="5" t="n"/>
      <c r="M1870" s="5" t="n"/>
      <c r="N1870" s="5" t="n"/>
      <c r="O1870" s="5" t="n"/>
      <c r="P1870" s="5" t="n"/>
      <c r="Q1870" s="5" t="n"/>
      <c r="R1870" s="5" t="n"/>
      <c r="S1870" s="5" t="n"/>
      <c r="T1870" s="5" t="n"/>
      <c r="U1870" s="5" t="n"/>
      <c r="V1870" s="5" t="n"/>
      <c r="W1870" s="5" t="n"/>
      <c r="X1870" s="5" t="n"/>
      <c r="Y1870" s="5">
        <f>IF(I1870="","",IF(AND(I1870="Fail",K1870=""),"Classify Issue Source",IF(AND(I1870="Fail",W1870=""),"Set Confidence",IF(AND(K1870="Unknown",W1870&lt;&gt;"Low"),"Unknown must be Low confidence",IF(AND(OR(K1870="Backend",K1870="SAP"),N1870=""),"Add HTTP status + endpoint",IF(AND(OR(K1870="Backend",K1870="SAP",K1870="Network"),P1870=""),"Add Correlation ID",IF(AND(I1870="Fail",T1870=""),"Write Root Cause / evidence gap",IF(AND(I1870="Fail",V1870=""),"Assign team","OK"))))))))</f>
        <v/>
      </c>
    </row>
    <row r="1871">
      <c r="A1871" s="5" t="n"/>
      <c r="B1871" s="5" t="n"/>
      <c r="C1871" s="5" t="n"/>
      <c r="D1871" s="5" t="n"/>
      <c r="E1871" s="5" t="n"/>
      <c r="F1871" s="5" t="n"/>
      <c r="G1871" s="5" t="n"/>
      <c r="H1871" s="5" t="n"/>
      <c r="I1871" s="5" t="n"/>
      <c r="J1871" s="5" t="n"/>
      <c r="K1871" s="5" t="n"/>
      <c r="L1871" s="5" t="n"/>
      <c r="M1871" s="5" t="n"/>
      <c r="N1871" s="5" t="n"/>
      <c r="O1871" s="5" t="n"/>
      <c r="P1871" s="5" t="n"/>
      <c r="Q1871" s="5" t="n"/>
      <c r="R1871" s="5" t="n"/>
      <c r="S1871" s="5" t="n"/>
      <c r="T1871" s="5" t="n"/>
      <c r="U1871" s="5" t="n"/>
      <c r="V1871" s="5" t="n"/>
      <c r="W1871" s="5" t="n"/>
      <c r="X1871" s="5" t="n"/>
      <c r="Y1871" s="5">
        <f>IF(I1871="","",IF(AND(I1871="Fail",K1871=""),"Classify Issue Source",IF(AND(I1871="Fail",W1871=""),"Set Confidence",IF(AND(K1871="Unknown",W1871&lt;&gt;"Low"),"Unknown must be Low confidence",IF(AND(OR(K1871="Backend",K1871="SAP"),N1871=""),"Add HTTP status + endpoint",IF(AND(OR(K1871="Backend",K1871="SAP",K1871="Network"),P1871=""),"Add Correlation ID",IF(AND(I1871="Fail",T1871=""),"Write Root Cause / evidence gap",IF(AND(I1871="Fail",V1871=""),"Assign team","OK"))))))))</f>
        <v/>
      </c>
    </row>
    <row r="1872">
      <c r="A1872" s="5" t="n"/>
      <c r="B1872" s="5" t="n"/>
      <c r="C1872" s="5" t="n"/>
      <c r="D1872" s="5" t="n"/>
      <c r="E1872" s="5" t="n"/>
      <c r="F1872" s="5" t="n"/>
      <c r="G1872" s="5" t="n"/>
      <c r="H1872" s="5" t="n"/>
      <c r="I1872" s="5" t="n"/>
      <c r="J1872" s="5" t="n"/>
      <c r="K1872" s="5" t="n"/>
      <c r="L1872" s="5" t="n"/>
      <c r="M1872" s="5" t="n"/>
      <c r="N1872" s="5" t="n"/>
      <c r="O1872" s="5" t="n"/>
      <c r="P1872" s="5" t="n"/>
      <c r="Q1872" s="5" t="n"/>
      <c r="R1872" s="5" t="n"/>
      <c r="S1872" s="5" t="n"/>
      <c r="T1872" s="5" t="n"/>
      <c r="U1872" s="5" t="n"/>
      <c r="V1872" s="5" t="n"/>
      <c r="W1872" s="5" t="n"/>
      <c r="X1872" s="5" t="n"/>
      <c r="Y1872" s="5">
        <f>IF(I1872="","",IF(AND(I1872="Fail",K1872=""),"Classify Issue Source",IF(AND(I1872="Fail",W1872=""),"Set Confidence",IF(AND(K1872="Unknown",W1872&lt;&gt;"Low"),"Unknown must be Low confidence",IF(AND(OR(K1872="Backend",K1872="SAP"),N1872=""),"Add HTTP status + endpoint",IF(AND(OR(K1872="Backend",K1872="SAP",K1872="Network"),P1872=""),"Add Correlation ID",IF(AND(I1872="Fail",T1872=""),"Write Root Cause / evidence gap",IF(AND(I1872="Fail",V1872=""),"Assign team","OK"))))))))</f>
        <v/>
      </c>
    </row>
    <row r="1873">
      <c r="A1873" s="5" t="n"/>
      <c r="B1873" s="5" t="n"/>
      <c r="C1873" s="5" t="n"/>
      <c r="D1873" s="5" t="n"/>
      <c r="E1873" s="5" t="n"/>
      <c r="F1873" s="5" t="n"/>
      <c r="G1873" s="5" t="n"/>
      <c r="H1873" s="5" t="n"/>
      <c r="I1873" s="5" t="n"/>
      <c r="J1873" s="5" t="n"/>
      <c r="K1873" s="5" t="n"/>
      <c r="L1873" s="5" t="n"/>
      <c r="M1873" s="5" t="n"/>
      <c r="N1873" s="5" t="n"/>
      <c r="O1873" s="5" t="n"/>
      <c r="P1873" s="5" t="n"/>
      <c r="Q1873" s="5" t="n"/>
      <c r="R1873" s="5" t="n"/>
      <c r="S1873" s="5" t="n"/>
      <c r="T1873" s="5" t="n"/>
      <c r="U1873" s="5" t="n"/>
      <c r="V1873" s="5" t="n"/>
      <c r="W1873" s="5" t="n"/>
      <c r="X1873" s="5" t="n"/>
      <c r="Y1873" s="5">
        <f>IF(I1873="","",IF(AND(I1873="Fail",K1873=""),"Classify Issue Source",IF(AND(I1873="Fail",W1873=""),"Set Confidence",IF(AND(K1873="Unknown",W1873&lt;&gt;"Low"),"Unknown must be Low confidence",IF(AND(OR(K1873="Backend",K1873="SAP"),N1873=""),"Add HTTP status + endpoint",IF(AND(OR(K1873="Backend",K1873="SAP",K1873="Network"),P1873=""),"Add Correlation ID",IF(AND(I1873="Fail",T1873=""),"Write Root Cause / evidence gap",IF(AND(I1873="Fail",V1873=""),"Assign team","OK"))))))))</f>
        <v/>
      </c>
    </row>
    <row r="1874">
      <c r="A1874" s="5" t="n"/>
      <c r="B1874" s="5" t="n"/>
      <c r="C1874" s="5" t="n"/>
      <c r="D1874" s="5" t="n"/>
      <c r="E1874" s="5" t="n"/>
      <c r="F1874" s="5" t="n"/>
      <c r="G1874" s="5" t="n"/>
      <c r="H1874" s="5" t="n"/>
      <c r="I1874" s="5" t="n"/>
      <c r="J1874" s="5" t="n"/>
      <c r="K1874" s="5" t="n"/>
      <c r="L1874" s="5" t="n"/>
      <c r="M1874" s="5" t="n"/>
      <c r="N1874" s="5" t="n"/>
      <c r="O1874" s="5" t="n"/>
      <c r="P1874" s="5" t="n"/>
      <c r="Q1874" s="5" t="n"/>
      <c r="R1874" s="5" t="n"/>
      <c r="S1874" s="5" t="n"/>
      <c r="T1874" s="5" t="n"/>
      <c r="U1874" s="5" t="n"/>
      <c r="V1874" s="5" t="n"/>
      <c r="W1874" s="5" t="n"/>
      <c r="X1874" s="5" t="n"/>
      <c r="Y1874" s="5">
        <f>IF(I1874="","",IF(AND(I1874="Fail",K1874=""),"Classify Issue Source",IF(AND(I1874="Fail",W1874=""),"Set Confidence",IF(AND(K1874="Unknown",W1874&lt;&gt;"Low"),"Unknown must be Low confidence",IF(AND(OR(K1874="Backend",K1874="SAP"),N1874=""),"Add HTTP status + endpoint",IF(AND(OR(K1874="Backend",K1874="SAP",K1874="Network"),P1874=""),"Add Correlation ID",IF(AND(I1874="Fail",T1874=""),"Write Root Cause / evidence gap",IF(AND(I1874="Fail",V1874=""),"Assign team","OK"))))))))</f>
        <v/>
      </c>
    </row>
    <row r="1875">
      <c r="A1875" s="5" t="n"/>
      <c r="B1875" s="5" t="n"/>
      <c r="C1875" s="5" t="n"/>
      <c r="D1875" s="5" t="n"/>
      <c r="E1875" s="5" t="n"/>
      <c r="F1875" s="5" t="n"/>
      <c r="G1875" s="5" t="n"/>
      <c r="H1875" s="5" t="n"/>
      <c r="I1875" s="5" t="n"/>
      <c r="J1875" s="5" t="n"/>
      <c r="K1875" s="5" t="n"/>
      <c r="L1875" s="5" t="n"/>
      <c r="M1875" s="5" t="n"/>
      <c r="N1875" s="5" t="n"/>
      <c r="O1875" s="5" t="n"/>
      <c r="P1875" s="5" t="n"/>
      <c r="Q1875" s="5" t="n"/>
      <c r="R1875" s="5" t="n"/>
      <c r="S1875" s="5" t="n"/>
      <c r="T1875" s="5" t="n"/>
      <c r="U1875" s="5" t="n"/>
      <c r="V1875" s="5" t="n"/>
      <c r="W1875" s="5" t="n"/>
      <c r="X1875" s="5" t="n"/>
      <c r="Y1875" s="5">
        <f>IF(I1875="","",IF(AND(I1875="Fail",K1875=""),"Classify Issue Source",IF(AND(I1875="Fail",W1875=""),"Set Confidence",IF(AND(K1875="Unknown",W1875&lt;&gt;"Low"),"Unknown must be Low confidence",IF(AND(OR(K1875="Backend",K1875="SAP"),N1875=""),"Add HTTP status + endpoint",IF(AND(OR(K1875="Backend",K1875="SAP",K1875="Network"),P1875=""),"Add Correlation ID",IF(AND(I1875="Fail",T1875=""),"Write Root Cause / evidence gap",IF(AND(I1875="Fail",V1875=""),"Assign team","OK"))))))))</f>
        <v/>
      </c>
    </row>
    <row r="1876">
      <c r="A1876" s="5" t="n"/>
      <c r="B1876" s="5" t="n"/>
      <c r="C1876" s="5" t="n"/>
      <c r="D1876" s="5" t="n"/>
      <c r="E1876" s="5" t="n"/>
      <c r="F1876" s="5" t="n"/>
      <c r="G1876" s="5" t="n"/>
      <c r="H1876" s="5" t="n"/>
      <c r="I1876" s="5" t="n"/>
      <c r="J1876" s="5" t="n"/>
      <c r="K1876" s="5" t="n"/>
      <c r="L1876" s="5" t="n"/>
      <c r="M1876" s="5" t="n"/>
      <c r="N1876" s="5" t="n"/>
      <c r="O1876" s="5" t="n"/>
      <c r="P1876" s="5" t="n"/>
      <c r="Q1876" s="5" t="n"/>
      <c r="R1876" s="5" t="n"/>
      <c r="S1876" s="5" t="n"/>
      <c r="T1876" s="5" t="n"/>
      <c r="U1876" s="5" t="n"/>
      <c r="V1876" s="5" t="n"/>
      <c r="W1876" s="5" t="n"/>
      <c r="X1876" s="5" t="n"/>
      <c r="Y1876" s="5">
        <f>IF(I1876="","",IF(AND(I1876="Fail",K1876=""),"Classify Issue Source",IF(AND(I1876="Fail",W1876=""),"Set Confidence",IF(AND(K1876="Unknown",W1876&lt;&gt;"Low"),"Unknown must be Low confidence",IF(AND(OR(K1876="Backend",K1876="SAP"),N1876=""),"Add HTTP status + endpoint",IF(AND(OR(K1876="Backend",K1876="SAP",K1876="Network"),P1876=""),"Add Correlation ID",IF(AND(I1876="Fail",T1876=""),"Write Root Cause / evidence gap",IF(AND(I1876="Fail",V1876=""),"Assign team","OK"))))))))</f>
        <v/>
      </c>
    </row>
    <row r="1877">
      <c r="A1877" s="5" t="n"/>
      <c r="B1877" s="5" t="n"/>
      <c r="C1877" s="5" t="n"/>
      <c r="D1877" s="5" t="n"/>
      <c r="E1877" s="5" t="n"/>
      <c r="F1877" s="5" t="n"/>
      <c r="G1877" s="5" t="n"/>
      <c r="H1877" s="5" t="n"/>
      <c r="I1877" s="5" t="n"/>
      <c r="J1877" s="5" t="n"/>
      <c r="K1877" s="5" t="n"/>
      <c r="L1877" s="5" t="n"/>
      <c r="M1877" s="5" t="n"/>
      <c r="N1877" s="5" t="n"/>
      <c r="O1877" s="5" t="n"/>
      <c r="P1877" s="5" t="n"/>
      <c r="Q1877" s="5" t="n"/>
      <c r="R1877" s="5" t="n"/>
      <c r="S1877" s="5" t="n"/>
      <c r="T1877" s="5" t="n"/>
      <c r="U1877" s="5" t="n"/>
      <c r="V1877" s="5" t="n"/>
      <c r="W1877" s="5" t="n"/>
      <c r="X1877" s="5" t="n"/>
      <c r="Y1877" s="5">
        <f>IF(I1877="","",IF(AND(I1877="Fail",K1877=""),"Classify Issue Source",IF(AND(I1877="Fail",W1877=""),"Set Confidence",IF(AND(K1877="Unknown",W1877&lt;&gt;"Low"),"Unknown must be Low confidence",IF(AND(OR(K1877="Backend",K1877="SAP"),N1877=""),"Add HTTP status + endpoint",IF(AND(OR(K1877="Backend",K1877="SAP",K1877="Network"),P1877=""),"Add Correlation ID",IF(AND(I1877="Fail",T1877=""),"Write Root Cause / evidence gap",IF(AND(I1877="Fail",V1877=""),"Assign team","OK"))))))))</f>
        <v/>
      </c>
    </row>
    <row r="1878">
      <c r="A1878" s="5" t="n"/>
      <c r="B1878" s="5" t="n"/>
      <c r="C1878" s="5" t="n"/>
      <c r="D1878" s="5" t="n"/>
      <c r="E1878" s="5" t="n"/>
      <c r="F1878" s="5" t="n"/>
      <c r="G1878" s="5" t="n"/>
      <c r="H1878" s="5" t="n"/>
      <c r="I1878" s="5" t="n"/>
      <c r="J1878" s="5" t="n"/>
      <c r="K1878" s="5" t="n"/>
      <c r="L1878" s="5" t="n"/>
      <c r="M1878" s="5" t="n"/>
      <c r="N1878" s="5" t="n"/>
      <c r="O1878" s="5" t="n"/>
      <c r="P1878" s="5" t="n"/>
      <c r="Q1878" s="5" t="n"/>
      <c r="R1878" s="5" t="n"/>
      <c r="S1878" s="5" t="n"/>
      <c r="T1878" s="5" t="n"/>
      <c r="U1878" s="5" t="n"/>
      <c r="V1878" s="5" t="n"/>
      <c r="W1878" s="5" t="n"/>
      <c r="X1878" s="5" t="n"/>
      <c r="Y1878" s="5">
        <f>IF(I1878="","",IF(AND(I1878="Fail",K1878=""),"Classify Issue Source",IF(AND(I1878="Fail",W1878=""),"Set Confidence",IF(AND(K1878="Unknown",W1878&lt;&gt;"Low"),"Unknown must be Low confidence",IF(AND(OR(K1878="Backend",K1878="SAP"),N1878=""),"Add HTTP status + endpoint",IF(AND(OR(K1878="Backend",K1878="SAP",K1878="Network"),P1878=""),"Add Correlation ID",IF(AND(I1878="Fail",T1878=""),"Write Root Cause / evidence gap",IF(AND(I1878="Fail",V1878=""),"Assign team","OK"))))))))</f>
        <v/>
      </c>
    </row>
    <row r="1879">
      <c r="A1879" s="5" t="n"/>
      <c r="B1879" s="5" t="n"/>
      <c r="C1879" s="5" t="n"/>
      <c r="D1879" s="5" t="n"/>
      <c r="E1879" s="5" t="n"/>
      <c r="F1879" s="5" t="n"/>
      <c r="G1879" s="5" t="n"/>
      <c r="H1879" s="5" t="n"/>
      <c r="I1879" s="5" t="n"/>
      <c r="J1879" s="5" t="n"/>
      <c r="K1879" s="5" t="n"/>
      <c r="L1879" s="5" t="n"/>
      <c r="M1879" s="5" t="n"/>
      <c r="N1879" s="5" t="n"/>
      <c r="O1879" s="5" t="n"/>
      <c r="P1879" s="5" t="n"/>
      <c r="Q1879" s="5" t="n"/>
      <c r="R1879" s="5" t="n"/>
      <c r="S1879" s="5" t="n"/>
      <c r="T1879" s="5" t="n"/>
      <c r="U1879" s="5" t="n"/>
      <c r="V1879" s="5" t="n"/>
      <c r="W1879" s="5" t="n"/>
      <c r="X1879" s="5" t="n"/>
      <c r="Y1879" s="5">
        <f>IF(I1879="","",IF(AND(I1879="Fail",K1879=""),"Classify Issue Source",IF(AND(I1879="Fail",W1879=""),"Set Confidence",IF(AND(K1879="Unknown",W1879&lt;&gt;"Low"),"Unknown must be Low confidence",IF(AND(OR(K1879="Backend",K1879="SAP"),N1879=""),"Add HTTP status + endpoint",IF(AND(OR(K1879="Backend",K1879="SAP",K1879="Network"),P1879=""),"Add Correlation ID",IF(AND(I1879="Fail",T1879=""),"Write Root Cause / evidence gap",IF(AND(I1879="Fail",V1879=""),"Assign team","OK"))))))))</f>
        <v/>
      </c>
    </row>
    <row r="1880">
      <c r="A1880" s="5" t="n"/>
      <c r="B1880" s="5" t="n"/>
      <c r="C1880" s="5" t="n"/>
      <c r="D1880" s="5" t="n"/>
      <c r="E1880" s="5" t="n"/>
      <c r="F1880" s="5" t="n"/>
      <c r="G1880" s="5" t="n"/>
      <c r="H1880" s="5" t="n"/>
      <c r="I1880" s="5" t="n"/>
      <c r="J1880" s="5" t="n"/>
      <c r="K1880" s="5" t="n"/>
      <c r="L1880" s="5" t="n"/>
      <c r="M1880" s="5" t="n"/>
      <c r="N1880" s="5" t="n"/>
      <c r="O1880" s="5" t="n"/>
      <c r="P1880" s="5" t="n"/>
      <c r="Q1880" s="5" t="n"/>
      <c r="R1880" s="5" t="n"/>
      <c r="S1880" s="5" t="n"/>
      <c r="T1880" s="5" t="n"/>
      <c r="U1880" s="5" t="n"/>
      <c r="V1880" s="5" t="n"/>
      <c r="W1880" s="5" t="n"/>
      <c r="X1880" s="5" t="n"/>
      <c r="Y1880" s="5">
        <f>IF(I1880="","",IF(AND(I1880="Fail",K1880=""),"Classify Issue Source",IF(AND(I1880="Fail",W1880=""),"Set Confidence",IF(AND(K1880="Unknown",W1880&lt;&gt;"Low"),"Unknown must be Low confidence",IF(AND(OR(K1880="Backend",K1880="SAP"),N1880=""),"Add HTTP status + endpoint",IF(AND(OR(K1880="Backend",K1880="SAP",K1880="Network"),P1880=""),"Add Correlation ID",IF(AND(I1880="Fail",T1880=""),"Write Root Cause / evidence gap",IF(AND(I1880="Fail",V1880=""),"Assign team","OK"))))))))</f>
        <v/>
      </c>
    </row>
    <row r="1881">
      <c r="A1881" s="5" t="n"/>
      <c r="B1881" s="5" t="n"/>
      <c r="C1881" s="5" t="n"/>
      <c r="D1881" s="5" t="n"/>
      <c r="E1881" s="5" t="n"/>
      <c r="F1881" s="5" t="n"/>
      <c r="G1881" s="5" t="n"/>
      <c r="H1881" s="5" t="n"/>
      <c r="I1881" s="5" t="n"/>
      <c r="J1881" s="5" t="n"/>
      <c r="K1881" s="5" t="n"/>
      <c r="L1881" s="5" t="n"/>
      <c r="M1881" s="5" t="n"/>
      <c r="N1881" s="5" t="n"/>
      <c r="O1881" s="5" t="n"/>
      <c r="P1881" s="5" t="n"/>
      <c r="Q1881" s="5" t="n"/>
      <c r="R1881" s="5" t="n"/>
      <c r="S1881" s="5" t="n"/>
      <c r="T1881" s="5" t="n"/>
      <c r="U1881" s="5" t="n"/>
      <c r="V1881" s="5" t="n"/>
      <c r="W1881" s="5" t="n"/>
      <c r="X1881" s="5" t="n"/>
      <c r="Y1881" s="5">
        <f>IF(I1881="","",IF(AND(I1881="Fail",K1881=""),"Classify Issue Source",IF(AND(I1881="Fail",W1881=""),"Set Confidence",IF(AND(K1881="Unknown",W1881&lt;&gt;"Low"),"Unknown must be Low confidence",IF(AND(OR(K1881="Backend",K1881="SAP"),N1881=""),"Add HTTP status + endpoint",IF(AND(OR(K1881="Backend",K1881="SAP",K1881="Network"),P1881=""),"Add Correlation ID",IF(AND(I1881="Fail",T1881=""),"Write Root Cause / evidence gap",IF(AND(I1881="Fail",V1881=""),"Assign team","OK"))))))))</f>
        <v/>
      </c>
    </row>
    <row r="1882">
      <c r="A1882" s="5" t="n"/>
      <c r="B1882" s="5" t="n"/>
      <c r="C1882" s="5" t="n"/>
      <c r="D1882" s="5" t="n"/>
      <c r="E1882" s="5" t="n"/>
      <c r="F1882" s="5" t="n"/>
      <c r="G1882" s="5" t="n"/>
      <c r="H1882" s="5" t="n"/>
      <c r="I1882" s="5" t="n"/>
      <c r="J1882" s="5" t="n"/>
      <c r="K1882" s="5" t="n"/>
      <c r="L1882" s="5" t="n"/>
      <c r="M1882" s="5" t="n"/>
      <c r="N1882" s="5" t="n"/>
      <c r="O1882" s="5" t="n"/>
      <c r="P1882" s="5" t="n"/>
      <c r="Q1882" s="5" t="n"/>
      <c r="R1882" s="5" t="n"/>
      <c r="S1882" s="5" t="n"/>
      <c r="T1882" s="5" t="n"/>
      <c r="U1882" s="5" t="n"/>
      <c r="V1882" s="5" t="n"/>
      <c r="W1882" s="5" t="n"/>
      <c r="X1882" s="5" t="n"/>
      <c r="Y1882" s="5">
        <f>IF(I1882="","",IF(AND(I1882="Fail",K1882=""),"Classify Issue Source",IF(AND(I1882="Fail",W1882=""),"Set Confidence",IF(AND(K1882="Unknown",W1882&lt;&gt;"Low"),"Unknown must be Low confidence",IF(AND(OR(K1882="Backend",K1882="SAP"),N1882=""),"Add HTTP status + endpoint",IF(AND(OR(K1882="Backend",K1882="SAP",K1882="Network"),P1882=""),"Add Correlation ID",IF(AND(I1882="Fail",T1882=""),"Write Root Cause / evidence gap",IF(AND(I1882="Fail",V1882=""),"Assign team","OK"))))))))</f>
        <v/>
      </c>
    </row>
    <row r="1883">
      <c r="A1883" s="5" t="n"/>
      <c r="B1883" s="5" t="n"/>
      <c r="C1883" s="5" t="n"/>
      <c r="D1883" s="5" t="n"/>
      <c r="E1883" s="5" t="n"/>
      <c r="F1883" s="5" t="n"/>
      <c r="G1883" s="5" t="n"/>
      <c r="H1883" s="5" t="n"/>
      <c r="I1883" s="5" t="n"/>
      <c r="J1883" s="5" t="n"/>
      <c r="K1883" s="5" t="n"/>
      <c r="L1883" s="5" t="n"/>
      <c r="M1883" s="5" t="n"/>
      <c r="N1883" s="5" t="n"/>
      <c r="O1883" s="5" t="n"/>
      <c r="P1883" s="5" t="n"/>
      <c r="Q1883" s="5" t="n"/>
      <c r="R1883" s="5" t="n"/>
      <c r="S1883" s="5" t="n"/>
      <c r="T1883" s="5" t="n"/>
      <c r="U1883" s="5" t="n"/>
      <c r="V1883" s="5" t="n"/>
      <c r="W1883" s="5" t="n"/>
      <c r="X1883" s="5" t="n"/>
      <c r="Y1883" s="5">
        <f>IF(I1883="","",IF(AND(I1883="Fail",K1883=""),"Classify Issue Source",IF(AND(I1883="Fail",W1883=""),"Set Confidence",IF(AND(K1883="Unknown",W1883&lt;&gt;"Low"),"Unknown must be Low confidence",IF(AND(OR(K1883="Backend",K1883="SAP"),N1883=""),"Add HTTP status + endpoint",IF(AND(OR(K1883="Backend",K1883="SAP",K1883="Network"),P1883=""),"Add Correlation ID",IF(AND(I1883="Fail",T1883=""),"Write Root Cause / evidence gap",IF(AND(I1883="Fail",V1883=""),"Assign team","OK"))))))))</f>
        <v/>
      </c>
    </row>
    <row r="1884">
      <c r="A1884" s="5" t="n"/>
      <c r="B1884" s="5" t="n"/>
      <c r="C1884" s="5" t="n"/>
      <c r="D1884" s="5" t="n"/>
      <c r="E1884" s="5" t="n"/>
      <c r="F1884" s="5" t="n"/>
      <c r="G1884" s="5" t="n"/>
      <c r="H1884" s="5" t="n"/>
      <c r="I1884" s="5" t="n"/>
      <c r="J1884" s="5" t="n"/>
      <c r="K1884" s="5" t="n"/>
      <c r="L1884" s="5" t="n"/>
      <c r="M1884" s="5" t="n"/>
      <c r="N1884" s="5" t="n"/>
      <c r="O1884" s="5" t="n"/>
      <c r="P1884" s="5" t="n"/>
      <c r="Q1884" s="5" t="n"/>
      <c r="R1884" s="5" t="n"/>
      <c r="S1884" s="5" t="n"/>
      <c r="T1884" s="5" t="n"/>
      <c r="U1884" s="5" t="n"/>
      <c r="V1884" s="5" t="n"/>
      <c r="W1884" s="5" t="n"/>
      <c r="X1884" s="5" t="n"/>
      <c r="Y1884" s="5">
        <f>IF(I1884="","",IF(AND(I1884="Fail",K1884=""),"Classify Issue Source",IF(AND(I1884="Fail",W1884=""),"Set Confidence",IF(AND(K1884="Unknown",W1884&lt;&gt;"Low"),"Unknown must be Low confidence",IF(AND(OR(K1884="Backend",K1884="SAP"),N1884=""),"Add HTTP status + endpoint",IF(AND(OR(K1884="Backend",K1884="SAP",K1884="Network"),P1884=""),"Add Correlation ID",IF(AND(I1884="Fail",T1884=""),"Write Root Cause / evidence gap",IF(AND(I1884="Fail",V1884=""),"Assign team","OK"))))))))</f>
        <v/>
      </c>
    </row>
    <row r="1885">
      <c r="A1885" s="5" t="n"/>
      <c r="B1885" s="5" t="n"/>
      <c r="C1885" s="5" t="n"/>
      <c r="D1885" s="5" t="n"/>
      <c r="E1885" s="5" t="n"/>
      <c r="F1885" s="5" t="n"/>
      <c r="G1885" s="5" t="n"/>
      <c r="H1885" s="5" t="n"/>
      <c r="I1885" s="5" t="n"/>
      <c r="J1885" s="5" t="n"/>
      <c r="K1885" s="5" t="n"/>
      <c r="L1885" s="5" t="n"/>
      <c r="M1885" s="5" t="n"/>
      <c r="N1885" s="5" t="n"/>
      <c r="O1885" s="5" t="n"/>
      <c r="P1885" s="5" t="n"/>
      <c r="Q1885" s="5" t="n"/>
      <c r="R1885" s="5" t="n"/>
      <c r="S1885" s="5" t="n"/>
      <c r="T1885" s="5" t="n"/>
      <c r="U1885" s="5" t="n"/>
      <c r="V1885" s="5" t="n"/>
      <c r="W1885" s="5" t="n"/>
      <c r="X1885" s="5" t="n"/>
      <c r="Y1885" s="5">
        <f>IF(I1885="","",IF(AND(I1885="Fail",K1885=""),"Classify Issue Source",IF(AND(I1885="Fail",W1885=""),"Set Confidence",IF(AND(K1885="Unknown",W1885&lt;&gt;"Low"),"Unknown must be Low confidence",IF(AND(OR(K1885="Backend",K1885="SAP"),N1885=""),"Add HTTP status + endpoint",IF(AND(OR(K1885="Backend",K1885="SAP",K1885="Network"),P1885=""),"Add Correlation ID",IF(AND(I1885="Fail",T1885=""),"Write Root Cause / evidence gap",IF(AND(I1885="Fail",V1885=""),"Assign team","OK"))))))))</f>
        <v/>
      </c>
    </row>
    <row r="1886">
      <c r="A1886" s="5" t="n"/>
      <c r="B1886" s="5" t="n"/>
      <c r="C1886" s="5" t="n"/>
      <c r="D1886" s="5" t="n"/>
      <c r="E1886" s="5" t="n"/>
      <c r="F1886" s="5" t="n"/>
      <c r="G1886" s="5" t="n"/>
      <c r="H1886" s="5" t="n"/>
      <c r="I1886" s="5" t="n"/>
      <c r="J1886" s="5" t="n"/>
      <c r="K1886" s="5" t="n"/>
      <c r="L1886" s="5" t="n"/>
      <c r="M1886" s="5" t="n"/>
      <c r="N1886" s="5" t="n"/>
      <c r="O1886" s="5" t="n"/>
      <c r="P1886" s="5" t="n"/>
      <c r="Q1886" s="5" t="n"/>
      <c r="R1886" s="5" t="n"/>
      <c r="S1886" s="5" t="n"/>
      <c r="T1886" s="5" t="n"/>
      <c r="U1886" s="5" t="n"/>
      <c r="V1886" s="5" t="n"/>
      <c r="W1886" s="5" t="n"/>
      <c r="X1886" s="5" t="n"/>
      <c r="Y1886" s="5">
        <f>IF(I1886="","",IF(AND(I1886="Fail",K1886=""),"Classify Issue Source",IF(AND(I1886="Fail",W1886=""),"Set Confidence",IF(AND(K1886="Unknown",W1886&lt;&gt;"Low"),"Unknown must be Low confidence",IF(AND(OR(K1886="Backend",K1886="SAP"),N1886=""),"Add HTTP status + endpoint",IF(AND(OR(K1886="Backend",K1886="SAP",K1886="Network"),P1886=""),"Add Correlation ID",IF(AND(I1886="Fail",T1886=""),"Write Root Cause / evidence gap",IF(AND(I1886="Fail",V1886=""),"Assign team","OK"))))))))</f>
        <v/>
      </c>
    </row>
    <row r="1887">
      <c r="A1887" s="5" t="n"/>
      <c r="B1887" s="5" t="n"/>
      <c r="C1887" s="5" t="n"/>
      <c r="D1887" s="5" t="n"/>
      <c r="E1887" s="5" t="n"/>
      <c r="F1887" s="5" t="n"/>
      <c r="G1887" s="5" t="n"/>
      <c r="H1887" s="5" t="n"/>
      <c r="I1887" s="5" t="n"/>
      <c r="J1887" s="5" t="n"/>
      <c r="K1887" s="5" t="n"/>
      <c r="L1887" s="5" t="n"/>
      <c r="M1887" s="5" t="n"/>
      <c r="N1887" s="5" t="n"/>
      <c r="O1887" s="5" t="n"/>
      <c r="P1887" s="5" t="n"/>
      <c r="Q1887" s="5" t="n"/>
      <c r="R1887" s="5" t="n"/>
      <c r="S1887" s="5" t="n"/>
      <c r="T1887" s="5" t="n"/>
      <c r="U1887" s="5" t="n"/>
      <c r="V1887" s="5" t="n"/>
      <c r="W1887" s="5" t="n"/>
      <c r="X1887" s="5" t="n"/>
      <c r="Y1887" s="5">
        <f>IF(I1887="","",IF(AND(I1887="Fail",K1887=""),"Classify Issue Source",IF(AND(I1887="Fail",W1887=""),"Set Confidence",IF(AND(K1887="Unknown",W1887&lt;&gt;"Low"),"Unknown must be Low confidence",IF(AND(OR(K1887="Backend",K1887="SAP"),N1887=""),"Add HTTP status + endpoint",IF(AND(OR(K1887="Backend",K1887="SAP",K1887="Network"),P1887=""),"Add Correlation ID",IF(AND(I1887="Fail",T1887=""),"Write Root Cause / evidence gap",IF(AND(I1887="Fail",V1887=""),"Assign team","OK"))))))))</f>
        <v/>
      </c>
    </row>
    <row r="1888">
      <c r="A1888" s="5" t="n"/>
      <c r="B1888" s="5" t="n"/>
      <c r="C1888" s="5" t="n"/>
      <c r="D1888" s="5" t="n"/>
      <c r="E1888" s="5" t="n"/>
      <c r="F1888" s="5" t="n"/>
      <c r="G1888" s="5" t="n"/>
      <c r="H1888" s="5" t="n"/>
      <c r="I1888" s="5" t="n"/>
      <c r="J1888" s="5" t="n"/>
      <c r="K1888" s="5" t="n"/>
      <c r="L1888" s="5" t="n"/>
      <c r="M1888" s="5" t="n"/>
      <c r="N1888" s="5" t="n"/>
      <c r="O1888" s="5" t="n"/>
      <c r="P1888" s="5" t="n"/>
      <c r="Q1888" s="5" t="n"/>
      <c r="R1888" s="5" t="n"/>
      <c r="S1888" s="5" t="n"/>
      <c r="T1888" s="5" t="n"/>
      <c r="U1888" s="5" t="n"/>
      <c r="V1888" s="5" t="n"/>
      <c r="W1888" s="5" t="n"/>
      <c r="X1888" s="5" t="n"/>
      <c r="Y1888" s="5">
        <f>IF(I1888="","",IF(AND(I1888="Fail",K1888=""),"Classify Issue Source",IF(AND(I1888="Fail",W1888=""),"Set Confidence",IF(AND(K1888="Unknown",W1888&lt;&gt;"Low"),"Unknown must be Low confidence",IF(AND(OR(K1888="Backend",K1888="SAP"),N1888=""),"Add HTTP status + endpoint",IF(AND(OR(K1888="Backend",K1888="SAP",K1888="Network"),P1888=""),"Add Correlation ID",IF(AND(I1888="Fail",T1888=""),"Write Root Cause / evidence gap",IF(AND(I1888="Fail",V1888=""),"Assign team","OK"))))))))</f>
        <v/>
      </c>
    </row>
    <row r="1889">
      <c r="A1889" s="5" t="n"/>
      <c r="B1889" s="5" t="n"/>
      <c r="C1889" s="5" t="n"/>
      <c r="D1889" s="5" t="n"/>
      <c r="E1889" s="5" t="n"/>
      <c r="F1889" s="5" t="n"/>
      <c r="G1889" s="5" t="n"/>
      <c r="H1889" s="5" t="n"/>
      <c r="I1889" s="5" t="n"/>
      <c r="J1889" s="5" t="n"/>
      <c r="K1889" s="5" t="n"/>
      <c r="L1889" s="5" t="n"/>
      <c r="M1889" s="5" t="n"/>
      <c r="N1889" s="5" t="n"/>
      <c r="O1889" s="5" t="n"/>
      <c r="P1889" s="5" t="n"/>
      <c r="Q1889" s="5" t="n"/>
      <c r="R1889" s="5" t="n"/>
      <c r="S1889" s="5" t="n"/>
      <c r="T1889" s="5" t="n"/>
      <c r="U1889" s="5" t="n"/>
      <c r="V1889" s="5" t="n"/>
      <c r="W1889" s="5" t="n"/>
      <c r="X1889" s="5" t="n"/>
      <c r="Y1889" s="5">
        <f>IF(I1889="","",IF(AND(I1889="Fail",K1889=""),"Classify Issue Source",IF(AND(I1889="Fail",W1889=""),"Set Confidence",IF(AND(K1889="Unknown",W1889&lt;&gt;"Low"),"Unknown must be Low confidence",IF(AND(OR(K1889="Backend",K1889="SAP"),N1889=""),"Add HTTP status + endpoint",IF(AND(OR(K1889="Backend",K1889="SAP",K1889="Network"),P1889=""),"Add Correlation ID",IF(AND(I1889="Fail",T1889=""),"Write Root Cause / evidence gap",IF(AND(I1889="Fail",V1889=""),"Assign team","OK"))))))))</f>
        <v/>
      </c>
    </row>
    <row r="1890">
      <c r="A1890" s="5" t="n"/>
      <c r="B1890" s="5" t="n"/>
      <c r="C1890" s="5" t="n"/>
      <c r="D1890" s="5" t="n"/>
      <c r="E1890" s="5" t="n"/>
      <c r="F1890" s="5" t="n"/>
      <c r="G1890" s="5" t="n"/>
      <c r="H1890" s="5" t="n"/>
      <c r="I1890" s="5" t="n"/>
      <c r="J1890" s="5" t="n"/>
      <c r="K1890" s="5" t="n"/>
      <c r="L1890" s="5" t="n"/>
      <c r="M1890" s="5" t="n"/>
      <c r="N1890" s="5" t="n"/>
      <c r="O1890" s="5" t="n"/>
      <c r="P1890" s="5" t="n"/>
      <c r="Q1890" s="5" t="n"/>
      <c r="R1890" s="5" t="n"/>
      <c r="S1890" s="5" t="n"/>
      <c r="T1890" s="5" t="n"/>
      <c r="U1890" s="5" t="n"/>
      <c r="V1890" s="5" t="n"/>
      <c r="W1890" s="5" t="n"/>
      <c r="X1890" s="5" t="n"/>
      <c r="Y1890" s="5">
        <f>IF(I1890="","",IF(AND(I1890="Fail",K1890=""),"Classify Issue Source",IF(AND(I1890="Fail",W1890=""),"Set Confidence",IF(AND(K1890="Unknown",W1890&lt;&gt;"Low"),"Unknown must be Low confidence",IF(AND(OR(K1890="Backend",K1890="SAP"),N1890=""),"Add HTTP status + endpoint",IF(AND(OR(K1890="Backend",K1890="SAP",K1890="Network"),P1890=""),"Add Correlation ID",IF(AND(I1890="Fail",T1890=""),"Write Root Cause / evidence gap",IF(AND(I1890="Fail",V1890=""),"Assign team","OK"))))))))</f>
        <v/>
      </c>
    </row>
    <row r="1891">
      <c r="A1891" s="5" t="n"/>
      <c r="B1891" s="5" t="n"/>
      <c r="C1891" s="5" t="n"/>
      <c r="D1891" s="5" t="n"/>
      <c r="E1891" s="5" t="n"/>
      <c r="F1891" s="5" t="n"/>
      <c r="G1891" s="5" t="n"/>
      <c r="H1891" s="5" t="n"/>
      <c r="I1891" s="5" t="n"/>
      <c r="J1891" s="5" t="n"/>
      <c r="K1891" s="5" t="n"/>
      <c r="L1891" s="5" t="n"/>
      <c r="M1891" s="5" t="n"/>
      <c r="N1891" s="5" t="n"/>
      <c r="O1891" s="5" t="n"/>
      <c r="P1891" s="5" t="n"/>
      <c r="Q1891" s="5" t="n"/>
      <c r="R1891" s="5" t="n"/>
      <c r="S1891" s="5" t="n"/>
      <c r="T1891" s="5" t="n"/>
      <c r="U1891" s="5" t="n"/>
      <c r="V1891" s="5" t="n"/>
      <c r="W1891" s="5" t="n"/>
      <c r="X1891" s="5" t="n"/>
      <c r="Y1891" s="5">
        <f>IF(I1891="","",IF(AND(I1891="Fail",K1891=""),"Classify Issue Source",IF(AND(I1891="Fail",W1891=""),"Set Confidence",IF(AND(K1891="Unknown",W1891&lt;&gt;"Low"),"Unknown must be Low confidence",IF(AND(OR(K1891="Backend",K1891="SAP"),N1891=""),"Add HTTP status + endpoint",IF(AND(OR(K1891="Backend",K1891="SAP",K1891="Network"),P1891=""),"Add Correlation ID",IF(AND(I1891="Fail",T1891=""),"Write Root Cause / evidence gap",IF(AND(I1891="Fail",V1891=""),"Assign team","OK"))))))))</f>
        <v/>
      </c>
    </row>
    <row r="1892">
      <c r="A1892" s="5" t="n"/>
      <c r="B1892" s="5" t="n"/>
      <c r="C1892" s="5" t="n"/>
      <c r="D1892" s="5" t="n"/>
      <c r="E1892" s="5" t="n"/>
      <c r="F1892" s="5" t="n"/>
      <c r="G1892" s="5" t="n"/>
      <c r="H1892" s="5" t="n"/>
      <c r="I1892" s="5" t="n"/>
      <c r="J1892" s="5" t="n"/>
      <c r="K1892" s="5" t="n"/>
      <c r="L1892" s="5" t="n"/>
      <c r="M1892" s="5" t="n"/>
      <c r="N1892" s="5" t="n"/>
      <c r="O1892" s="5" t="n"/>
      <c r="P1892" s="5" t="n"/>
      <c r="Q1892" s="5" t="n"/>
      <c r="R1892" s="5" t="n"/>
      <c r="S1892" s="5" t="n"/>
      <c r="T1892" s="5" t="n"/>
      <c r="U1892" s="5" t="n"/>
      <c r="V1892" s="5" t="n"/>
      <c r="W1892" s="5" t="n"/>
      <c r="X1892" s="5" t="n"/>
      <c r="Y1892" s="5">
        <f>IF(I1892="","",IF(AND(I1892="Fail",K1892=""),"Classify Issue Source",IF(AND(I1892="Fail",W1892=""),"Set Confidence",IF(AND(K1892="Unknown",W1892&lt;&gt;"Low"),"Unknown must be Low confidence",IF(AND(OR(K1892="Backend",K1892="SAP"),N1892=""),"Add HTTP status + endpoint",IF(AND(OR(K1892="Backend",K1892="SAP",K1892="Network"),P1892=""),"Add Correlation ID",IF(AND(I1892="Fail",T1892=""),"Write Root Cause / evidence gap",IF(AND(I1892="Fail",V1892=""),"Assign team","OK"))))))))</f>
        <v/>
      </c>
    </row>
    <row r="1893">
      <c r="A1893" s="5" t="n"/>
      <c r="B1893" s="5" t="n"/>
      <c r="C1893" s="5" t="n"/>
      <c r="D1893" s="5" t="n"/>
      <c r="E1893" s="5" t="n"/>
      <c r="F1893" s="5" t="n"/>
      <c r="G1893" s="5" t="n"/>
      <c r="H1893" s="5" t="n"/>
      <c r="I1893" s="5" t="n"/>
      <c r="J1893" s="5" t="n"/>
      <c r="K1893" s="5" t="n"/>
      <c r="L1893" s="5" t="n"/>
      <c r="M1893" s="5" t="n"/>
      <c r="N1893" s="5" t="n"/>
      <c r="O1893" s="5" t="n"/>
      <c r="P1893" s="5" t="n"/>
      <c r="Q1893" s="5" t="n"/>
      <c r="R1893" s="5" t="n"/>
      <c r="S1893" s="5" t="n"/>
      <c r="T1893" s="5" t="n"/>
      <c r="U1893" s="5" t="n"/>
      <c r="V1893" s="5" t="n"/>
      <c r="W1893" s="5" t="n"/>
      <c r="X1893" s="5" t="n"/>
      <c r="Y1893" s="5">
        <f>IF(I1893="","",IF(AND(I1893="Fail",K1893=""),"Classify Issue Source",IF(AND(I1893="Fail",W1893=""),"Set Confidence",IF(AND(K1893="Unknown",W1893&lt;&gt;"Low"),"Unknown must be Low confidence",IF(AND(OR(K1893="Backend",K1893="SAP"),N1893=""),"Add HTTP status + endpoint",IF(AND(OR(K1893="Backend",K1893="SAP",K1893="Network"),P1893=""),"Add Correlation ID",IF(AND(I1893="Fail",T1893=""),"Write Root Cause / evidence gap",IF(AND(I1893="Fail",V1893=""),"Assign team","OK"))))))))</f>
        <v/>
      </c>
    </row>
    <row r="1894">
      <c r="A1894" s="5" t="n"/>
      <c r="B1894" s="5" t="n"/>
      <c r="C1894" s="5" t="n"/>
      <c r="D1894" s="5" t="n"/>
      <c r="E1894" s="5" t="n"/>
      <c r="F1894" s="5" t="n"/>
      <c r="G1894" s="5" t="n"/>
      <c r="H1894" s="5" t="n"/>
      <c r="I1894" s="5" t="n"/>
      <c r="J1894" s="5" t="n"/>
      <c r="K1894" s="5" t="n"/>
      <c r="L1894" s="5" t="n"/>
      <c r="M1894" s="5" t="n"/>
      <c r="N1894" s="5" t="n"/>
      <c r="O1894" s="5" t="n"/>
      <c r="P1894" s="5" t="n"/>
      <c r="Q1894" s="5" t="n"/>
      <c r="R1894" s="5" t="n"/>
      <c r="S1894" s="5" t="n"/>
      <c r="T1894" s="5" t="n"/>
      <c r="U1894" s="5" t="n"/>
      <c r="V1894" s="5" t="n"/>
      <c r="W1894" s="5" t="n"/>
      <c r="X1894" s="5" t="n"/>
      <c r="Y1894" s="5">
        <f>IF(I1894="","",IF(AND(I1894="Fail",K1894=""),"Classify Issue Source",IF(AND(I1894="Fail",W1894=""),"Set Confidence",IF(AND(K1894="Unknown",W1894&lt;&gt;"Low"),"Unknown must be Low confidence",IF(AND(OR(K1894="Backend",K1894="SAP"),N1894=""),"Add HTTP status + endpoint",IF(AND(OR(K1894="Backend",K1894="SAP",K1894="Network"),P1894=""),"Add Correlation ID",IF(AND(I1894="Fail",T1894=""),"Write Root Cause / evidence gap",IF(AND(I1894="Fail",V1894=""),"Assign team","OK"))))))))</f>
        <v/>
      </c>
    </row>
    <row r="1895">
      <c r="A1895" s="5" t="n"/>
      <c r="B1895" s="5" t="n"/>
      <c r="C1895" s="5" t="n"/>
      <c r="D1895" s="5" t="n"/>
      <c r="E1895" s="5" t="n"/>
      <c r="F1895" s="5" t="n"/>
      <c r="G1895" s="5" t="n"/>
      <c r="H1895" s="5" t="n"/>
      <c r="I1895" s="5" t="n"/>
      <c r="J1895" s="5" t="n"/>
      <c r="K1895" s="5" t="n"/>
      <c r="L1895" s="5" t="n"/>
      <c r="M1895" s="5" t="n"/>
      <c r="N1895" s="5" t="n"/>
      <c r="O1895" s="5" t="n"/>
      <c r="P1895" s="5" t="n"/>
      <c r="Q1895" s="5" t="n"/>
      <c r="R1895" s="5" t="n"/>
      <c r="S1895" s="5" t="n"/>
      <c r="T1895" s="5" t="n"/>
      <c r="U1895" s="5" t="n"/>
      <c r="V1895" s="5" t="n"/>
      <c r="W1895" s="5" t="n"/>
      <c r="X1895" s="5" t="n"/>
      <c r="Y1895" s="5">
        <f>IF(I1895="","",IF(AND(I1895="Fail",K1895=""),"Classify Issue Source",IF(AND(I1895="Fail",W1895=""),"Set Confidence",IF(AND(K1895="Unknown",W1895&lt;&gt;"Low"),"Unknown must be Low confidence",IF(AND(OR(K1895="Backend",K1895="SAP"),N1895=""),"Add HTTP status + endpoint",IF(AND(OR(K1895="Backend",K1895="SAP",K1895="Network"),P1895=""),"Add Correlation ID",IF(AND(I1895="Fail",T1895=""),"Write Root Cause / evidence gap",IF(AND(I1895="Fail",V1895=""),"Assign team","OK"))))))))</f>
        <v/>
      </c>
    </row>
    <row r="1896">
      <c r="A1896" s="5" t="n"/>
      <c r="B1896" s="5" t="n"/>
      <c r="C1896" s="5" t="n"/>
      <c r="D1896" s="5" t="n"/>
      <c r="E1896" s="5" t="n"/>
      <c r="F1896" s="5" t="n"/>
      <c r="G1896" s="5" t="n"/>
      <c r="H1896" s="5" t="n"/>
      <c r="I1896" s="5" t="n"/>
      <c r="J1896" s="5" t="n"/>
      <c r="K1896" s="5" t="n"/>
      <c r="L1896" s="5" t="n"/>
      <c r="M1896" s="5" t="n"/>
      <c r="N1896" s="5" t="n"/>
      <c r="O1896" s="5" t="n"/>
      <c r="P1896" s="5" t="n"/>
      <c r="Q1896" s="5" t="n"/>
      <c r="R1896" s="5" t="n"/>
      <c r="S1896" s="5" t="n"/>
      <c r="T1896" s="5" t="n"/>
      <c r="U1896" s="5" t="n"/>
      <c r="V1896" s="5" t="n"/>
      <c r="W1896" s="5" t="n"/>
      <c r="X1896" s="5" t="n"/>
      <c r="Y1896" s="5">
        <f>IF(I1896="","",IF(AND(I1896="Fail",K1896=""),"Classify Issue Source",IF(AND(I1896="Fail",W1896=""),"Set Confidence",IF(AND(K1896="Unknown",W1896&lt;&gt;"Low"),"Unknown must be Low confidence",IF(AND(OR(K1896="Backend",K1896="SAP"),N1896=""),"Add HTTP status + endpoint",IF(AND(OR(K1896="Backend",K1896="SAP",K1896="Network"),P1896=""),"Add Correlation ID",IF(AND(I1896="Fail",T1896=""),"Write Root Cause / evidence gap",IF(AND(I1896="Fail",V1896=""),"Assign team","OK"))))))))</f>
        <v/>
      </c>
    </row>
    <row r="1897">
      <c r="A1897" s="5" t="n"/>
      <c r="B1897" s="5" t="n"/>
      <c r="C1897" s="5" t="n"/>
      <c r="D1897" s="5" t="n"/>
      <c r="E1897" s="5" t="n"/>
      <c r="F1897" s="5" t="n"/>
      <c r="G1897" s="5" t="n"/>
      <c r="H1897" s="5" t="n"/>
      <c r="I1897" s="5" t="n"/>
      <c r="J1897" s="5" t="n"/>
      <c r="K1897" s="5" t="n"/>
      <c r="L1897" s="5" t="n"/>
      <c r="M1897" s="5" t="n"/>
      <c r="N1897" s="5" t="n"/>
      <c r="O1897" s="5" t="n"/>
      <c r="P1897" s="5" t="n"/>
      <c r="Q1897" s="5" t="n"/>
      <c r="R1897" s="5" t="n"/>
      <c r="S1897" s="5" t="n"/>
      <c r="T1897" s="5" t="n"/>
      <c r="U1897" s="5" t="n"/>
      <c r="V1897" s="5" t="n"/>
      <c r="W1897" s="5" t="n"/>
      <c r="X1897" s="5" t="n"/>
      <c r="Y1897" s="5">
        <f>IF(I1897="","",IF(AND(I1897="Fail",K1897=""),"Classify Issue Source",IF(AND(I1897="Fail",W1897=""),"Set Confidence",IF(AND(K1897="Unknown",W1897&lt;&gt;"Low"),"Unknown must be Low confidence",IF(AND(OR(K1897="Backend",K1897="SAP"),N1897=""),"Add HTTP status + endpoint",IF(AND(OR(K1897="Backend",K1897="SAP",K1897="Network"),P1897=""),"Add Correlation ID",IF(AND(I1897="Fail",T1897=""),"Write Root Cause / evidence gap",IF(AND(I1897="Fail",V1897=""),"Assign team","OK"))))))))</f>
        <v/>
      </c>
    </row>
    <row r="1898">
      <c r="A1898" s="5" t="n"/>
      <c r="B1898" s="5" t="n"/>
      <c r="C1898" s="5" t="n"/>
      <c r="D1898" s="5" t="n"/>
      <c r="E1898" s="5" t="n"/>
      <c r="F1898" s="5" t="n"/>
      <c r="G1898" s="5" t="n"/>
      <c r="H1898" s="5" t="n"/>
      <c r="I1898" s="5" t="n"/>
      <c r="J1898" s="5" t="n"/>
      <c r="K1898" s="5" t="n"/>
      <c r="L1898" s="5" t="n"/>
      <c r="M1898" s="5" t="n"/>
      <c r="N1898" s="5" t="n"/>
      <c r="O1898" s="5" t="n"/>
      <c r="P1898" s="5" t="n"/>
      <c r="Q1898" s="5" t="n"/>
      <c r="R1898" s="5" t="n"/>
      <c r="S1898" s="5" t="n"/>
      <c r="T1898" s="5" t="n"/>
      <c r="U1898" s="5" t="n"/>
      <c r="V1898" s="5" t="n"/>
      <c r="W1898" s="5" t="n"/>
      <c r="X1898" s="5" t="n"/>
      <c r="Y1898" s="5">
        <f>IF(I1898="","",IF(AND(I1898="Fail",K1898=""),"Classify Issue Source",IF(AND(I1898="Fail",W1898=""),"Set Confidence",IF(AND(K1898="Unknown",W1898&lt;&gt;"Low"),"Unknown must be Low confidence",IF(AND(OR(K1898="Backend",K1898="SAP"),N1898=""),"Add HTTP status + endpoint",IF(AND(OR(K1898="Backend",K1898="SAP",K1898="Network"),P1898=""),"Add Correlation ID",IF(AND(I1898="Fail",T1898=""),"Write Root Cause / evidence gap",IF(AND(I1898="Fail",V1898=""),"Assign team","OK"))))))))</f>
        <v/>
      </c>
    </row>
    <row r="1899">
      <c r="A1899" s="5" t="n"/>
      <c r="B1899" s="5" t="n"/>
      <c r="C1899" s="5" t="n"/>
      <c r="D1899" s="5" t="n"/>
      <c r="E1899" s="5" t="n"/>
      <c r="F1899" s="5" t="n"/>
      <c r="G1899" s="5" t="n"/>
      <c r="H1899" s="5" t="n"/>
      <c r="I1899" s="5" t="n"/>
      <c r="J1899" s="5" t="n"/>
      <c r="K1899" s="5" t="n"/>
      <c r="L1899" s="5" t="n"/>
      <c r="M1899" s="5" t="n"/>
      <c r="N1899" s="5" t="n"/>
      <c r="O1899" s="5" t="n"/>
      <c r="P1899" s="5" t="n"/>
      <c r="Q1899" s="5" t="n"/>
      <c r="R1899" s="5" t="n"/>
      <c r="S1899" s="5" t="n"/>
      <c r="T1899" s="5" t="n"/>
      <c r="U1899" s="5" t="n"/>
      <c r="V1899" s="5" t="n"/>
      <c r="W1899" s="5" t="n"/>
      <c r="X1899" s="5" t="n"/>
      <c r="Y1899" s="5">
        <f>IF(I1899="","",IF(AND(I1899="Fail",K1899=""),"Classify Issue Source",IF(AND(I1899="Fail",W1899=""),"Set Confidence",IF(AND(K1899="Unknown",W1899&lt;&gt;"Low"),"Unknown must be Low confidence",IF(AND(OR(K1899="Backend",K1899="SAP"),N1899=""),"Add HTTP status + endpoint",IF(AND(OR(K1899="Backend",K1899="SAP",K1899="Network"),P1899=""),"Add Correlation ID",IF(AND(I1899="Fail",T1899=""),"Write Root Cause / evidence gap",IF(AND(I1899="Fail",V1899=""),"Assign team","OK"))))))))</f>
        <v/>
      </c>
    </row>
    <row r="1900">
      <c r="A1900" s="5" t="n"/>
      <c r="B1900" s="5" t="n"/>
      <c r="C1900" s="5" t="n"/>
      <c r="D1900" s="5" t="n"/>
      <c r="E1900" s="5" t="n"/>
      <c r="F1900" s="5" t="n"/>
      <c r="G1900" s="5" t="n"/>
      <c r="H1900" s="5" t="n"/>
      <c r="I1900" s="5" t="n"/>
      <c r="J1900" s="5" t="n"/>
      <c r="K1900" s="5" t="n"/>
      <c r="L1900" s="5" t="n"/>
      <c r="M1900" s="5" t="n"/>
      <c r="N1900" s="5" t="n"/>
      <c r="O1900" s="5" t="n"/>
      <c r="P1900" s="5" t="n"/>
      <c r="Q1900" s="5" t="n"/>
      <c r="R1900" s="5" t="n"/>
      <c r="S1900" s="5" t="n"/>
      <c r="T1900" s="5" t="n"/>
      <c r="U1900" s="5" t="n"/>
      <c r="V1900" s="5" t="n"/>
      <c r="W1900" s="5" t="n"/>
      <c r="X1900" s="5" t="n"/>
      <c r="Y1900" s="5">
        <f>IF(I1900="","",IF(AND(I1900="Fail",K1900=""),"Classify Issue Source",IF(AND(I1900="Fail",W1900=""),"Set Confidence",IF(AND(K1900="Unknown",W1900&lt;&gt;"Low"),"Unknown must be Low confidence",IF(AND(OR(K1900="Backend",K1900="SAP"),N1900=""),"Add HTTP status + endpoint",IF(AND(OR(K1900="Backend",K1900="SAP",K1900="Network"),P1900=""),"Add Correlation ID",IF(AND(I1900="Fail",T1900=""),"Write Root Cause / evidence gap",IF(AND(I1900="Fail",V1900=""),"Assign team","OK"))))))))</f>
        <v/>
      </c>
    </row>
    <row r="1901">
      <c r="A1901" s="5" t="n"/>
      <c r="B1901" s="5" t="n"/>
      <c r="C1901" s="5" t="n"/>
      <c r="D1901" s="5" t="n"/>
      <c r="E1901" s="5" t="n"/>
      <c r="F1901" s="5" t="n"/>
      <c r="G1901" s="5" t="n"/>
      <c r="H1901" s="5" t="n"/>
      <c r="I1901" s="5" t="n"/>
      <c r="J1901" s="5" t="n"/>
      <c r="K1901" s="5" t="n"/>
      <c r="L1901" s="5" t="n"/>
      <c r="M1901" s="5" t="n"/>
      <c r="N1901" s="5" t="n"/>
      <c r="O1901" s="5" t="n"/>
      <c r="P1901" s="5" t="n"/>
      <c r="Q1901" s="5" t="n"/>
      <c r="R1901" s="5" t="n"/>
      <c r="S1901" s="5" t="n"/>
      <c r="T1901" s="5" t="n"/>
      <c r="U1901" s="5" t="n"/>
      <c r="V1901" s="5" t="n"/>
      <c r="W1901" s="5" t="n"/>
      <c r="X1901" s="5" t="n"/>
      <c r="Y1901" s="5">
        <f>IF(I1901="","",IF(AND(I1901="Fail",K1901=""),"Classify Issue Source",IF(AND(I1901="Fail",W1901=""),"Set Confidence",IF(AND(K1901="Unknown",W1901&lt;&gt;"Low"),"Unknown must be Low confidence",IF(AND(OR(K1901="Backend",K1901="SAP"),N1901=""),"Add HTTP status + endpoint",IF(AND(OR(K1901="Backend",K1901="SAP",K1901="Network"),P1901=""),"Add Correlation ID",IF(AND(I1901="Fail",T1901=""),"Write Root Cause / evidence gap",IF(AND(I1901="Fail",V1901=""),"Assign team","OK"))))))))</f>
        <v/>
      </c>
    </row>
    <row r="1902">
      <c r="A1902" s="5" t="n"/>
      <c r="B1902" s="5" t="n"/>
      <c r="C1902" s="5" t="n"/>
      <c r="D1902" s="5" t="n"/>
      <c r="E1902" s="5" t="n"/>
      <c r="F1902" s="5" t="n"/>
      <c r="G1902" s="5" t="n"/>
      <c r="H1902" s="5" t="n"/>
      <c r="I1902" s="5" t="n"/>
      <c r="J1902" s="5" t="n"/>
      <c r="K1902" s="5" t="n"/>
      <c r="L1902" s="5" t="n"/>
      <c r="M1902" s="5" t="n"/>
      <c r="N1902" s="5" t="n"/>
      <c r="O1902" s="5" t="n"/>
      <c r="P1902" s="5" t="n"/>
      <c r="Q1902" s="5" t="n"/>
      <c r="R1902" s="5" t="n"/>
      <c r="S1902" s="5" t="n"/>
      <c r="T1902" s="5" t="n"/>
      <c r="U1902" s="5" t="n"/>
      <c r="V1902" s="5" t="n"/>
      <c r="W1902" s="5" t="n"/>
      <c r="X1902" s="5" t="n"/>
      <c r="Y1902" s="5">
        <f>IF(I1902="","",IF(AND(I1902="Fail",K1902=""),"Classify Issue Source",IF(AND(I1902="Fail",W1902=""),"Set Confidence",IF(AND(K1902="Unknown",W1902&lt;&gt;"Low"),"Unknown must be Low confidence",IF(AND(OR(K1902="Backend",K1902="SAP"),N1902=""),"Add HTTP status + endpoint",IF(AND(OR(K1902="Backend",K1902="SAP",K1902="Network"),P1902=""),"Add Correlation ID",IF(AND(I1902="Fail",T1902=""),"Write Root Cause / evidence gap",IF(AND(I1902="Fail",V1902=""),"Assign team","OK"))))))))</f>
        <v/>
      </c>
    </row>
    <row r="1903">
      <c r="A1903" s="5" t="n"/>
      <c r="B1903" s="5" t="n"/>
      <c r="C1903" s="5" t="n"/>
      <c r="D1903" s="5" t="n"/>
      <c r="E1903" s="5" t="n"/>
      <c r="F1903" s="5" t="n"/>
      <c r="G1903" s="5" t="n"/>
      <c r="H1903" s="5" t="n"/>
      <c r="I1903" s="5" t="n"/>
      <c r="J1903" s="5" t="n"/>
      <c r="K1903" s="5" t="n"/>
      <c r="L1903" s="5" t="n"/>
      <c r="M1903" s="5" t="n"/>
      <c r="N1903" s="5" t="n"/>
      <c r="O1903" s="5" t="n"/>
      <c r="P1903" s="5" t="n"/>
      <c r="Q1903" s="5" t="n"/>
      <c r="R1903" s="5" t="n"/>
      <c r="S1903" s="5" t="n"/>
      <c r="T1903" s="5" t="n"/>
      <c r="U1903" s="5" t="n"/>
      <c r="V1903" s="5" t="n"/>
      <c r="W1903" s="5" t="n"/>
      <c r="X1903" s="5" t="n"/>
      <c r="Y1903" s="5">
        <f>IF(I1903="","",IF(AND(I1903="Fail",K1903=""),"Classify Issue Source",IF(AND(I1903="Fail",W1903=""),"Set Confidence",IF(AND(K1903="Unknown",W1903&lt;&gt;"Low"),"Unknown must be Low confidence",IF(AND(OR(K1903="Backend",K1903="SAP"),N1903=""),"Add HTTP status + endpoint",IF(AND(OR(K1903="Backend",K1903="SAP",K1903="Network"),P1903=""),"Add Correlation ID",IF(AND(I1903="Fail",T1903=""),"Write Root Cause / evidence gap",IF(AND(I1903="Fail",V1903=""),"Assign team","OK"))))))))</f>
        <v/>
      </c>
    </row>
    <row r="1904">
      <c r="A1904" s="5" t="n"/>
      <c r="B1904" s="5" t="n"/>
      <c r="C1904" s="5" t="n"/>
      <c r="D1904" s="5" t="n"/>
      <c r="E1904" s="5" t="n"/>
      <c r="F1904" s="5" t="n"/>
      <c r="G1904" s="5" t="n"/>
      <c r="H1904" s="5" t="n"/>
      <c r="I1904" s="5" t="n"/>
      <c r="J1904" s="5" t="n"/>
      <c r="K1904" s="5" t="n"/>
      <c r="L1904" s="5" t="n"/>
      <c r="M1904" s="5" t="n"/>
      <c r="N1904" s="5" t="n"/>
      <c r="O1904" s="5" t="n"/>
      <c r="P1904" s="5" t="n"/>
      <c r="Q1904" s="5" t="n"/>
      <c r="R1904" s="5" t="n"/>
      <c r="S1904" s="5" t="n"/>
      <c r="T1904" s="5" t="n"/>
      <c r="U1904" s="5" t="n"/>
      <c r="V1904" s="5" t="n"/>
      <c r="W1904" s="5" t="n"/>
      <c r="X1904" s="5" t="n"/>
      <c r="Y1904" s="5">
        <f>IF(I1904="","",IF(AND(I1904="Fail",K1904=""),"Classify Issue Source",IF(AND(I1904="Fail",W1904=""),"Set Confidence",IF(AND(K1904="Unknown",W1904&lt;&gt;"Low"),"Unknown must be Low confidence",IF(AND(OR(K1904="Backend",K1904="SAP"),N1904=""),"Add HTTP status + endpoint",IF(AND(OR(K1904="Backend",K1904="SAP",K1904="Network"),P1904=""),"Add Correlation ID",IF(AND(I1904="Fail",T1904=""),"Write Root Cause / evidence gap",IF(AND(I1904="Fail",V1904=""),"Assign team","OK"))))))))</f>
        <v/>
      </c>
    </row>
    <row r="1905">
      <c r="A1905" s="5" t="n"/>
      <c r="B1905" s="5" t="n"/>
      <c r="C1905" s="5" t="n"/>
      <c r="D1905" s="5" t="n"/>
      <c r="E1905" s="5" t="n"/>
      <c r="F1905" s="5" t="n"/>
      <c r="G1905" s="5" t="n"/>
      <c r="H1905" s="5" t="n"/>
      <c r="I1905" s="5" t="n"/>
      <c r="J1905" s="5" t="n"/>
      <c r="K1905" s="5" t="n"/>
      <c r="L1905" s="5" t="n"/>
      <c r="M1905" s="5" t="n"/>
      <c r="N1905" s="5" t="n"/>
      <c r="O1905" s="5" t="n"/>
      <c r="P1905" s="5" t="n"/>
      <c r="Q1905" s="5" t="n"/>
      <c r="R1905" s="5" t="n"/>
      <c r="S1905" s="5" t="n"/>
      <c r="T1905" s="5" t="n"/>
      <c r="U1905" s="5" t="n"/>
      <c r="V1905" s="5" t="n"/>
      <c r="W1905" s="5" t="n"/>
      <c r="X1905" s="5" t="n"/>
      <c r="Y1905" s="5">
        <f>IF(I1905="","",IF(AND(I1905="Fail",K1905=""),"Classify Issue Source",IF(AND(I1905="Fail",W1905=""),"Set Confidence",IF(AND(K1905="Unknown",W1905&lt;&gt;"Low"),"Unknown must be Low confidence",IF(AND(OR(K1905="Backend",K1905="SAP"),N1905=""),"Add HTTP status + endpoint",IF(AND(OR(K1905="Backend",K1905="SAP",K1905="Network"),P1905=""),"Add Correlation ID",IF(AND(I1905="Fail",T1905=""),"Write Root Cause / evidence gap",IF(AND(I1905="Fail",V1905=""),"Assign team","OK"))))))))</f>
        <v/>
      </c>
    </row>
    <row r="1906">
      <c r="A1906" s="5" t="n"/>
      <c r="B1906" s="5" t="n"/>
      <c r="C1906" s="5" t="n"/>
      <c r="D1906" s="5" t="n"/>
      <c r="E1906" s="5" t="n"/>
      <c r="F1906" s="5" t="n"/>
      <c r="G1906" s="5" t="n"/>
      <c r="H1906" s="5" t="n"/>
      <c r="I1906" s="5" t="n"/>
      <c r="J1906" s="5" t="n"/>
      <c r="K1906" s="5" t="n"/>
      <c r="L1906" s="5" t="n"/>
      <c r="M1906" s="5" t="n"/>
      <c r="N1906" s="5" t="n"/>
      <c r="O1906" s="5" t="n"/>
      <c r="P1906" s="5" t="n"/>
      <c r="Q1906" s="5" t="n"/>
      <c r="R1906" s="5" t="n"/>
      <c r="S1906" s="5" t="n"/>
      <c r="T1906" s="5" t="n"/>
      <c r="U1906" s="5" t="n"/>
      <c r="V1906" s="5" t="n"/>
      <c r="W1906" s="5" t="n"/>
      <c r="X1906" s="5" t="n"/>
      <c r="Y1906" s="5">
        <f>IF(I1906="","",IF(AND(I1906="Fail",K1906=""),"Classify Issue Source",IF(AND(I1906="Fail",W1906=""),"Set Confidence",IF(AND(K1906="Unknown",W1906&lt;&gt;"Low"),"Unknown must be Low confidence",IF(AND(OR(K1906="Backend",K1906="SAP"),N1906=""),"Add HTTP status + endpoint",IF(AND(OR(K1906="Backend",K1906="SAP",K1906="Network"),P1906=""),"Add Correlation ID",IF(AND(I1906="Fail",T1906=""),"Write Root Cause / evidence gap",IF(AND(I1906="Fail",V1906=""),"Assign team","OK"))))))))</f>
        <v/>
      </c>
    </row>
    <row r="1907">
      <c r="A1907" s="5" t="n"/>
      <c r="B1907" s="5" t="n"/>
      <c r="C1907" s="5" t="n"/>
      <c r="D1907" s="5" t="n"/>
      <c r="E1907" s="5" t="n"/>
      <c r="F1907" s="5" t="n"/>
      <c r="G1907" s="5" t="n"/>
      <c r="H1907" s="5" t="n"/>
      <c r="I1907" s="5" t="n"/>
      <c r="J1907" s="5" t="n"/>
      <c r="K1907" s="5" t="n"/>
      <c r="L1907" s="5" t="n"/>
      <c r="M1907" s="5" t="n"/>
      <c r="N1907" s="5" t="n"/>
      <c r="O1907" s="5" t="n"/>
      <c r="P1907" s="5" t="n"/>
      <c r="Q1907" s="5" t="n"/>
      <c r="R1907" s="5" t="n"/>
      <c r="S1907" s="5" t="n"/>
      <c r="T1907" s="5" t="n"/>
      <c r="U1907" s="5" t="n"/>
      <c r="V1907" s="5" t="n"/>
      <c r="W1907" s="5" t="n"/>
      <c r="X1907" s="5" t="n"/>
      <c r="Y1907" s="5">
        <f>IF(I1907="","",IF(AND(I1907="Fail",K1907=""),"Classify Issue Source",IF(AND(I1907="Fail",W1907=""),"Set Confidence",IF(AND(K1907="Unknown",W1907&lt;&gt;"Low"),"Unknown must be Low confidence",IF(AND(OR(K1907="Backend",K1907="SAP"),N1907=""),"Add HTTP status + endpoint",IF(AND(OR(K1907="Backend",K1907="SAP",K1907="Network"),P1907=""),"Add Correlation ID",IF(AND(I1907="Fail",T1907=""),"Write Root Cause / evidence gap",IF(AND(I1907="Fail",V1907=""),"Assign team","OK"))))))))</f>
        <v/>
      </c>
    </row>
    <row r="1908">
      <c r="A1908" s="5" t="n"/>
      <c r="B1908" s="5" t="n"/>
      <c r="C1908" s="5" t="n"/>
      <c r="D1908" s="5" t="n"/>
      <c r="E1908" s="5" t="n"/>
      <c r="F1908" s="5" t="n"/>
      <c r="G1908" s="5" t="n"/>
      <c r="H1908" s="5" t="n"/>
      <c r="I1908" s="5" t="n"/>
      <c r="J1908" s="5" t="n"/>
      <c r="K1908" s="5" t="n"/>
      <c r="L1908" s="5" t="n"/>
      <c r="M1908" s="5" t="n"/>
      <c r="N1908" s="5" t="n"/>
      <c r="O1908" s="5" t="n"/>
      <c r="P1908" s="5" t="n"/>
      <c r="Q1908" s="5" t="n"/>
      <c r="R1908" s="5" t="n"/>
      <c r="S1908" s="5" t="n"/>
      <c r="T1908" s="5" t="n"/>
      <c r="U1908" s="5" t="n"/>
      <c r="V1908" s="5" t="n"/>
      <c r="W1908" s="5" t="n"/>
      <c r="X1908" s="5" t="n"/>
      <c r="Y1908" s="5">
        <f>IF(I1908="","",IF(AND(I1908="Fail",K1908=""),"Classify Issue Source",IF(AND(I1908="Fail",W1908=""),"Set Confidence",IF(AND(K1908="Unknown",W1908&lt;&gt;"Low"),"Unknown must be Low confidence",IF(AND(OR(K1908="Backend",K1908="SAP"),N1908=""),"Add HTTP status + endpoint",IF(AND(OR(K1908="Backend",K1908="SAP",K1908="Network"),P1908=""),"Add Correlation ID",IF(AND(I1908="Fail",T1908=""),"Write Root Cause / evidence gap",IF(AND(I1908="Fail",V1908=""),"Assign team","OK"))))))))</f>
        <v/>
      </c>
    </row>
    <row r="1909">
      <c r="A1909" s="5" t="n"/>
      <c r="B1909" s="5" t="n"/>
      <c r="C1909" s="5" t="n"/>
      <c r="D1909" s="5" t="n"/>
      <c r="E1909" s="5" t="n"/>
      <c r="F1909" s="5" t="n"/>
      <c r="G1909" s="5" t="n"/>
      <c r="H1909" s="5" t="n"/>
      <c r="I1909" s="5" t="n"/>
      <c r="J1909" s="5" t="n"/>
      <c r="K1909" s="5" t="n"/>
      <c r="L1909" s="5" t="n"/>
      <c r="M1909" s="5" t="n"/>
      <c r="N1909" s="5" t="n"/>
      <c r="O1909" s="5" t="n"/>
      <c r="P1909" s="5" t="n"/>
      <c r="Q1909" s="5" t="n"/>
      <c r="R1909" s="5" t="n"/>
      <c r="S1909" s="5" t="n"/>
      <c r="T1909" s="5" t="n"/>
      <c r="U1909" s="5" t="n"/>
      <c r="V1909" s="5" t="n"/>
      <c r="W1909" s="5" t="n"/>
      <c r="X1909" s="5" t="n"/>
      <c r="Y1909" s="5">
        <f>IF(I1909="","",IF(AND(I1909="Fail",K1909=""),"Classify Issue Source",IF(AND(I1909="Fail",W1909=""),"Set Confidence",IF(AND(K1909="Unknown",W1909&lt;&gt;"Low"),"Unknown must be Low confidence",IF(AND(OR(K1909="Backend",K1909="SAP"),N1909=""),"Add HTTP status + endpoint",IF(AND(OR(K1909="Backend",K1909="SAP",K1909="Network"),P1909=""),"Add Correlation ID",IF(AND(I1909="Fail",T1909=""),"Write Root Cause / evidence gap",IF(AND(I1909="Fail",V1909=""),"Assign team","OK"))))))))</f>
        <v/>
      </c>
    </row>
    <row r="1910">
      <c r="A1910" s="5" t="n"/>
      <c r="B1910" s="5" t="n"/>
      <c r="C1910" s="5" t="n"/>
      <c r="D1910" s="5" t="n"/>
      <c r="E1910" s="5" t="n"/>
      <c r="F1910" s="5" t="n"/>
      <c r="G1910" s="5" t="n"/>
      <c r="H1910" s="5" t="n"/>
      <c r="I1910" s="5" t="n"/>
      <c r="J1910" s="5" t="n"/>
      <c r="K1910" s="5" t="n"/>
      <c r="L1910" s="5" t="n"/>
      <c r="M1910" s="5" t="n"/>
      <c r="N1910" s="5" t="n"/>
      <c r="O1910" s="5" t="n"/>
      <c r="P1910" s="5" t="n"/>
      <c r="Q1910" s="5" t="n"/>
      <c r="R1910" s="5" t="n"/>
      <c r="S1910" s="5" t="n"/>
      <c r="T1910" s="5" t="n"/>
      <c r="U1910" s="5" t="n"/>
      <c r="V1910" s="5" t="n"/>
      <c r="W1910" s="5" t="n"/>
      <c r="X1910" s="5" t="n"/>
      <c r="Y1910" s="5">
        <f>IF(I1910="","",IF(AND(I1910="Fail",K1910=""),"Classify Issue Source",IF(AND(I1910="Fail",W1910=""),"Set Confidence",IF(AND(K1910="Unknown",W1910&lt;&gt;"Low"),"Unknown must be Low confidence",IF(AND(OR(K1910="Backend",K1910="SAP"),N1910=""),"Add HTTP status + endpoint",IF(AND(OR(K1910="Backend",K1910="SAP",K1910="Network"),P1910=""),"Add Correlation ID",IF(AND(I1910="Fail",T1910=""),"Write Root Cause / evidence gap",IF(AND(I1910="Fail",V1910=""),"Assign team","OK"))))))))</f>
        <v/>
      </c>
    </row>
    <row r="1911">
      <c r="A1911" s="5" t="n"/>
      <c r="B1911" s="5" t="n"/>
      <c r="C1911" s="5" t="n"/>
      <c r="D1911" s="5" t="n"/>
      <c r="E1911" s="5" t="n"/>
      <c r="F1911" s="5" t="n"/>
      <c r="G1911" s="5" t="n"/>
      <c r="H1911" s="5" t="n"/>
      <c r="I1911" s="5" t="n"/>
      <c r="J1911" s="5" t="n"/>
      <c r="K1911" s="5" t="n"/>
      <c r="L1911" s="5" t="n"/>
      <c r="M1911" s="5" t="n"/>
      <c r="N1911" s="5" t="n"/>
      <c r="O1911" s="5" t="n"/>
      <c r="P1911" s="5" t="n"/>
      <c r="Q1911" s="5" t="n"/>
      <c r="R1911" s="5" t="n"/>
      <c r="S1911" s="5" t="n"/>
      <c r="T1911" s="5" t="n"/>
      <c r="U1911" s="5" t="n"/>
      <c r="V1911" s="5" t="n"/>
      <c r="W1911" s="5" t="n"/>
      <c r="X1911" s="5" t="n"/>
      <c r="Y1911" s="5">
        <f>IF(I1911="","",IF(AND(I1911="Fail",K1911=""),"Classify Issue Source",IF(AND(I1911="Fail",W1911=""),"Set Confidence",IF(AND(K1911="Unknown",W1911&lt;&gt;"Low"),"Unknown must be Low confidence",IF(AND(OR(K1911="Backend",K1911="SAP"),N1911=""),"Add HTTP status + endpoint",IF(AND(OR(K1911="Backend",K1911="SAP",K1911="Network"),P1911=""),"Add Correlation ID",IF(AND(I1911="Fail",T1911=""),"Write Root Cause / evidence gap",IF(AND(I1911="Fail",V1911=""),"Assign team","OK"))))))))</f>
        <v/>
      </c>
    </row>
    <row r="1912">
      <c r="A1912" s="5" t="n"/>
      <c r="B1912" s="5" t="n"/>
      <c r="C1912" s="5" t="n"/>
      <c r="D1912" s="5" t="n"/>
      <c r="E1912" s="5" t="n"/>
      <c r="F1912" s="5" t="n"/>
      <c r="G1912" s="5" t="n"/>
      <c r="H1912" s="5" t="n"/>
      <c r="I1912" s="5" t="n"/>
      <c r="J1912" s="5" t="n"/>
      <c r="K1912" s="5" t="n"/>
      <c r="L1912" s="5" t="n"/>
      <c r="M1912" s="5" t="n"/>
      <c r="N1912" s="5" t="n"/>
      <c r="O1912" s="5" t="n"/>
      <c r="P1912" s="5" t="n"/>
      <c r="Q1912" s="5" t="n"/>
      <c r="R1912" s="5" t="n"/>
      <c r="S1912" s="5" t="n"/>
      <c r="T1912" s="5" t="n"/>
      <c r="U1912" s="5" t="n"/>
      <c r="V1912" s="5" t="n"/>
      <c r="W1912" s="5" t="n"/>
      <c r="X1912" s="5" t="n"/>
      <c r="Y1912" s="5">
        <f>IF(I1912="","",IF(AND(I1912="Fail",K1912=""),"Classify Issue Source",IF(AND(I1912="Fail",W1912=""),"Set Confidence",IF(AND(K1912="Unknown",W1912&lt;&gt;"Low"),"Unknown must be Low confidence",IF(AND(OR(K1912="Backend",K1912="SAP"),N1912=""),"Add HTTP status + endpoint",IF(AND(OR(K1912="Backend",K1912="SAP",K1912="Network"),P1912=""),"Add Correlation ID",IF(AND(I1912="Fail",T1912=""),"Write Root Cause / evidence gap",IF(AND(I1912="Fail",V1912=""),"Assign team","OK"))))))))</f>
        <v/>
      </c>
    </row>
    <row r="1913">
      <c r="A1913" s="5" t="n"/>
      <c r="B1913" s="5" t="n"/>
      <c r="C1913" s="5" t="n"/>
      <c r="D1913" s="5" t="n"/>
      <c r="E1913" s="5" t="n"/>
      <c r="F1913" s="5" t="n"/>
      <c r="G1913" s="5" t="n"/>
      <c r="H1913" s="5" t="n"/>
      <c r="I1913" s="5" t="n"/>
      <c r="J1913" s="5" t="n"/>
      <c r="K1913" s="5" t="n"/>
      <c r="L1913" s="5" t="n"/>
      <c r="M1913" s="5" t="n"/>
      <c r="N1913" s="5" t="n"/>
      <c r="O1913" s="5" t="n"/>
      <c r="P1913" s="5" t="n"/>
      <c r="Q1913" s="5" t="n"/>
      <c r="R1913" s="5" t="n"/>
      <c r="S1913" s="5" t="n"/>
      <c r="T1913" s="5" t="n"/>
      <c r="U1913" s="5" t="n"/>
      <c r="V1913" s="5" t="n"/>
      <c r="W1913" s="5" t="n"/>
      <c r="X1913" s="5" t="n"/>
      <c r="Y1913" s="5">
        <f>IF(I1913="","",IF(AND(I1913="Fail",K1913=""),"Classify Issue Source",IF(AND(I1913="Fail",W1913=""),"Set Confidence",IF(AND(K1913="Unknown",W1913&lt;&gt;"Low"),"Unknown must be Low confidence",IF(AND(OR(K1913="Backend",K1913="SAP"),N1913=""),"Add HTTP status + endpoint",IF(AND(OR(K1913="Backend",K1913="SAP",K1913="Network"),P1913=""),"Add Correlation ID",IF(AND(I1913="Fail",T1913=""),"Write Root Cause / evidence gap",IF(AND(I1913="Fail",V1913=""),"Assign team","OK"))))))))</f>
        <v/>
      </c>
    </row>
    <row r="1914">
      <c r="A1914" s="5" t="n"/>
      <c r="B1914" s="5" t="n"/>
      <c r="C1914" s="5" t="n"/>
      <c r="D1914" s="5" t="n"/>
      <c r="E1914" s="5" t="n"/>
      <c r="F1914" s="5" t="n"/>
      <c r="G1914" s="5" t="n"/>
      <c r="H1914" s="5" t="n"/>
      <c r="I1914" s="5" t="n"/>
      <c r="J1914" s="5" t="n"/>
      <c r="K1914" s="5" t="n"/>
      <c r="L1914" s="5" t="n"/>
      <c r="M1914" s="5" t="n"/>
      <c r="N1914" s="5" t="n"/>
      <c r="O1914" s="5" t="n"/>
      <c r="P1914" s="5" t="n"/>
      <c r="Q1914" s="5" t="n"/>
      <c r="R1914" s="5" t="n"/>
      <c r="S1914" s="5" t="n"/>
      <c r="T1914" s="5" t="n"/>
      <c r="U1914" s="5" t="n"/>
      <c r="V1914" s="5" t="n"/>
      <c r="W1914" s="5" t="n"/>
      <c r="X1914" s="5" t="n"/>
      <c r="Y1914" s="5">
        <f>IF(I1914="","",IF(AND(I1914="Fail",K1914=""),"Classify Issue Source",IF(AND(I1914="Fail",W1914=""),"Set Confidence",IF(AND(K1914="Unknown",W1914&lt;&gt;"Low"),"Unknown must be Low confidence",IF(AND(OR(K1914="Backend",K1914="SAP"),N1914=""),"Add HTTP status + endpoint",IF(AND(OR(K1914="Backend",K1914="SAP",K1914="Network"),P1914=""),"Add Correlation ID",IF(AND(I1914="Fail",T1914=""),"Write Root Cause / evidence gap",IF(AND(I1914="Fail",V1914=""),"Assign team","OK"))))))))</f>
        <v/>
      </c>
    </row>
    <row r="1915">
      <c r="A1915" s="5" t="n"/>
      <c r="B1915" s="5" t="n"/>
      <c r="C1915" s="5" t="n"/>
      <c r="D1915" s="5" t="n"/>
      <c r="E1915" s="5" t="n"/>
      <c r="F1915" s="5" t="n"/>
      <c r="G1915" s="5" t="n"/>
      <c r="H1915" s="5" t="n"/>
      <c r="I1915" s="5" t="n"/>
      <c r="J1915" s="5" t="n"/>
      <c r="K1915" s="5" t="n"/>
      <c r="L1915" s="5" t="n"/>
      <c r="M1915" s="5" t="n"/>
      <c r="N1915" s="5" t="n"/>
      <c r="O1915" s="5" t="n"/>
      <c r="P1915" s="5" t="n"/>
      <c r="Q1915" s="5" t="n"/>
      <c r="R1915" s="5" t="n"/>
      <c r="S1915" s="5" t="n"/>
      <c r="T1915" s="5" t="n"/>
      <c r="U1915" s="5" t="n"/>
      <c r="V1915" s="5" t="n"/>
      <c r="W1915" s="5" t="n"/>
      <c r="X1915" s="5" t="n"/>
      <c r="Y1915" s="5">
        <f>IF(I1915="","",IF(AND(I1915="Fail",K1915=""),"Classify Issue Source",IF(AND(I1915="Fail",W1915=""),"Set Confidence",IF(AND(K1915="Unknown",W1915&lt;&gt;"Low"),"Unknown must be Low confidence",IF(AND(OR(K1915="Backend",K1915="SAP"),N1915=""),"Add HTTP status + endpoint",IF(AND(OR(K1915="Backend",K1915="SAP",K1915="Network"),P1915=""),"Add Correlation ID",IF(AND(I1915="Fail",T1915=""),"Write Root Cause / evidence gap",IF(AND(I1915="Fail",V1915=""),"Assign team","OK"))))))))</f>
        <v/>
      </c>
    </row>
    <row r="1916">
      <c r="A1916" s="5" t="n"/>
      <c r="B1916" s="5" t="n"/>
      <c r="C1916" s="5" t="n"/>
      <c r="D1916" s="5" t="n"/>
      <c r="E1916" s="5" t="n"/>
      <c r="F1916" s="5" t="n"/>
      <c r="G1916" s="5" t="n"/>
      <c r="H1916" s="5" t="n"/>
      <c r="I1916" s="5" t="n"/>
      <c r="J1916" s="5" t="n"/>
      <c r="K1916" s="5" t="n"/>
      <c r="L1916" s="5" t="n"/>
      <c r="M1916" s="5" t="n"/>
      <c r="N1916" s="5" t="n"/>
      <c r="O1916" s="5" t="n"/>
      <c r="P1916" s="5" t="n"/>
      <c r="Q1916" s="5" t="n"/>
      <c r="R1916" s="5" t="n"/>
      <c r="S1916" s="5" t="n"/>
      <c r="T1916" s="5" t="n"/>
      <c r="U1916" s="5" t="n"/>
      <c r="V1916" s="5" t="n"/>
      <c r="W1916" s="5" t="n"/>
      <c r="X1916" s="5" t="n"/>
      <c r="Y1916" s="5">
        <f>IF(I1916="","",IF(AND(I1916="Fail",K1916=""),"Classify Issue Source",IF(AND(I1916="Fail",W1916=""),"Set Confidence",IF(AND(K1916="Unknown",W1916&lt;&gt;"Low"),"Unknown must be Low confidence",IF(AND(OR(K1916="Backend",K1916="SAP"),N1916=""),"Add HTTP status + endpoint",IF(AND(OR(K1916="Backend",K1916="SAP",K1916="Network"),P1916=""),"Add Correlation ID",IF(AND(I1916="Fail",T1916=""),"Write Root Cause / evidence gap",IF(AND(I1916="Fail",V1916=""),"Assign team","OK"))))))))</f>
        <v/>
      </c>
    </row>
    <row r="1917">
      <c r="A1917" s="5" t="n"/>
      <c r="B1917" s="5" t="n"/>
      <c r="C1917" s="5" t="n"/>
      <c r="D1917" s="5" t="n"/>
      <c r="E1917" s="5" t="n"/>
      <c r="F1917" s="5" t="n"/>
      <c r="G1917" s="5" t="n"/>
      <c r="H1917" s="5" t="n"/>
      <c r="I1917" s="5" t="n"/>
      <c r="J1917" s="5" t="n"/>
      <c r="K1917" s="5" t="n"/>
      <c r="L1917" s="5" t="n"/>
      <c r="M1917" s="5" t="n"/>
      <c r="N1917" s="5" t="n"/>
      <c r="O1917" s="5" t="n"/>
      <c r="P1917" s="5" t="n"/>
      <c r="Q1917" s="5" t="n"/>
      <c r="R1917" s="5" t="n"/>
      <c r="S1917" s="5" t="n"/>
      <c r="T1917" s="5" t="n"/>
      <c r="U1917" s="5" t="n"/>
      <c r="V1917" s="5" t="n"/>
      <c r="W1917" s="5" t="n"/>
      <c r="X1917" s="5" t="n"/>
      <c r="Y1917" s="5">
        <f>IF(I1917="","",IF(AND(I1917="Fail",K1917=""),"Classify Issue Source",IF(AND(I1917="Fail",W1917=""),"Set Confidence",IF(AND(K1917="Unknown",W1917&lt;&gt;"Low"),"Unknown must be Low confidence",IF(AND(OR(K1917="Backend",K1917="SAP"),N1917=""),"Add HTTP status + endpoint",IF(AND(OR(K1917="Backend",K1917="SAP",K1917="Network"),P1917=""),"Add Correlation ID",IF(AND(I1917="Fail",T1917=""),"Write Root Cause / evidence gap",IF(AND(I1917="Fail",V1917=""),"Assign team","OK"))))))))</f>
        <v/>
      </c>
    </row>
    <row r="1918">
      <c r="A1918" s="5" t="n"/>
      <c r="B1918" s="5" t="n"/>
      <c r="C1918" s="5" t="n"/>
      <c r="D1918" s="5" t="n"/>
      <c r="E1918" s="5" t="n"/>
      <c r="F1918" s="5" t="n"/>
      <c r="G1918" s="5" t="n"/>
      <c r="H1918" s="5" t="n"/>
      <c r="I1918" s="5" t="n"/>
      <c r="J1918" s="5" t="n"/>
      <c r="K1918" s="5" t="n"/>
      <c r="L1918" s="5" t="n"/>
      <c r="M1918" s="5" t="n"/>
      <c r="N1918" s="5" t="n"/>
      <c r="O1918" s="5" t="n"/>
      <c r="P1918" s="5" t="n"/>
      <c r="Q1918" s="5" t="n"/>
      <c r="R1918" s="5" t="n"/>
      <c r="S1918" s="5" t="n"/>
      <c r="T1918" s="5" t="n"/>
      <c r="U1918" s="5" t="n"/>
      <c r="V1918" s="5" t="n"/>
      <c r="W1918" s="5" t="n"/>
      <c r="X1918" s="5" t="n"/>
      <c r="Y1918" s="5">
        <f>IF(I1918="","",IF(AND(I1918="Fail",K1918=""),"Classify Issue Source",IF(AND(I1918="Fail",W1918=""),"Set Confidence",IF(AND(K1918="Unknown",W1918&lt;&gt;"Low"),"Unknown must be Low confidence",IF(AND(OR(K1918="Backend",K1918="SAP"),N1918=""),"Add HTTP status + endpoint",IF(AND(OR(K1918="Backend",K1918="SAP",K1918="Network"),P1918=""),"Add Correlation ID",IF(AND(I1918="Fail",T1918=""),"Write Root Cause / evidence gap",IF(AND(I1918="Fail",V1918=""),"Assign team","OK"))))))))</f>
        <v/>
      </c>
    </row>
    <row r="1919">
      <c r="A1919" s="5" t="n"/>
      <c r="B1919" s="5" t="n"/>
      <c r="C1919" s="5" t="n"/>
      <c r="D1919" s="5" t="n"/>
      <c r="E1919" s="5" t="n"/>
      <c r="F1919" s="5" t="n"/>
      <c r="G1919" s="5" t="n"/>
      <c r="H1919" s="5" t="n"/>
      <c r="I1919" s="5" t="n"/>
      <c r="J1919" s="5" t="n"/>
      <c r="K1919" s="5" t="n"/>
      <c r="L1919" s="5" t="n"/>
      <c r="M1919" s="5" t="n"/>
      <c r="N1919" s="5" t="n"/>
      <c r="O1919" s="5" t="n"/>
      <c r="P1919" s="5" t="n"/>
      <c r="Q1919" s="5" t="n"/>
      <c r="R1919" s="5" t="n"/>
      <c r="S1919" s="5" t="n"/>
      <c r="T1919" s="5" t="n"/>
      <c r="U1919" s="5" t="n"/>
      <c r="V1919" s="5" t="n"/>
      <c r="W1919" s="5" t="n"/>
      <c r="X1919" s="5" t="n"/>
      <c r="Y1919" s="5">
        <f>IF(I1919="","",IF(AND(I1919="Fail",K1919=""),"Classify Issue Source",IF(AND(I1919="Fail",W1919=""),"Set Confidence",IF(AND(K1919="Unknown",W1919&lt;&gt;"Low"),"Unknown must be Low confidence",IF(AND(OR(K1919="Backend",K1919="SAP"),N1919=""),"Add HTTP status + endpoint",IF(AND(OR(K1919="Backend",K1919="SAP",K1919="Network"),P1919=""),"Add Correlation ID",IF(AND(I1919="Fail",T1919=""),"Write Root Cause / evidence gap",IF(AND(I1919="Fail",V1919=""),"Assign team","OK"))))))))</f>
        <v/>
      </c>
    </row>
    <row r="1920">
      <c r="A1920" s="5" t="n"/>
      <c r="B1920" s="5" t="n"/>
      <c r="C1920" s="5" t="n"/>
      <c r="D1920" s="5" t="n"/>
      <c r="E1920" s="5" t="n"/>
      <c r="F1920" s="5" t="n"/>
      <c r="G1920" s="5" t="n"/>
      <c r="H1920" s="5" t="n"/>
      <c r="I1920" s="5" t="n"/>
      <c r="J1920" s="5" t="n"/>
      <c r="K1920" s="5" t="n"/>
      <c r="L1920" s="5" t="n"/>
      <c r="M1920" s="5" t="n"/>
      <c r="N1920" s="5" t="n"/>
      <c r="O1920" s="5" t="n"/>
      <c r="P1920" s="5" t="n"/>
      <c r="Q1920" s="5" t="n"/>
      <c r="R1920" s="5" t="n"/>
      <c r="S1920" s="5" t="n"/>
      <c r="T1920" s="5" t="n"/>
      <c r="U1920" s="5" t="n"/>
      <c r="V1920" s="5" t="n"/>
      <c r="W1920" s="5" t="n"/>
      <c r="X1920" s="5" t="n"/>
      <c r="Y1920" s="5">
        <f>IF(I1920="","",IF(AND(I1920="Fail",K1920=""),"Classify Issue Source",IF(AND(I1920="Fail",W1920=""),"Set Confidence",IF(AND(K1920="Unknown",W1920&lt;&gt;"Low"),"Unknown must be Low confidence",IF(AND(OR(K1920="Backend",K1920="SAP"),N1920=""),"Add HTTP status + endpoint",IF(AND(OR(K1920="Backend",K1920="SAP",K1920="Network"),P1920=""),"Add Correlation ID",IF(AND(I1920="Fail",T1920=""),"Write Root Cause / evidence gap",IF(AND(I1920="Fail",V1920=""),"Assign team","OK"))))))))</f>
        <v/>
      </c>
    </row>
    <row r="1921">
      <c r="A1921" s="5" t="n"/>
      <c r="B1921" s="5" t="n"/>
      <c r="C1921" s="5" t="n"/>
      <c r="D1921" s="5" t="n"/>
      <c r="E1921" s="5" t="n"/>
      <c r="F1921" s="5" t="n"/>
      <c r="G1921" s="5" t="n"/>
      <c r="H1921" s="5" t="n"/>
      <c r="I1921" s="5" t="n"/>
      <c r="J1921" s="5" t="n"/>
      <c r="K1921" s="5" t="n"/>
      <c r="L1921" s="5" t="n"/>
      <c r="M1921" s="5" t="n"/>
      <c r="N1921" s="5" t="n"/>
      <c r="O1921" s="5" t="n"/>
      <c r="P1921" s="5" t="n"/>
      <c r="Q1921" s="5" t="n"/>
      <c r="R1921" s="5" t="n"/>
      <c r="S1921" s="5" t="n"/>
      <c r="T1921" s="5" t="n"/>
      <c r="U1921" s="5" t="n"/>
      <c r="V1921" s="5" t="n"/>
      <c r="W1921" s="5" t="n"/>
      <c r="X1921" s="5" t="n"/>
      <c r="Y1921" s="5">
        <f>IF(I1921="","",IF(AND(I1921="Fail",K1921=""),"Classify Issue Source",IF(AND(I1921="Fail",W1921=""),"Set Confidence",IF(AND(K1921="Unknown",W1921&lt;&gt;"Low"),"Unknown must be Low confidence",IF(AND(OR(K1921="Backend",K1921="SAP"),N1921=""),"Add HTTP status + endpoint",IF(AND(OR(K1921="Backend",K1921="SAP",K1921="Network"),P1921=""),"Add Correlation ID",IF(AND(I1921="Fail",T1921=""),"Write Root Cause / evidence gap",IF(AND(I1921="Fail",V1921=""),"Assign team","OK"))))))))</f>
        <v/>
      </c>
    </row>
    <row r="1922">
      <c r="A1922" s="5" t="n"/>
      <c r="B1922" s="5" t="n"/>
      <c r="C1922" s="5" t="n"/>
      <c r="D1922" s="5" t="n"/>
      <c r="E1922" s="5" t="n"/>
      <c r="F1922" s="5" t="n"/>
      <c r="G1922" s="5" t="n"/>
      <c r="H1922" s="5" t="n"/>
      <c r="I1922" s="5" t="n"/>
      <c r="J1922" s="5" t="n"/>
      <c r="K1922" s="5" t="n"/>
      <c r="L1922" s="5" t="n"/>
      <c r="M1922" s="5" t="n"/>
      <c r="N1922" s="5" t="n"/>
      <c r="O1922" s="5" t="n"/>
      <c r="P1922" s="5" t="n"/>
      <c r="Q1922" s="5" t="n"/>
      <c r="R1922" s="5" t="n"/>
      <c r="S1922" s="5" t="n"/>
      <c r="T1922" s="5" t="n"/>
      <c r="U1922" s="5" t="n"/>
      <c r="V1922" s="5" t="n"/>
      <c r="W1922" s="5" t="n"/>
      <c r="X1922" s="5" t="n"/>
      <c r="Y1922" s="5">
        <f>IF(I1922="","",IF(AND(I1922="Fail",K1922=""),"Classify Issue Source",IF(AND(I1922="Fail",W1922=""),"Set Confidence",IF(AND(K1922="Unknown",W1922&lt;&gt;"Low"),"Unknown must be Low confidence",IF(AND(OR(K1922="Backend",K1922="SAP"),N1922=""),"Add HTTP status + endpoint",IF(AND(OR(K1922="Backend",K1922="SAP",K1922="Network"),P1922=""),"Add Correlation ID",IF(AND(I1922="Fail",T1922=""),"Write Root Cause / evidence gap",IF(AND(I1922="Fail",V1922=""),"Assign team","OK"))))))))</f>
        <v/>
      </c>
    </row>
    <row r="1923">
      <c r="A1923" s="5" t="n"/>
      <c r="B1923" s="5" t="n"/>
      <c r="C1923" s="5" t="n"/>
      <c r="D1923" s="5" t="n"/>
      <c r="E1923" s="5" t="n"/>
      <c r="F1923" s="5" t="n"/>
      <c r="G1923" s="5" t="n"/>
      <c r="H1923" s="5" t="n"/>
      <c r="I1923" s="5" t="n"/>
      <c r="J1923" s="5" t="n"/>
      <c r="K1923" s="5" t="n"/>
      <c r="L1923" s="5" t="n"/>
      <c r="M1923" s="5" t="n"/>
      <c r="N1923" s="5" t="n"/>
      <c r="O1923" s="5" t="n"/>
      <c r="P1923" s="5" t="n"/>
      <c r="Q1923" s="5" t="n"/>
      <c r="R1923" s="5" t="n"/>
      <c r="S1923" s="5" t="n"/>
      <c r="T1923" s="5" t="n"/>
      <c r="U1923" s="5" t="n"/>
      <c r="V1923" s="5" t="n"/>
      <c r="W1923" s="5" t="n"/>
      <c r="X1923" s="5" t="n"/>
      <c r="Y1923" s="5">
        <f>IF(I1923="","",IF(AND(I1923="Fail",K1923=""),"Classify Issue Source",IF(AND(I1923="Fail",W1923=""),"Set Confidence",IF(AND(K1923="Unknown",W1923&lt;&gt;"Low"),"Unknown must be Low confidence",IF(AND(OR(K1923="Backend",K1923="SAP"),N1923=""),"Add HTTP status + endpoint",IF(AND(OR(K1923="Backend",K1923="SAP",K1923="Network"),P1923=""),"Add Correlation ID",IF(AND(I1923="Fail",T1923=""),"Write Root Cause / evidence gap",IF(AND(I1923="Fail",V1923=""),"Assign team","OK"))))))))</f>
        <v/>
      </c>
    </row>
    <row r="1924">
      <c r="A1924" s="5" t="n"/>
      <c r="B1924" s="5" t="n"/>
      <c r="C1924" s="5" t="n"/>
      <c r="D1924" s="5" t="n"/>
      <c r="E1924" s="5" t="n"/>
      <c r="F1924" s="5" t="n"/>
      <c r="G1924" s="5" t="n"/>
      <c r="H1924" s="5" t="n"/>
      <c r="I1924" s="5" t="n"/>
      <c r="J1924" s="5" t="n"/>
      <c r="K1924" s="5" t="n"/>
      <c r="L1924" s="5" t="n"/>
      <c r="M1924" s="5" t="n"/>
      <c r="N1924" s="5" t="n"/>
      <c r="O1924" s="5" t="n"/>
      <c r="P1924" s="5" t="n"/>
      <c r="Q1924" s="5" t="n"/>
      <c r="R1924" s="5" t="n"/>
      <c r="S1924" s="5" t="n"/>
      <c r="T1924" s="5" t="n"/>
      <c r="U1924" s="5" t="n"/>
      <c r="V1924" s="5" t="n"/>
      <c r="W1924" s="5" t="n"/>
      <c r="X1924" s="5" t="n"/>
      <c r="Y1924" s="5">
        <f>IF(I1924="","",IF(AND(I1924="Fail",K1924=""),"Classify Issue Source",IF(AND(I1924="Fail",W1924=""),"Set Confidence",IF(AND(K1924="Unknown",W1924&lt;&gt;"Low"),"Unknown must be Low confidence",IF(AND(OR(K1924="Backend",K1924="SAP"),N1924=""),"Add HTTP status + endpoint",IF(AND(OR(K1924="Backend",K1924="SAP",K1924="Network"),P1924=""),"Add Correlation ID",IF(AND(I1924="Fail",T1924=""),"Write Root Cause / evidence gap",IF(AND(I1924="Fail",V1924=""),"Assign team","OK"))))))))</f>
        <v/>
      </c>
    </row>
    <row r="1925">
      <c r="A1925" s="5" t="n"/>
      <c r="B1925" s="5" t="n"/>
      <c r="C1925" s="5" t="n"/>
      <c r="D1925" s="5" t="n"/>
      <c r="E1925" s="5" t="n"/>
      <c r="F1925" s="5" t="n"/>
      <c r="G1925" s="5" t="n"/>
      <c r="H1925" s="5" t="n"/>
      <c r="I1925" s="5" t="n"/>
      <c r="J1925" s="5" t="n"/>
      <c r="K1925" s="5" t="n"/>
      <c r="L1925" s="5" t="n"/>
      <c r="M1925" s="5" t="n"/>
      <c r="N1925" s="5" t="n"/>
      <c r="O1925" s="5" t="n"/>
      <c r="P1925" s="5" t="n"/>
      <c r="Q1925" s="5" t="n"/>
      <c r="R1925" s="5" t="n"/>
      <c r="S1925" s="5" t="n"/>
      <c r="T1925" s="5" t="n"/>
      <c r="U1925" s="5" t="n"/>
      <c r="V1925" s="5" t="n"/>
      <c r="W1925" s="5" t="n"/>
      <c r="X1925" s="5" t="n"/>
      <c r="Y1925" s="5">
        <f>IF(I1925="","",IF(AND(I1925="Fail",K1925=""),"Classify Issue Source",IF(AND(I1925="Fail",W1925=""),"Set Confidence",IF(AND(K1925="Unknown",W1925&lt;&gt;"Low"),"Unknown must be Low confidence",IF(AND(OR(K1925="Backend",K1925="SAP"),N1925=""),"Add HTTP status + endpoint",IF(AND(OR(K1925="Backend",K1925="SAP",K1925="Network"),P1925=""),"Add Correlation ID",IF(AND(I1925="Fail",T1925=""),"Write Root Cause / evidence gap",IF(AND(I1925="Fail",V1925=""),"Assign team","OK"))))))))</f>
        <v/>
      </c>
    </row>
    <row r="1926">
      <c r="A1926" s="5" t="n"/>
      <c r="B1926" s="5" t="n"/>
      <c r="C1926" s="5" t="n"/>
      <c r="D1926" s="5" t="n"/>
      <c r="E1926" s="5" t="n"/>
      <c r="F1926" s="5" t="n"/>
      <c r="G1926" s="5" t="n"/>
      <c r="H1926" s="5" t="n"/>
      <c r="I1926" s="5" t="n"/>
      <c r="J1926" s="5" t="n"/>
      <c r="K1926" s="5" t="n"/>
      <c r="L1926" s="5" t="n"/>
      <c r="M1926" s="5" t="n"/>
      <c r="N1926" s="5" t="n"/>
      <c r="O1926" s="5" t="n"/>
      <c r="P1926" s="5" t="n"/>
      <c r="Q1926" s="5" t="n"/>
      <c r="R1926" s="5" t="n"/>
      <c r="S1926" s="5" t="n"/>
      <c r="T1926" s="5" t="n"/>
      <c r="U1926" s="5" t="n"/>
      <c r="V1926" s="5" t="n"/>
      <c r="W1926" s="5" t="n"/>
      <c r="X1926" s="5" t="n"/>
      <c r="Y1926" s="5">
        <f>IF(I1926="","",IF(AND(I1926="Fail",K1926=""),"Classify Issue Source",IF(AND(I1926="Fail",W1926=""),"Set Confidence",IF(AND(K1926="Unknown",W1926&lt;&gt;"Low"),"Unknown must be Low confidence",IF(AND(OR(K1926="Backend",K1926="SAP"),N1926=""),"Add HTTP status + endpoint",IF(AND(OR(K1926="Backend",K1926="SAP",K1926="Network"),P1926=""),"Add Correlation ID",IF(AND(I1926="Fail",T1926=""),"Write Root Cause / evidence gap",IF(AND(I1926="Fail",V1926=""),"Assign team","OK"))))))))</f>
        <v/>
      </c>
    </row>
    <row r="1927">
      <c r="A1927" s="5" t="n"/>
      <c r="B1927" s="5" t="n"/>
      <c r="C1927" s="5" t="n"/>
      <c r="D1927" s="5" t="n"/>
      <c r="E1927" s="5" t="n"/>
      <c r="F1927" s="5" t="n"/>
      <c r="G1927" s="5" t="n"/>
      <c r="H1927" s="5" t="n"/>
      <c r="I1927" s="5" t="n"/>
      <c r="J1927" s="5" t="n"/>
      <c r="K1927" s="5" t="n"/>
      <c r="L1927" s="5" t="n"/>
      <c r="M1927" s="5" t="n"/>
      <c r="N1927" s="5" t="n"/>
      <c r="O1927" s="5" t="n"/>
      <c r="P1927" s="5" t="n"/>
      <c r="Q1927" s="5" t="n"/>
      <c r="R1927" s="5" t="n"/>
      <c r="S1927" s="5" t="n"/>
      <c r="T1927" s="5" t="n"/>
      <c r="U1927" s="5" t="n"/>
      <c r="V1927" s="5" t="n"/>
      <c r="W1927" s="5" t="n"/>
      <c r="X1927" s="5" t="n"/>
      <c r="Y1927" s="5">
        <f>IF(I1927="","",IF(AND(I1927="Fail",K1927=""),"Classify Issue Source",IF(AND(I1927="Fail",W1927=""),"Set Confidence",IF(AND(K1927="Unknown",W1927&lt;&gt;"Low"),"Unknown must be Low confidence",IF(AND(OR(K1927="Backend",K1927="SAP"),N1927=""),"Add HTTP status + endpoint",IF(AND(OR(K1927="Backend",K1927="SAP",K1927="Network"),P1927=""),"Add Correlation ID",IF(AND(I1927="Fail",T1927=""),"Write Root Cause / evidence gap",IF(AND(I1927="Fail",V1927=""),"Assign team","OK"))))))))</f>
        <v/>
      </c>
    </row>
    <row r="1928">
      <c r="A1928" s="5" t="n"/>
      <c r="B1928" s="5" t="n"/>
      <c r="C1928" s="5" t="n"/>
      <c r="D1928" s="5" t="n"/>
      <c r="E1928" s="5" t="n"/>
      <c r="F1928" s="5" t="n"/>
      <c r="G1928" s="5" t="n"/>
      <c r="H1928" s="5" t="n"/>
      <c r="I1928" s="5" t="n"/>
      <c r="J1928" s="5" t="n"/>
      <c r="K1928" s="5" t="n"/>
      <c r="L1928" s="5" t="n"/>
      <c r="M1928" s="5" t="n"/>
      <c r="N1928" s="5" t="n"/>
      <c r="O1928" s="5" t="n"/>
      <c r="P1928" s="5" t="n"/>
      <c r="Q1928" s="5" t="n"/>
      <c r="R1928" s="5" t="n"/>
      <c r="S1928" s="5" t="n"/>
      <c r="T1928" s="5" t="n"/>
      <c r="U1928" s="5" t="n"/>
      <c r="V1928" s="5" t="n"/>
      <c r="W1928" s="5" t="n"/>
      <c r="X1928" s="5" t="n"/>
      <c r="Y1928" s="5">
        <f>IF(I1928="","",IF(AND(I1928="Fail",K1928=""),"Classify Issue Source",IF(AND(I1928="Fail",W1928=""),"Set Confidence",IF(AND(K1928="Unknown",W1928&lt;&gt;"Low"),"Unknown must be Low confidence",IF(AND(OR(K1928="Backend",K1928="SAP"),N1928=""),"Add HTTP status + endpoint",IF(AND(OR(K1928="Backend",K1928="SAP",K1928="Network"),P1928=""),"Add Correlation ID",IF(AND(I1928="Fail",T1928=""),"Write Root Cause / evidence gap",IF(AND(I1928="Fail",V1928=""),"Assign team","OK"))))))))</f>
        <v/>
      </c>
    </row>
    <row r="1929">
      <c r="A1929" s="5" t="n"/>
      <c r="B1929" s="5" t="n"/>
      <c r="C1929" s="5" t="n"/>
      <c r="D1929" s="5" t="n"/>
      <c r="E1929" s="5" t="n"/>
      <c r="F1929" s="5" t="n"/>
      <c r="G1929" s="5" t="n"/>
      <c r="H1929" s="5" t="n"/>
      <c r="I1929" s="5" t="n"/>
      <c r="J1929" s="5" t="n"/>
      <c r="K1929" s="5" t="n"/>
      <c r="L1929" s="5" t="n"/>
      <c r="M1929" s="5" t="n"/>
      <c r="N1929" s="5" t="n"/>
      <c r="O1929" s="5" t="n"/>
      <c r="P1929" s="5" t="n"/>
      <c r="Q1929" s="5" t="n"/>
      <c r="R1929" s="5" t="n"/>
      <c r="S1929" s="5" t="n"/>
      <c r="T1929" s="5" t="n"/>
      <c r="U1929" s="5" t="n"/>
      <c r="V1929" s="5" t="n"/>
      <c r="W1929" s="5" t="n"/>
      <c r="X1929" s="5" t="n"/>
      <c r="Y1929" s="5">
        <f>IF(I1929="","",IF(AND(I1929="Fail",K1929=""),"Classify Issue Source",IF(AND(I1929="Fail",W1929=""),"Set Confidence",IF(AND(K1929="Unknown",W1929&lt;&gt;"Low"),"Unknown must be Low confidence",IF(AND(OR(K1929="Backend",K1929="SAP"),N1929=""),"Add HTTP status + endpoint",IF(AND(OR(K1929="Backend",K1929="SAP",K1929="Network"),P1929=""),"Add Correlation ID",IF(AND(I1929="Fail",T1929=""),"Write Root Cause / evidence gap",IF(AND(I1929="Fail",V1929=""),"Assign team","OK"))))))))</f>
        <v/>
      </c>
    </row>
    <row r="1930">
      <c r="A1930" s="5" t="n"/>
      <c r="B1930" s="5" t="n"/>
      <c r="C1930" s="5" t="n"/>
      <c r="D1930" s="5" t="n"/>
      <c r="E1930" s="5" t="n"/>
      <c r="F1930" s="5" t="n"/>
      <c r="G1930" s="5" t="n"/>
      <c r="H1930" s="5" t="n"/>
      <c r="I1930" s="5" t="n"/>
      <c r="J1930" s="5" t="n"/>
      <c r="K1930" s="5" t="n"/>
      <c r="L1930" s="5" t="n"/>
      <c r="M1930" s="5" t="n"/>
      <c r="N1930" s="5" t="n"/>
      <c r="O1930" s="5" t="n"/>
      <c r="P1930" s="5" t="n"/>
      <c r="Q1930" s="5" t="n"/>
      <c r="R1930" s="5" t="n"/>
      <c r="S1930" s="5" t="n"/>
      <c r="T1930" s="5" t="n"/>
      <c r="U1930" s="5" t="n"/>
      <c r="V1930" s="5" t="n"/>
      <c r="W1930" s="5" t="n"/>
      <c r="X1930" s="5" t="n"/>
      <c r="Y1930" s="5">
        <f>IF(I1930="","",IF(AND(I1930="Fail",K1930=""),"Classify Issue Source",IF(AND(I1930="Fail",W1930=""),"Set Confidence",IF(AND(K1930="Unknown",W1930&lt;&gt;"Low"),"Unknown must be Low confidence",IF(AND(OR(K1930="Backend",K1930="SAP"),N1930=""),"Add HTTP status + endpoint",IF(AND(OR(K1930="Backend",K1930="SAP",K1930="Network"),P1930=""),"Add Correlation ID",IF(AND(I1930="Fail",T1930=""),"Write Root Cause / evidence gap",IF(AND(I1930="Fail",V1930=""),"Assign team","OK"))))))))</f>
        <v/>
      </c>
    </row>
    <row r="1931">
      <c r="A1931" s="5" t="n"/>
      <c r="B1931" s="5" t="n"/>
      <c r="C1931" s="5" t="n"/>
      <c r="D1931" s="5" t="n"/>
      <c r="E1931" s="5" t="n"/>
      <c r="F1931" s="5" t="n"/>
      <c r="G1931" s="5" t="n"/>
      <c r="H1931" s="5" t="n"/>
      <c r="I1931" s="5" t="n"/>
      <c r="J1931" s="5" t="n"/>
      <c r="K1931" s="5" t="n"/>
      <c r="L1931" s="5" t="n"/>
      <c r="M1931" s="5" t="n"/>
      <c r="N1931" s="5" t="n"/>
      <c r="O1931" s="5" t="n"/>
      <c r="P1931" s="5" t="n"/>
      <c r="Q1931" s="5" t="n"/>
      <c r="R1931" s="5" t="n"/>
      <c r="S1931" s="5" t="n"/>
      <c r="T1931" s="5" t="n"/>
      <c r="U1931" s="5" t="n"/>
      <c r="V1931" s="5" t="n"/>
      <c r="W1931" s="5" t="n"/>
      <c r="X1931" s="5" t="n"/>
      <c r="Y1931" s="5">
        <f>IF(I1931="","",IF(AND(I1931="Fail",K1931=""),"Classify Issue Source",IF(AND(I1931="Fail",W1931=""),"Set Confidence",IF(AND(K1931="Unknown",W1931&lt;&gt;"Low"),"Unknown must be Low confidence",IF(AND(OR(K1931="Backend",K1931="SAP"),N1931=""),"Add HTTP status + endpoint",IF(AND(OR(K1931="Backend",K1931="SAP",K1931="Network"),P1931=""),"Add Correlation ID",IF(AND(I1931="Fail",T1931=""),"Write Root Cause / evidence gap",IF(AND(I1931="Fail",V1931=""),"Assign team","OK"))))))))</f>
        <v/>
      </c>
    </row>
    <row r="1932">
      <c r="A1932" s="5" t="n"/>
      <c r="B1932" s="5" t="n"/>
      <c r="C1932" s="5" t="n"/>
      <c r="D1932" s="5" t="n"/>
      <c r="E1932" s="5" t="n"/>
      <c r="F1932" s="5" t="n"/>
      <c r="G1932" s="5" t="n"/>
      <c r="H1932" s="5" t="n"/>
      <c r="I1932" s="5" t="n"/>
      <c r="J1932" s="5" t="n"/>
      <c r="K1932" s="5" t="n"/>
      <c r="L1932" s="5" t="n"/>
      <c r="M1932" s="5" t="n"/>
      <c r="N1932" s="5" t="n"/>
      <c r="O1932" s="5" t="n"/>
      <c r="P1932" s="5" t="n"/>
      <c r="Q1932" s="5" t="n"/>
      <c r="R1932" s="5" t="n"/>
      <c r="S1932" s="5" t="n"/>
      <c r="T1932" s="5" t="n"/>
      <c r="U1932" s="5" t="n"/>
      <c r="V1932" s="5" t="n"/>
      <c r="W1932" s="5" t="n"/>
      <c r="X1932" s="5" t="n"/>
      <c r="Y1932" s="5">
        <f>IF(I1932="","",IF(AND(I1932="Fail",K1932=""),"Classify Issue Source",IF(AND(I1932="Fail",W1932=""),"Set Confidence",IF(AND(K1932="Unknown",W1932&lt;&gt;"Low"),"Unknown must be Low confidence",IF(AND(OR(K1932="Backend",K1932="SAP"),N1932=""),"Add HTTP status + endpoint",IF(AND(OR(K1932="Backend",K1932="SAP",K1932="Network"),P1932=""),"Add Correlation ID",IF(AND(I1932="Fail",T1932=""),"Write Root Cause / evidence gap",IF(AND(I1932="Fail",V1932=""),"Assign team","OK"))))))))</f>
        <v/>
      </c>
    </row>
    <row r="1933">
      <c r="A1933" s="5" t="n"/>
      <c r="B1933" s="5" t="n"/>
      <c r="C1933" s="5" t="n"/>
      <c r="D1933" s="5" t="n"/>
      <c r="E1933" s="5" t="n"/>
      <c r="F1933" s="5" t="n"/>
      <c r="G1933" s="5" t="n"/>
      <c r="H1933" s="5" t="n"/>
      <c r="I1933" s="5" t="n"/>
      <c r="J1933" s="5" t="n"/>
      <c r="K1933" s="5" t="n"/>
      <c r="L1933" s="5" t="n"/>
      <c r="M1933" s="5" t="n"/>
      <c r="N1933" s="5" t="n"/>
      <c r="O1933" s="5" t="n"/>
      <c r="P1933" s="5" t="n"/>
      <c r="Q1933" s="5" t="n"/>
      <c r="R1933" s="5" t="n"/>
      <c r="S1933" s="5" t="n"/>
      <c r="T1933" s="5" t="n"/>
      <c r="U1933" s="5" t="n"/>
      <c r="V1933" s="5" t="n"/>
      <c r="W1933" s="5" t="n"/>
      <c r="X1933" s="5" t="n"/>
      <c r="Y1933" s="5">
        <f>IF(I1933="","",IF(AND(I1933="Fail",K1933=""),"Classify Issue Source",IF(AND(I1933="Fail",W1933=""),"Set Confidence",IF(AND(K1933="Unknown",W1933&lt;&gt;"Low"),"Unknown must be Low confidence",IF(AND(OR(K1933="Backend",K1933="SAP"),N1933=""),"Add HTTP status + endpoint",IF(AND(OR(K1933="Backend",K1933="SAP",K1933="Network"),P1933=""),"Add Correlation ID",IF(AND(I1933="Fail",T1933=""),"Write Root Cause / evidence gap",IF(AND(I1933="Fail",V1933=""),"Assign team","OK"))))))))</f>
        <v/>
      </c>
    </row>
    <row r="1934">
      <c r="A1934" s="5" t="n"/>
      <c r="B1934" s="5" t="n"/>
      <c r="C1934" s="5" t="n"/>
      <c r="D1934" s="5" t="n"/>
      <c r="E1934" s="5" t="n"/>
      <c r="F1934" s="5" t="n"/>
      <c r="G1934" s="5" t="n"/>
      <c r="H1934" s="5" t="n"/>
      <c r="I1934" s="5" t="n"/>
      <c r="J1934" s="5" t="n"/>
      <c r="K1934" s="5" t="n"/>
      <c r="L1934" s="5" t="n"/>
      <c r="M1934" s="5" t="n"/>
      <c r="N1934" s="5" t="n"/>
      <c r="O1934" s="5" t="n"/>
      <c r="P1934" s="5" t="n"/>
      <c r="Q1934" s="5" t="n"/>
      <c r="R1934" s="5" t="n"/>
      <c r="S1934" s="5" t="n"/>
      <c r="T1934" s="5" t="n"/>
      <c r="U1934" s="5" t="n"/>
      <c r="V1934" s="5" t="n"/>
      <c r="W1934" s="5" t="n"/>
      <c r="X1934" s="5" t="n"/>
      <c r="Y1934" s="5">
        <f>IF(I1934="","",IF(AND(I1934="Fail",K1934=""),"Classify Issue Source",IF(AND(I1934="Fail",W1934=""),"Set Confidence",IF(AND(K1934="Unknown",W1934&lt;&gt;"Low"),"Unknown must be Low confidence",IF(AND(OR(K1934="Backend",K1934="SAP"),N1934=""),"Add HTTP status + endpoint",IF(AND(OR(K1934="Backend",K1934="SAP",K1934="Network"),P1934=""),"Add Correlation ID",IF(AND(I1934="Fail",T1934=""),"Write Root Cause / evidence gap",IF(AND(I1934="Fail",V1934=""),"Assign team","OK"))))))))</f>
        <v/>
      </c>
    </row>
    <row r="1935">
      <c r="A1935" s="5" t="n"/>
      <c r="B1935" s="5" t="n"/>
      <c r="C1935" s="5" t="n"/>
      <c r="D1935" s="5" t="n"/>
      <c r="E1935" s="5" t="n"/>
      <c r="F1935" s="5" t="n"/>
      <c r="G1935" s="5" t="n"/>
      <c r="H1935" s="5" t="n"/>
      <c r="I1935" s="5" t="n"/>
      <c r="J1935" s="5" t="n"/>
      <c r="K1935" s="5" t="n"/>
      <c r="L1935" s="5" t="n"/>
      <c r="M1935" s="5" t="n"/>
      <c r="N1935" s="5" t="n"/>
      <c r="O1935" s="5" t="n"/>
      <c r="P1935" s="5" t="n"/>
      <c r="Q1935" s="5" t="n"/>
      <c r="R1935" s="5" t="n"/>
      <c r="S1935" s="5" t="n"/>
      <c r="T1935" s="5" t="n"/>
      <c r="U1935" s="5" t="n"/>
      <c r="V1935" s="5" t="n"/>
      <c r="W1935" s="5" t="n"/>
      <c r="X1935" s="5" t="n"/>
      <c r="Y1935" s="5">
        <f>IF(I1935="","",IF(AND(I1935="Fail",K1935=""),"Classify Issue Source",IF(AND(I1935="Fail",W1935=""),"Set Confidence",IF(AND(K1935="Unknown",W1935&lt;&gt;"Low"),"Unknown must be Low confidence",IF(AND(OR(K1935="Backend",K1935="SAP"),N1935=""),"Add HTTP status + endpoint",IF(AND(OR(K1935="Backend",K1935="SAP",K1935="Network"),P1935=""),"Add Correlation ID",IF(AND(I1935="Fail",T1935=""),"Write Root Cause / evidence gap",IF(AND(I1935="Fail",V1935=""),"Assign team","OK"))))))))</f>
        <v/>
      </c>
    </row>
    <row r="1936">
      <c r="A1936" s="5" t="n"/>
      <c r="B1936" s="5" t="n"/>
      <c r="C1936" s="5" t="n"/>
      <c r="D1936" s="5" t="n"/>
      <c r="E1936" s="5" t="n"/>
      <c r="F1936" s="5" t="n"/>
      <c r="G1936" s="5" t="n"/>
      <c r="H1936" s="5" t="n"/>
      <c r="I1936" s="5" t="n"/>
      <c r="J1936" s="5" t="n"/>
      <c r="K1936" s="5" t="n"/>
      <c r="L1936" s="5" t="n"/>
      <c r="M1936" s="5" t="n"/>
      <c r="N1936" s="5" t="n"/>
      <c r="O1936" s="5" t="n"/>
      <c r="P1936" s="5" t="n"/>
      <c r="Q1936" s="5" t="n"/>
      <c r="R1936" s="5" t="n"/>
      <c r="S1936" s="5" t="n"/>
      <c r="T1936" s="5" t="n"/>
      <c r="U1936" s="5" t="n"/>
      <c r="V1936" s="5" t="n"/>
      <c r="W1936" s="5" t="n"/>
      <c r="X1936" s="5" t="n"/>
      <c r="Y1936" s="5">
        <f>IF(I1936="","",IF(AND(I1936="Fail",K1936=""),"Classify Issue Source",IF(AND(I1936="Fail",W1936=""),"Set Confidence",IF(AND(K1936="Unknown",W1936&lt;&gt;"Low"),"Unknown must be Low confidence",IF(AND(OR(K1936="Backend",K1936="SAP"),N1936=""),"Add HTTP status + endpoint",IF(AND(OR(K1936="Backend",K1936="SAP",K1936="Network"),P1936=""),"Add Correlation ID",IF(AND(I1936="Fail",T1936=""),"Write Root Cause / evidence gap",IF(AND(I1936="Fail",V1936=""),"Assign team","OK"))))))))</f>
        <v/>
      </c>
    </row>
    <row r="1937">
      <c r="A1937" s="5" t="n"/>
      <c r="B1937" s="5" t="n"/>
      <c r="C1937" s="5" t="n"/>
      <c r="D1937" s="5" t="n"/>
      <c r="E1937" s="5" t="n"/>
      <c r="F1937" s="5" t="n"/>
      <c r="G1937" s="5" t="n"/>
      <c r="H1937" s="5" t="n"/>
      <c r="I1937" s="5" t="n"/>
      <c r="J1937" s="5" t="n"/>
      <c r="K1937" s="5" t="n"/>
      <c r="L1937" s="5" t="n"/>
      <c r="M1937" s="5" t="n"/>
      <c r="N1937" s="5" t="n"/>
      <c r="O1937" s="5" t="n"/>
      <c r="P1937" s="5" t="n"/>
      <c r="Q1937" s="5" t="n"/>
      <c r="R1937" s="5" t="n"/>
      <c r="S1937" s="5" t="n"/>
      <c r="T1937" s="5" t="n"/>
      <c r="U1937" s="5" t="n"/>
      <c r="V1937" s="5" t="n"/>
      <c r="W1937" s="5" t="n"/>
      <c r="X1937" s="5" t="n"/>
      <c r="Y1937" s="5">
        <f>IF(I1937="","",IF(AND(I1937="Fail",K1937=""),"Classify Issue Source",IF(AND(I1937="Fail",W1937=""),"Set Confidence",IF(AND(K1937="Unknown",W1937&lt;&gt;"Low"),"Unknown must be Low confidence",IF(AND(OR(K1937="Backend",K1937="SAP"),N1937=""),"Add HTTP status + endpoint",IF(AND(OR(K1937="Backend",K1937="SAP",K1937="Network"),P1937=""),"Add Correlation ID",IF(AND(I1937="Fail",T1937=""),"Write Root Cause / evidence gap",IF(AND(I1937="Fail",V1937=""),"Assign team","OK"))))))))</f>
        <v/>
      </c>
    </row>
    <row r="1938">
      <c r="A1938" s="5" t="n"/>
      <c r="B1938" s="5" t="n"/>
      <c r="C1938" s="5" t="n"/>
      <c r="D1938" s="5" t="n"/>
      <c r="E1938" s="5" t="n"/>
      <c r="F1938" s="5" t="n"/>
      <c r="G1938" s="5" t="n"/>
      <c r="H1938" s="5" t="n"/>
      <c r="I1938" s="5" t="n"/>
      <c r="J1938" s="5" t="n"/>
      <c r="K1938" s="5" t="n"/>
      <c r="L1938" s="5" t="n"/>
      <c r="M1938" s="5" t="n"/>
      <c r="N1938" s="5" t="n"/>
      <c r="O1938" s="5" t="n"/>
      <c r="P1938" s="5" t="n"/>
      <c r="Q1938" s="5" t="n"/>
      <c r="R1938" s="5" t="n"/>
      <c r="S1938" s="5" t="n"/>
      <c r="T1938" s="5" t="n"/>
      <c r="U1938" s="5" t="n"/>
      <c r="V1938" s="5" t="n"/>
      <c r="W1938" s="5" t="n"/>
      <c r="X1938" s="5" t="n"/>
      <c r="Y1938" s="5">
        <f>IF(I1938="","",IF(AND(I1938="Fail",K1938=""),"Classify Issue Source",IF(AND(I1938="Fail",W1938=""),"Set Confidence",IF(AND(K1938="Unknown",W1938&lt;&gt;"Low"),"Unknown must be Low confidence",IF(AND(OR(K1938="Backend",K1938="SAP"),N1938=""),"Add HTTP status + endpoint",IF(AND(OR(K1938="Backend",K1938="SAP",K1938="Network"),P1938=""),"Add Correlation ID",IF(AND(I1938="Fail",T1938=""),"Write Root Cause / evidence gap",IF(AND(I1938="Fail",V1938=""),"Assign team","OK"))))))))</f>
        <v/>
      </c>
    </row>
    <row r="1939">
      <c r="A1939" s="5" t="n"/>
      <c r="B1939" s="5" t="n"/>
      <c r="C1939" s="5" t="n"/>
      <c r="D1939" s="5" t="n"/>
      <c r="E1939" s="5" t="n"/>
      <c r="F1939" s="5" t="n"/>
      <c r="G1939" s="5" t="n"/>
      <c r="H1939" s="5" t="n"/>
      <c r="I1939" s="5" t="n"/>
      <c r="J1939" s="5" t="n"/>
      <c r="K1939" s="5" t="n"/>
      <c r="L1939" s="5" t="n"/>
      <c r="M1939" s="5" t="n"/>
      <c r="N1939" s="5" t="n"/>
      <c r="O1939" s="5" t="n"/>
      <c r="P1939" s="5" t="n"/>
      <c r="Q1939" s="5" t="n"/>
      <c r="R1939" s="5" t="n"/>
      <c r="S1939" s="5" t="n"/>
      <c r="T1939" s="5" t="n"/>
      <c r="U1939" s="5" t="n"/>
      <c r="V1939" s="5" t="n"/>
      <c r="W1939" s="5" t="n"/>
      <c r="X1939" s="5" t="n"/>
      <c r="Y1939" s="5">
        <f>IF(I1939="","",IF(AND(I1939="Fail",K1939=""),"Classify Issue Source",IF(AND(I1939="Fail",W1939=""),"Set Confidence",IF(AND(K1939="Unknown",W1939&lt;&gt;"Low"),"Unknown must be Low confidence",IF(AND(OR(K1939="Backend",K1939="SAP"),N1939=""),"Add HTTP status + endpoint",IF(AND(OR(K1939="Backend",K1939="SAP",K1939="Network"),P1939=""),"Add Correlation ID",IF(AND(I1939="Fail",T1939=""),"Write Root Cause / evidence gap",IF(AND(I1939="Fail",V1939=""),"Assign team","OK"))))))))</f>
        <v/>
      </c>
    </row>
    <row r="1940">
      <c r="A1940" s="5" t="n"/>
      <c r="B1940" s="5" t="n"/>
      <c r="C1940" s="5" t="n"/>
      <c r="D1940" s="5" t="n"/>
      <c r="E1940" s="5" t="n"/>
      <c r="F1940" s="5" t="n"/>
      <c r="G1940" s="5" t="n"/>
      <c r="H1940" s="5" t="n"/>
      <c r="I1940" s="5" t="n"/>
      <c r="J1940" s="5" t="n"/>
      <c r="K1940" s="5" t="n"/>
      <c r="L1940" s="5" t="n"/>
      <c r="M1940" s="5" t="n"/>
      <c r="N1940" s="5" t="n"/>
      <c r="O1940" s="5" t="n"/>
      <c r="P1940" s="5" t="n"/>
      <c r="Q1940" s="5" t="n"/>
      <c r="R1940" s="5" t="n"/>
      <c r="S1940" s="5" t="n"/>
      <c r="T1940" s="5" t="n"/>
      <c r="U1940" s="5" t="n"/>
      <c r="V1940" s="5" t="n"/>
      <c r="W1940" s="5" t="n"/>
      <c r="X1940" s="5" t="n"/>
      <c r="Y1940" s="5">
        <f>IF(I1940="","",IF(AND(I1940="Fail",K1940=""),"Classify Issue Source",IF(AND(I1940="Fail",W1940=""),"Set Confidence",IF(AND(K1940="Unknown",W1940&lt;&gt;"Low"),"Unknown must be Low confidence",IF(AND(OR(K1940="Backend",K1940="SAP"),N1940=""),"Add HTTP status + endpoint",IF(AND(OR(K1940="Backend",K1940="SAP",K1940="Network"),P1940=""),"Add Correlation ID",IF(AND(I1940="Fail",T1940=""),"Write Root Cause / evidence gap",IF(AND(I1940="Fail",V1940=""),"Assign team","OK"))))))))</f>
        <v/>
      </c>
    </row>
    <row r="1941">
      <c r="A1941" s="5" t="n"/>
      <c r="B1941" s="5" t="n"/>
      <c r="C1941" s="5" t="n"/>
      <c r="D1941" s="5" t="n"/>
      <c r="E1941" s="5" t="n"/>
      <c r="F1941" s="5" t="n"/>
      <c r="G1941" s="5" t="n"/>
      <c r="H1941" s="5" t="n"/>
      <c r="I1941" s="5" t="n"/>
      <c r="J1941" s="5" t="n"/>
      <c r="K1941" s="5" t="n"/>
      <c r="L1941" s="5" t="n"/>
      <c r="M1941" s="5" t="n"/>
      <c r="N1941" s="5" t="n"/>
      <c r="O1941" s="5" t="n"/>
      <c r="P1941" s="5" t="n"/>
      <c r="Q1941" s="5" t="n"/>
      <c r="R1941" s="5" t="n"/>
      <c r="S1941" s="5" t="n"/>
      <c r="T1941" s="5" t="n"/>
      <c r="U1941" s="5" t="n"/>
      <c r="V1941" s="5" t="n"/>
      <c r="W1941" s="5" t="n"/>
      <c r="X1941" s="5" t="n"/>
      <c r="Y1941" s="5">
        <f>IF(I1941="","",IF(AND(I1941="Fail",K1941=""),"Classify Issue Source",IF(AND(I1941="Fail",W1941=""),"Set Confidence",IF(AND(K1941="Unknown",W1941&lt;&gt;"Low"),"Unknown must be Low confidence",IF(AND(OR(K1941="Backend",K1941="SAP"),N1941=""),"Add HTTP status + endpoint",IF(AND(OR(K1941="Backend",K1941="SAP",K1941="Network"),P1941=""),"Add Correlation ID",IF(AND(I1941="Fail",T1941=""),"Write Root Cause / evidence gap",IF(AND(I1941="Fail",V1941=""),"Assign team","OK"))))))))</f>
        <v/>
      </c>
    </row>
    <row r="1942">
      <c r="A1942" s="5" t="n"/>
      <c r="B1942" s="5" t="n"/>
      <c r="C1942" s="5" t="n"/>
      <c r="D1942" s="5" t="n"/>
      <c r="E1942" s="5" t="n"/>
      <c r="F1942" s="5" t="n"/>
      <c r="G1942" s="5" t="n"/>
      <c r="H1942" s="5" t="n"/>
      <c r="I1942" s="5" t="n"/>
      <c r="J1942" s="5" t="n"/>
      <c r="K1942" s="5" t="n"/>
      <c r="L1942" s="5" t="n"/>
      <c r="M1942" s="5" t="n"/>
      <c r="N1942" s="5" t="n"/>
      <c r="O1942" s="5" t="n"/>
      <c r="P1942" s="5" t="n"/>
      <c r="Q1942" s="5" t="n"/>
      <c r="R1942" s="5" t="n"/>
      <c r="S1942" s="5" t="n"/>
      <c r="T1942" s="5" t="n"/>
      <c r="U1942" s="5" t="n"/>
      <c r="V1942" s="5" t="n"/>
      <c r="W1942" s="5" t="n"/>
      <c r="X1942" s="5" t="n"/>
      <c r="Y1942" s="5">
        <f>IF(I1942="","",IF(AND(I1942="Fail",K1942=""),"Classify Issue Source",IF(AND(I1942="Fail",W1942=""),"Set Confidence",IF(AND(K1942="Unknown",W1942&lt;&gt;"Low"),"Unknown must be Low confidence",IF(AND(OR(K1942="Backend",K1942="SAP"),N1942=""),"Add HTTP status + endpoint",IF(AND(OR(K1942="Backend",K1942="SAP",K1942="Network"),P1942=""),"Add Correlation ID",IF(AND(I1942="Fail",T1942=""),"Write Root Cause / evidence gap",IF(AND(I1942="Fail",V1942=""),"Assign team","OK"))))))))</f>
        <v/>
      </c>
    </row>
    <row r="1943">
      <c r="A1943" s="5" t="n"/>
      <c r="B1943" s="5" t="n"/>
      <c r="C1943" s="5" t="n"/>
      <c r="D1943" s="5" t="n"/>
      <c r="E1943" s="5" t="n"/>
      <c r="F1943" s="5" t="n"/>
      <c r="G1943" s="5" t="n"/>
      <c r="H1943" s="5" t="n"/>
      <c r="I1943" s="5" t="n"/>
      <c r="J1943" s="5" t="n"/>
      <c r="K1943" s="5" t="n"/>
      <c r="L1943" s="5" t="n"/>
      <c r="M1943" s="5" t="n"/>
      <c r="N1943" s="5" t="n"/>
      <c r="O1943" s="5" t="n"/>
      <c r="P1943" s="5" t="n"/>
      <c r="Q1943" s="5" t="n"/>
      <c r="R1943" s="5" t="n"/>
      <c r="S1943" s="5" t="n"/>
      <c r="T1943" s="5" t="n"/>
      <c r="U1943" s="5" t="n"/>
      <c r="V1943" s="5" t="n"/>
      <c r="W1943" s="5" t="n"/>
      <c r="X1943" s="5" t="n"/>
      <c r="Y1943" s="5">
        <f>IF(I1943="","",IF(AND(I1943="Fail",K1943=""),"Classify Issue Source",IF(AND(I1943="Fail",W1943=""),"Set Confidence",IF(AND(K1943="Unknown",W1943&lt;&gt;"Low"),"Unknown must be Low confidence",IF(AND(OR(K1943="Backend",K1943="SAP"),N1943=""),"Add HTTP status + endpoint",IF(AND(OR(K1943="Backend",K1943="SAP",K1943="Network"),P1943=""),"Add Correlation ID",IF(AND(I1943="Fail",T1943=""),"Write Root Cause / evidence gap",IF(AND(I1943="Fail",V1943=""),"Assign team","OK"))))))))</f>
        <v/>
      </c>
    </row>
    <row r="1944">
      <c r="A1944" s="5" t="n"/>
      <c r="B1944" s="5" t="n"/>
      <c r="C1944" s="5" t="n"/>
      <c r="D1944" s="5" t="n"/>
      <c r="E1944" s="5" t="n"/>
      <c r="F1944" s="5" t="n"/>
      <c r="G1944" s="5" t="n"/>
      <c r="H1944" s="5" t="n"/>
      <c r="I1944" s="5" t="n"/>
      <c r="J1944" s="5" t="n"/>
      <c r="K1944" s="5" t="n"/>
      <c r="L1944" s="5" t="n"/>
      <c r="M1944" s="5" t="n"/>
      <c r="N1944" s="5" t="n"/>
      <c r="O1944" s="5" t="n"/>
      <c r="P1944" s="5" t="n"/>
      <c r="Q1944" s="5" t="n"/>
      <c r="R1944" s="5" t="n"/>
      <c r="S1944" s="5" t="n"/>
      <c r="T1944" s="5" t="n"/>
      <c r="U1944" s="5" t="n"/>
      <c r="V1944" s="5" t="n"/>
      <c r="W1944" s="5" t="n"/>
      <c r="X1944" s="5" t="n"/>
      <c r="Y1944" s="5">
        <f>IF(I1944="","",IF(AND(I1944="Fail",K1944=""),"Classify Issue Source",IF(AND(I1944="Fail",W1944=""),"Set Confidence",IF(AND(K1944="Unknown",W1944&lt;&gt;"Low"),"Unknown must be Low confidence",IF(AND(OR(K1944="Backend",K1944="SAP"),N1944=""),"Add HTTP status + endpoint",IF(AND(OR(K1944="Backend",K1944="SAP",K1944="Network"),P1944=""),"Add Correlation ID",IF(AND(I1944="Fail",T1944=""),"Write Root Cause / evidence gap",IF(AND(I1944="Fail",V1944=""),"Assign team","OK"))))))))</f>
        <v/>
      </c>
    </row>
    <row r="1945">
      <c r="A1945" s="5" t="n"/>
      <c r="B1945" s="5" t="n"/>
      <c r="C1945" s="5" t="n"/>
      <c r="D1945" s="5" t="n"/>
      <c r="E1945" s="5" t="n"/>
      <c r="F1945" s="5" t="n"/>
      <c r="G1945" s="5" t="n"/>
      <c r="H1945" s="5" t="n"/>
      <c r="I1945" s="5" t="n"/>
      <c r="J1945" s="5" t="n"/>
      <c r="K1945" s="5" t="n"/>
      <c r="L1945" s="5" t="n"/>
      <c r="M1945" s="5" t="n"/>
      <c r="N1945" s="5" t="n"/>
      <c r="O1945" s="5" t="n"/>
      <c r="P1945" s="5" t="n"/>
      <c r="Q1945" s="5" t="n"/>
      <c r="R1945" s="5" t="n"/>
      <c r="S1945" s="5" t="n"/>
      <c r="T1945" s="5" t="n"/>
      <c r="U1945" s="5" t="n"/>
      <c r="V1945" s="5" t="n"/>
      <c r="W1945" s="5" t="n"/>
      <c r="X1945" s="5" t="n"/>
      <c r="Y1945" s="5">
        <f>IF(I1945="","",IF(AND(I1945="Fail",K1945=""),"Classify Issue Source",IF(AND(I1945="Fail",W1945=""),"Set Confidence",IF(AND(K1945="Unknown",W1945&lt;&gt;"Low"),"Unknown must be Low confidence",IF(AND(OR(K1945="Backend",K1945="SAP"),N1945=""),"Add HTTP status + endpoint",IF(AND(OR(K1945="Backend",K1945="SAP",K1945="Network"),P1945=""),"Add Correlation ID",IF(AND(I1945="Fail",T1945=""),"Write Root Cause / evidence gap",IF(AND(I1945="Fail",V1945=""),"Assign team","OK"))))))))</f>
        <v/>
      </c>
    </row>
    <row r="1946">
      <c r="A1946" s="5" t="n"/>
      <c r="B1946" s="5" t="n"/>
      <c r="C1946" s="5" t="n"/>
      <c r="D1946" s="5" t="n"/>
      <c r="E1946" s="5" t="n"/>
      <c r="F1946" s="5" t="n"/>
      <c r="G1946" s="5" t="n"/>
      <c r="H1946" s="5" t="n"/>
      <c r="I1946" s="5" t="n"/>
      <c r="J1946" s="5" t="n"/>
      <c r="K1946" s="5" t="n"/>
      <c r="L1946" s="5" t="n"/>
      <c r="M1946" s="5" t="n"/>
      <c r="N1946" s="5" t="n"/>
      <c r="O1946" s="5" t="n"/>
      <c r="P1946" s="5" t="n"/>
      <c r="Q1946" s="5" t="n"/>
      <c r="R1946" s="5" t="n"/>
      <c r="S1946" s="5" t="n"/>
      <c r="T1946" s="5" t="n"/>
      <c r="U1946" s="5" t="n"/>
      <c r="V1946" s="5" t="n"/>
      <c r="W1946" s="5" t="n"/>
      <c r="X1946" s="5" t="n"/>
      <c r="Y1946" s="5">
        <f>IF(I1946="","",IF(AND(I1946="Fail",K1946=""),"Classify Issue Source",IF(AND(I1946="Fail",W1946=""),"Set Confidence",IF(AND(K1946="Unknown",W1946&lt;&gt;"Low"),"Unknown must be Low confidence",IF(AND(OR(K1946="Backend",K1946="SAP"),N1946=""),"Add HTTP status + endpoint",IF(AND(OR(K1946="Backend",K1946="SAP",K1946="Network"),P1946=""),"Add Correlation ID",IF(AND(I1946="Fail",T1946=""),"Write Root Cause / evidence gap",IF(AND(I1946="Fail",V1946=""),"Assign team","OK"))))))))</f>
        <v/>
      </c>
    </row>
    <row r="1947">
      <c r="A1947" s="5" t="n"/>
      <c r="B1947" s="5" t="n"/>
      <c r="C1947" s="5" t="n"/>
      <c r="D1947" s="5" t="n"/>
      <c r="E1947" s="5" t="n"/>
      <c r="F1947" s="5" t="n"/>
      <c r="G1947" s="5" t="n"/>
      <c r="H1947" s="5" t="n"/>
      <c r="I1947" s="5" t="n"/>
      <c r="J1947" s="5" t="n"/>
      <c r="K1947" s="5" t="n"/>
      <c r="L1947" s="5" t="n"/>
      <c r="M1947" s="5" t="n"/>
      <c r="N1947" s="5" t="n"/>
      <c r="O1947" s="5" t="n"/>
      <c r="P1947" s="5" t="n"/>
      <c r="Q1947" s="5" t="n"/>
      <c r="R1947" s="5" t="n"/>
      <c r="S1947" s="5" t="n"/>
      <c r="T1947" s="5" t="n"/>
      <c r="U1947" s="5" t="n"/>
      <c r="V1947" s="5" t="n"/>
      <c r="W1947" s="5" t="n"/>
      <c r="X1947" s="5" t="n"/>
      <c r="Y1947" s="5">
        <f>IF(I1947="","",IF(AND(I1947="Fail",K1947=""),"Classify Issue Source",IF(AND(I1947="Fail",W1947=""),"Set Confidence",IF(AND(K1947="Unknown",W1947&lt;&gt;"Low"),"Unknown must be Low confidence",IF(AND(OR(K1947="Backend",K1947="SAP"),N1947=""),"Add HTTP status + endpoint",IF(AND(OR(K1947="Backend",K1947="SAP",K1947="Network"),P1947=""),"Add Correlation ID",IF(AND(I1947="Fail",T1947=""),"Write Root Cause / evidence gap",IF(AND(I1947="Fail",V1947=""),"Assign team","OK"))))))))</f>
        <v/>
      </c>
    </row>
    <row r="1948">
      <c r="A1948" s="5" t="n"/>
      <c r="B1948" s="5" t="n"/>
      <c r="C1948" s="5" t="n"/>
      <c r="D1948" s="5" t="n"/>
      <c r="E1948" s="5" t="n"/>
      <c r="F1948" s="5" t="n"/>
      <c r="G1948" s="5" t="n"/>
      <c r="H1948" s="5" t="n"/>
      <c r="I1948" s="5" t="n"/>
      <c r="J1948" s="5" t="n"/>
      <c r="K1948" s="5" t="n"/>
      <c r="L1948" s="5" t="n"/>
      <c r="M1948" s="5" t="n"/>
      <c r="N1948" s="5" t="n"/>
      <c r="O1948" s="5" t="n"/>
      <c r="P1948" s="5" t="n"/>
      <c r="Q1948" s="5" t="n"/>
      <c r="R1948" s="5" t="n"/>
      <c r="S1948" s="5" t="n"/>
      <c r="T1948" s="5" t="n"/>
      <c r="U1948" s="5" t="n"/>
      <c r="V1948" s="5" t="n"/>
      <c r="W1948" s="5" t="n"/>
      <c r="X1948" s="5" t="n"/>
      <c r="Y1948" s="5">
        <f>IF(I1948="","",IF(AND(I1948="Fail",K1948=""),"Classify Issue Source",IF(AND(I1948="Fail",W1948=""),"Set Confidence",IF(AND(K1948="Unknown",W1948&lt;&gt;"Low"),"Unknown must be Low confidence",IF(AND(OR(K1948="Backend",K1948="SAP"),N1948=""),"Add HTTP status + endpoint",IF(AND(OR(K1948="Backend",K1948="SAP",K1948="Network"),P1948=""),"Add Correlation ID",IF(AND(I1948="Fail",T1948=""),"Write Root Cause / evidence gap",IF(AND(I1948="Fail",V1948=""),"Assign team","OK"))))))))</f>
        <v/>
      </c>
    </row>
    <row r="1949">
      <c r="A1949" s="5" t="n"/>
      <c r="B1949" s="5" t="n"/>
      <c r="C1949" s="5" t="n"/>
      <c r="D1949" s="5" t="n"/>
      <c r="E1949" s="5" t="n"/>
      <c r="F1949" s="5" t="n"/>
      <c r="G1949" s="5" t="n"/>
      <c r="H1949" s="5" t="n"/>
      <c r="I1949" s="5" t="n"/>
      <c r="J1949" s="5" t="n"/>
      <c r="K1949" s="5" t="n"/>
      <c r="L1949" s="5" t="n"/>
      <c r="M1949" s="5" t="n"/>
      <c r="N1949" s="5" t="n"/>
      <c r="O1949" s="5" t="n"/>
      <c r="P1949" s="5" t="n"/>
      <c r="Q1949" s="5" t="n"/>
      <c r="R1949" s="5" t="n"/>
      <c r="S1949" s="5" t="n"/>
      <c r="T1949" s="5" t="n"/>
      <c r="U1949" s="5" t="n"/>
      <c r="V1949" s="5" t="n"/>
      <c r="W1949" s="5" t="n"/>
      <c r="X1949" s="5" t="n"/>
      <c r="Y1949" s="5">
        <f>IF(I1949="","",IF(AND(I1949="Fail",K1949=""),"Classify Issue Source",IF(AND(I1949="Fail",W1949=""),"Set Confidence",IF(AND(K1949="Unknown",W1949&lt;&gt;"Low"),"Unknown must be Low confidence",IF(AND(OR(K1949="Backend",K1949="SAP"),N1949=""),"Add HTTP status + endpoint",IF(AND(OR(K1949="Backend",K1949="SAP",K1949="Network"),P1949=""),"Add Correlation ID",IF(AND(I1949="Fail",T1949=""),"Write Root Cause / evidence gap",IF(AND(I1949="Fail",V1949=""),"Assign team","OK"))))))))</f>
        <v/>
      </c>
    </row>
    <row r="1950">
      <c r="A1950" s="5" t="n"/>
      <c r="B1950" s="5" t="n"/>
      <c r="C1950" s="5" t="n"/>
      <c r="D1950" s="5" t="n"/>
      <c r="E1950" s="5" t="n"/>
      <c r="F1950" s="5" t="n"/>
      <c r="G1950" s="5" t="n"/>
      <c r="H1950" s="5" t="n"/>
      <c r="I1950" s="5" t="n"/>
      <c r="J1950" s="5" t="n"/>
      <c r="K1950" s="5" t="n"/>
      <c r="L1950" s="5" t="n"/>
      <c r="M1950" s="5" t="n"/>
      <c r="N1950" s="5" t="n"/>
      <c r="O1950" s="5" t="n"/>
      <c r="P1950" s="5" t="n"/>
      <c r="Q1950" s="5" t="n"/>
      <c r="R1950" s="5" t="n"/>
      <c r="S1950" s="5" t="n"/>
      <c r="T1950" s="5" t="n"/>
      <c r="U1950" s="5" t="n"/>
      <c r="V1950" s="5" t="n"/>
      <c r="W1950" s="5" t="n"/>
      <c r="X1950" s="5" t="n"/>
      <c r="Y1950" s="5">
        <f>IF(I1950="","",IF(AND(I1950="Fail",K1950=""),"Classify Issue Source",IF(AND(I1950="Fail",W1950=""),"Set Confidence",IF(AND(K1950="Unknown",W1950&lt;&gt;"Low"),"Unknown must be Low confidence",IF(AND(OR(K1950="Backend",K1950="SAP"),N1950=""),"Add HTTP status + endpoint",IF(AND(OR(K1950="Backend",K1950="SAP",K1950="Network"),P1950=""),"Add Correlation ID",IF(AND(I1950="Fail",T1950=""),"Write Root Cause / evidence gap",IF(AND(I1950="Fail",V1950=""),"Assign team","OK"))))))))</f>
        <v/>
      </c>
    </row>
    <row r="1951">
      <c r="A1951" s="5" t="n"/>
      <c r="B1951" s="5" t="n"/>
      <c r="C1951" s="5" t="n"/>
      <c r="D1951" s="5" t="n"/>
      <c r="E1951" s="5" t="n"/>
      <c r="F1951" s="5" t="n"/>
      <c r="G1951" s="5" t="n"/>
      <c r="H1951" s="5" t="n"/>
      <c r="I1951" s="5" t="n"/>
      <c r="J1951" s="5" t="n"/>
      <c r="K1951" s="5" t="n"/>
      <c r="L1951" s="5" t="n"/>
      <c r="M1951" s="5" t="n"/>
      <c r="N1951" s="5" t="n"/>
      <c r="O1951" s="5" t="n"/>
      <c r="P1951" s="5" t="n"/>
      <c r="Q1951" s="5" t="n"/>
      <c r="R1951" s="5" t="n"/>
      <c r="S1951" s="5" t="n"/>
      <c r="T1951" s="5" t="n"/>
      <c r="U1951" s="5" t="n"/>
      <c r="V1951" s="5" t="n"/>
      <c r="W1951" s="5" t="n"/>
      <c r="X1951" s="5" t="n"/>
      <c r="Y1951" s="5">
        <f>IF(I1951="","",IF(AND(I1951="Fail",K1951=""),"Classify Issue Source",IF(AND(I1951="Fail",W1951=""),"Set Confidence",IF(AND(K1951="Unknown",W1951&lt;&gt;"Low"),"Unknown must be Low confidence",IF(AND(OR(K1951="Backend",K1951="SAP"),N1951=""),"Add HTTP status + endpoint",IF(AND(OR(K1951="Backend",K1951="SAP",K1951="Network"),P1951=""),"Add Correlation ID",IF(AND(I1951="Fail",T1951=""),"Write Root Cause / evidence gap",IF(AND(I1951="Fail",V1951=""),"Assign team","OK"))))))))</f>
        <v/>
      </c>
    </row>
    <row r="1952">
      <c r="A1952" s="5" t="n"/>
      <c r="B1952" s="5" t="n"/>
      <c r="C1952" s="5" t="n"/>
      <c r="D1952" s="5" t="n"/>
      <c r="E1952" s="5" t="n"/>
      <c r="F1952" s="5" t="n"/>
      <c r="G1952" s="5" t="n"/>
      <c r="H1952" s="5" t="n"/>
      <c r="I1952" s="5" t="n"/>
      <c r="J1952" s="5" t="n"/>
      <c r="K1952" s="5" t="n"/>
      <c r="L1952" s="5" t="n"/>
      <c r="M1952" s="5" t="n"/>
      <c r="N1952" s="5" t="n"/>
      <c r="O1952" s="5" t="n"/>
      <c r="P1952" s="5" t="n"/>
      <c r="Q1952" s="5" t="n"/>
      <c r="R1952" s="5" t="n"/>
      <c r="S1952" s="5" t="n"/>
      <c r="T1952" s="5" t="n"/>
      <c r="U1952" s="5" t="n"/>
      <c r="V1952" s="5" t="n"/>
      <c r="W1952" s="5" t="n"/>
      <c r="X1952" s="5" t="n"/>
      <c r="Y1952" s="5">
        <f>IF(I1952="","",IF(AND(I1952="Fail",K1952=""),"Classify Issue Source",IF(AND(I1952="Fail",W1952=""),"Set Confidence",IF(AND(K1952="Unknown",W1952&lt;&gt;"Low"),"Unknown must be Low confidence",IF(AND(OR(K1952="Backend",K1952="SAP"),N1952=""),"Add HTTP status + endpoint",IF(AND(OR(K1952="Backend",K1952="SAP",K1952="Network"),P1952=""),"Add Correlation ID",IF(AND(I1952="Fail",T1952=""),"Write Root Cause / evidence gap",IF(AND(I1952="Fail",V1952=""),"Assign team","OK"))))))))</f>
        <v/>
      </c>
    </row>
    <row r="1953">
      <c r="A1953" s="5" t="n"/>
      <c r="B1953" s="5" t="n"/>
      <c r="C1953" s="5" t="n"/>
      <c r="D1953" s="5" t="n"/>
      <c r="E1953" s="5" t="n"/>
      <c r="F1953" s="5" t="n"/>
      <c r="G1953" s="5" t="n"/>
      <c r="H1953" s="5" t="n"/>
      <c r="I1953" s="5" t="n"/>
      <c r="J1953" s="5" t="n"/>
      <c r="K1953" s="5" t="n"/>
      <c r="L1953" s="5" t="n"/>
      <c r="M1953" s="5" t="n"/>
      <c r="N1953" s="5" t="n"/>
      <c r="O1953" s="5" t="n"/>
      <c r="P1953" s="5" t="n"/>
      <c r="Q1953" s="5" t="n"/>
      <c r="R1953" s="5" t="n"/>
      <c r="S1953" s="5" t="n"/>
      <c r="T1953" s="5" t="n"/>
      <c r="U1953" s="5" t="n"/>
      <c r="V1953" s="5" t="n"/>
      <c r="W1953" s="5" t="n"/>
      <c r="X1953" s="5" t="n"/>
      <c r="Y1953" s="5">
        <f>IF(I1953="","",IF(AND(I1953="Fail",K1953=""),"Classify Issue Source",IF(AND(I1953="Fail",W1953=""),"Set Confidence",IF(AND(K1953="Unknown",W1953&lt;&gt;"Low"),"Unknown must be Low confidence",IF(AND(OR(K1953="Backend",K1953="SAP"),N1953=""),"Add HTTP status + endpoint",IF(AND(OR(K1953="Backend",K1953="SAP",K1953="Network"),P1953=""),"Add Correlation ID",IF(AND(I1953="Fail",T1953=""),"Write Root Cause / evidence gap",IF(AND(I1953="Fail",V1953=""),"Assign team","OK"))))))))</f>
        <v/>
      </c>
    </row>
    <row r="1954">
      <c r="A1954" s="5" t="n"/>
      <c r="B1954" s="5" t="n"/>
      <c r="C1954" s="5" t="n"/>
      <c r="D1954" s="5" t="n"/>
      <c r="E1954" s="5" t="n"/>
      <c r="F1954" s="5" t="n"/>
      <c r="G1954" s="5" t="n"/>
      <c r="H1954" s="5" t="n"/>
      <c r="I1954" s="5" t="n"/>
      <c r="J1954" s="5" t="n"/>
      <c r="K1954" s="5" t="n"/>
      <c r="L1954" s="5" t="n"/>
      <c r="M1954" s="5" t="n"/>
      <c r="N1954" s="5" t="n"/>
      <c r="O1954" s="5" t="n"/>
      <c r="P1954" s="5" t="n"/>
      <c r="Q1954" s="5" t="n"/>
      <c r="R1954" s="5" t="n"/>
      <c r="S1954" s="5" t="n"/>
      <c r="T1954" s="5" t="n"/>
      <c r="U1954" s="5" t="n"/>
      <c r="V1954" s="5" t="n"/>
      <c r="W1954" s="5" t="n"/>
      <c r="X1954" s="5" t="n"/>
      <c r="Y1954" s="5">
        <f>IF(I1954="","",IF(AND(I1954="Fail",K1954=""),"Classify Issue Source",IF(AND(I1954="Fail",W1954=""),"Set Confidence",IF(AND(K1954="Unknown",W1954&lt;&gt;"Low"),"Unknown must be Low confidence",IF(AND(OR(K1954="Backend",K1954="SAP"),N1954=""),"Add HTTP status + endpoint",IF(AND(OR(K1954="Backend",K1954="SAP",K1954="Network"),P1954=""),"Add Correlation ID",IF(AND(I1954="Fail",T1954=""),"Write Root Cause / evidence gap",IF(AND(I1954="Fail",V1954=""),"Assign team","OK"))))))))</f>
        <v/>
      </c>
    </row>
    <row r="1955">
      <c r="A1955" s="5" t="n"/>
      <c r="B1955" s="5" t="n"/>
      <c r="C1955" s="5" t="n"/>
      <c r="D1955" s="5" t="n"/>
      <c r="E1955" s="5" t="n"/>
      <c r="F1955" s="5" t="n"/>
      <c r="G1955" s="5" t="n"/>
      <c r="H1955" s="5" t="n"/>
      <c r="I1955" s="5" t="n"/>
      <c r="J1955" s="5" t="n"/>
      <c r="K1955" s="5" t="n"/>
      <c r="L1955" s="5" t="n"/>
      <c r="M1955" s="5" t="n"/>
      <c r="N1955" s="5" t="n"/>
      <c r="O1955" s="5" t="n"/>
      <c r="P1955" s="5" t="n"/>
      <c r="Q1955" s="5" t="n"/>
      <c r="R1955" s="5" t="n"/>
      <c r="S1955" s="5" t="n"/>
      <c r="T1955" s="5" t="n"/>
      <c r="U1955" s="5" t="n"/>
      <c r="V1955" s="5" t="n"/>
      <c r="W1955" s="5" t="n"/>
      <c r="X1955" s="5" t="n"/>
      <c r="Y1955" s="5">
        <f>IF(I1955="","",IF(AND(I1955="Fail",K1955=""),"Classify Issue Source",IF(AND(I1955="Fail",W1955=""),"Set Confidence",IF(AND(K1955="Unknown",W1955&lt;&gt;"Low"),"Unknown must be Low confidence",IF(AND(OR(K1955="Backend",K1955="SAP"),N1955=""),"Add HTTP status + endpoint",IF(AND(OR(K1955="Backend",K1955="SAP",K1955="Network"),P1955=""),"Add Correlation ID",IF(AND(I1955="Fail",T1955=""),"Write Root Cause / evidence gap",IF(AND(I1955="Fail",V1955=""),"Assign team","OK"))))))))</f>
        <v/>
      </c>
    </row>
    <row r="1956">
      <c r="A1956" s="5" t="n"/>
      <c r="B1956" s="5" t="n"/>
      <c r="C1956" s="5" t="n"/>
      <c r="D1956" s="5" t="n"/>
      <c r="E1956" s="5" t="n"/>
      <c r="F1956" s="5" t="n"/>
      <c r="G1956" s="5" t="n"/>
      <c r="H1956" s="5" t="n"/>
      <c r="I1956" s="5" t="n"/>
      <c r="J1956" s="5" t="n"/>
      <c r="K1956" s="5" t="n"/>
      <c r="L1956" s="5" t="n"/>
      <c r="M1956" s="5" t="n"/>
      <c r="N1956" s="5" t="n"/>
      <c r="O1956" s="5" t="n"/>
      <c r="P1956" s="5" t="n"/>
      <c r="Q1956" s="5" t="n"/>
      <c r="R1956" s="5" t="n"/>
      <c r="S1956" s="5" t="n"/>
      <c r="T1956" s="5" t="n"/>
      <c r="U1956" s="5" t="n"/>
      <c r="V1956" s="5" t="n"/>
      <c r="W1956" s="5" t="n"/>
      <c r="X1956" s="5" t="n"/>
      <c r="Y1956" s="5">
        <f>IF(I1956="","",IF(AND(I1956="Fail",K1956=""),"Classify Issue Source",IF(AND(I1956="Fail",W1956=""),"Set Confidence",IF(AND(K1956="Unknown",W1956&lt;&gt;"Low"),"Unknown must be Low confidence",IF(AND(OR(K1956="Backend",K1956="SAP"),N1956=""),"Add HTTP status + endpoint",IF(AND(OR(K1956="Backend",K1956="SAP",K1956="Network"),P1956=""),"Add Correlation ID",IF(AND(I1956="Fail",T1956=""),"Write Root Cause / evidence gap",IF(AND(I1956="Fail",V1956=""),"Assign team","OK"))))))))</f>
        <v/>
      </c>
    </row>
    <row r="1957">
      <c r="A1957" s="5" t="n"/>
      <c r="B1957" s="5" t="n"/>
      <c r="C1957" s="5" t="n"/>
      <c r="D1957" s="5" t="n"/>
      <c r="E1957" s="5" t="n"/>
      <c r="F1957" s="5" t="n"/>
      <c r="G1957" s="5" t="n"/>
      <c r="H1957" s="5" t="n"/>
      <c r="I1957" s="5" t="n"/>
      <c r="J1957" s="5" t="n"/>
      <c r="K1957" s="5" t="n"/>
      <c r="L1957" s="5" t="n"/>
      <c r="M1957" s="5" t="n"/>
      <c r="N1957" s="5" t="n"/>
      <c r="O1957" s="5" t="n"/>
      <c r="P1957" s="5" t="n"/>
      <c r="Q1957" s="5" t="n"/>
      <c r="R1957" s="5" t="n"/>
      <c r="S1957" s="5" t="n"/>
      <c r="T1957" s="5" t="n"/>
      <c r="U1957" s="5" t="n"/>
      <c r="V1957" s="5" t="n"/>
      <c r="W1957" s="5" t="n"/>
      <c r="X1957" s="5" t="n"/>
      <c r="Y1957" s="5">
        <f>IF(I1957="","",IF(AND(I1957="Fail",K1957=""),"Classify Issue Source",IF(AND(I1957="Fail",W1957=""),"Set Confidence",IF(AND(K1957="Unknown",W1957&lt;&gt;"Low"),"Unknown must be Low confidence",IF(AND(OR(K1957="Backend",K1957="SAP"),N1957=""),"Add HTTP status + endpoint",IF(AND(OR(K1957="Backend",K1957="SAP",K1957="Network"),P1957=""),"Add Correlation ID",IF(AND(I1957="Fail",T1957=""),"Write Root Cause / evidence gap",IF(AND(I1957="Fail",V1957=""),"Assign team","OK"))))))))</f>
        <v/>
      </c>
    </row>
    <row r="1958">
      <c r="A1958" s="5" t="n"/>
      <c r="B1958" s="5" t="n"/>
      <c r="C1958" s="5" t="n"/>
      <c r="D1958" s="5" t="n"/>
      <c r="E1958" s="5" t="n"/>
      <c r="F1958" s="5" t="n"/>
      <c r="G1958" s="5" t="n"/>
      <c r="H1958" s="5" t="n"/>
      <c r="I1958" s="5" t="n"/>
      <c r="J1958" s="5" t="n"/>
      <c r="K1958" s="5" t="n"/>
      <c r="L1958" s="5" t="n"/>
      <c r="M1958" s="5" t="n"/>
      <c r="N1958" s="5" t="n"/>
      <c r="O1958" s="5" t="n"/>
      <c r="P1958" s="5" t="n"/>
      <c r="Q1958" s="5" t="n"/>
      <c r="R1958" s="5" t="n"/>
      <c r="S1958" s="5" t="n"/>
      <c r="T1958" s="5" t="n"/>
      <c r="U1958" s="5" t="n"/>
      <c r="V1958" s="5" t="n"/>
      <c r="W1958" s="5" t="n"/>
      <c r="X1958" s="5" t="n"/>
      <c r="Y1958" s="5">
        <f>IF(I1958="","",IF(AND(I1958="Fail",K1958=""),"Classify Issue Source",IF(AND(I1958="Fail",W1958=""),"Set Confidence",IF(AND(K1958="Unknown",W1958&lt;&gt;"Low"),"Unknown must be Low confidence",IF(AND(OR(K1958="Backend",K1958="SAP"),N1958=""),"Add HTTP status + endpoint",IF(AND(OR(K1958="Backend",K1958="SAP",K1958="Network"),P1958=""),"Add Correlation ID",IF(AND(I1958="Fail",T1958=""),"Write Root Cause / evidence gap",IF(AND(I1958="Fail",V1958=""),"Assign team","OK"))))))))</f>
        <v/>
      </c>
    </row>
    <row r="1959">
      <c r="A1959" s="5" t="n"/>
      <c r="B1959" s="5" t="n"/>
      <c r="C1959" s="5" t="n"/>
      <c r="D1959" s="5" t="n"/>
      <c r="E1959" s="5" t="n"/>
      <c r="F1959" s="5" t="n"/>
      <c r="G1959" s="5" t="n"/>
      <c r="H1959" s="5" t="n"/>
      <c r="I1959" s="5" t="n"/>
      <c r="J1959" s="5" t="n"/>
      <c r="K1959" s="5" t="n"/>
      <c r="L1959" s="5" t="n"/>
      <c r="M1959" s="5" t="n"/>
      <c r="N1959" s="5" t="n"/>
      <c r="O1959" s="5" t="n"/>
      <c r="P1959" s="5" t="n"/>
      <c r="Q1959" s="5" t="n"/>
      <c r="R1959" s="5" t="n"/>
      <c r="S1959" s="5" t="n"/>
      <c r="T1959" s="5" t="n"/>
      <c r="U1959" s="5" t="n"/>
      <c r="V1959" s="5" t="n"/>
      <c r="W1959" s="5" t="n"/>
      <c r="X1959" s="5" t="n"/>
      <c r="Y1959" s="5">
        <f>IF(I1959="","",IF(AND(I1959="Fail",K1959=""),"Classify Issue Source",IF(AND(I1959="Fail",W1959=""),"Set Confidence",IF(AND(K1959="Unknown",W1959&lt;&gt;"Low"),"Unknown must be Low confidence",IF(AND(OR(K1959="Backend",K1959="SAP"),N1959=""),"Add HTTP status + endpoint",IF(AND(OR(K1959="Backend",K1959="SAP",K1959="Network"),P1959=""),"Add Correlation ID",IF(AND(I1959="Fail",T1959=""),"Write Root Cause / evidence gap",IF(AND(I1959="Fail",V1959=""),"Assign team","OK"))))))))</f>
        <v/>
      </c>
    </row>
    <row r="1960">
      <c r="A1960" s="5" t="n"/>
      <c r="B1960" s="5" t="n"/>
      <c r="C1960" s="5" t="n"/>
      <c r="D1960" s="5" t="n"/>
      <c r="E1960" s="5" t="n"/>
      <c r="F1960" s="5" t="n"/>
      <c r="G1960" s="5" t="n"/>
      <c r="H1960" s="5" t="n"/>
      <c r="I1960" s="5" t="n"/>
      <c r="J1960" s="5" t="n"/>
      <c r="K1960" s="5" t="n"/>
      <c r="L1960" s="5" t="n"/>
      <c r="M1960" s="5" t="n"/>
      <c r="N1960" s="5" t="n"/>
      <c r="O1960" s="5" t="n"/>
      <c r="P1960" s="5" t="n"/>
      <c r="Q1960" s="5" t="n"/>
      <c r="R1960" s="5" t="n"/>
      <c r="S1960" s="5" t="n"/>
      <c r="T1960" s="5" t="n"/>
      <c r="U1960" s="5" t="n"/>
      <c r="V1960" s="5" t="n"/>
      <c r="W1960" s="5" t="n"/>
      <c r="X1960" s="5" t="n"/>
      <c r="Y1960" s="5">
        <f>IF(I1960="","",IF(AND(I1960="Fail",K1960=""),"Classify Issue Source",IF(AND(I1960="Fail",W1960=""),"Set Confidence",IF(AND(K1960="Unknown",W1960&lt;&gt;"Low"),"Unknown must be Low confidence",IF(AND(OR(K1960="Backend",K1960="SAP"),N1960=""),"Add HTTP status + endpoint",IF(AND(OR(K1960="Backend",K1960="SAP",K1960="Network"),P1960=""),"Add Correlation ID",IF(AND(I1960="Fail",T1960=""),"Write Root Cause / evidence gap",IF(AND(I1960="Fail",V1960=""),"Assign team","OK"))))))))</f>
        <v/>
      </c>
    </row>
    <row r="1961">
      <c r="A1961" s="5" t="n"/>
      <c r="B1961" s="5" t="n"/>
      <c r="C1961" s="5" t="n"/>
      <c r="D1961" s="5" t="n"/>
      <c r="E1961" s="5" t="n"/>
      <c r="F1961" s="5" t="n"/>
      <c r="G1961" s="5" t="n"/>
      <c r="H1961" s="5" t="n"/>
      <c r="I1961" s="5" t="n"/>
      <c r="J1961" s="5" t="n"/>
      <c r="K1961" s="5" t="n"/>
      <c r="L1961" s="5" t="n"/>
      <c r="M1961" s="5" t="n"/>
      <c r="N1961" s="5" t="n"/>
      <c r="O1961" s="5" t="n"/>
      <c r="P1961" s="5" t="n"/>
      <c r="Q1961" s="5" t="n"/>
      <c r="R1961" s="5" t="n"/>
      <c r="S1961" s="5" t="n"/>
      <c r="T1961" s="5" t="n"/>
      <c r="U1961" s="5" t="n"/>
      <c r="V1961" s="5" t="n"/>
      <c r="W1961" s="5" t="n"/>
      <c r="X1961" s="5" t="n"/>
      <c r="Y1961" s="5">
        <f>IF(I1961="","",IF(AND(I1961="Fail",K1961=""),"Classify Issue Source",IF(AND(I1961="Fail",W1961=""),"Set Confidence",IF(AND(K1961="Unknown",W1961&lt;&gt;"Low"),"Unknown must be Low confidence",IF(AND(OR(K1961="Backend",K1961="SAP"),N1961=""),"Add HTTP status + endpoint",IF(AND(OR(K1961="Backend",K1961="SAP",K1961="Network"),P1961=""),"Add Correlation ID",IF(AND(I1961="Fail",T1961=""),"Write Root Cause / evidence gap",IF(AND(I1961="Fail",V1961=""),"Assign team","OK"))))))))</f>
        <v/>
      </c>
    </row>
    <row r="1962">
      <c r="A1962" s="5" t="n"/>
      <c r="B1962" s="5" t="n"/>
      <c r="C1962" s="5" t="n"/>
      <c r="D1962" s="5" t="n"/>
      <c r="E1962" s="5" t="n"/>
      <c r="F1962" s="5" t="n"/>
      <c r="G1962" s="5" t="n"/>
      <c r="H1962" s="5" t="n"/>
      <c r="I1962" s="5" t="n"/>
      <c r="J1962" s="5" t="n"/>
      <c r="K1962" s="5" t="n"/>
      <c r="L1962" s="5" t="n"/>
      <c r="M1962" s="5" t="n"/>
      <c r="N1962" s="5" t="n"/>
      <c r="O1962" s="5" t="n"/>
      <c r="P1962" s="5" t="n"/>
      <c r="Q1962" s="5" t="n"/>
      <c r="R1962" s="5" t="n"/>
      <c r="S1962" s="5" t="n"/>
      <c r="T1962" s="5" t="n"/>
      <c r="U1962" s="5" t="n"/>
      <c r="V1962" s="5" t="n"/>
      <c r="W1962" s="5" t="n"/>
      <c r="X1962" s="5" t="n"/>
      <c r="Y1962" s="5">
        <f>IF(I1962="","",IF(AND(I1962="Fail",K1962=""),"Classify Issue Source",IF(AND(I1962="Fail",W1962=""),"Set Confidence",IF(AND(K1962="Unknown",W1962&lt;&gt;"Low"),"Unknown must be Low confidence",IF(AND(OR(K1962="Backend",K1962="SAP"),N1962=""),"Add HTTP status + endpoint",IF(AND(OR(K1962="Backend",K1962="SAP",K1962="Network"),P1962=""),"Add Correlation ID",IF(AND(I1962="Fail",T1962=""),"Write Root Cause / evidence gap",IF(AND(I1962="Fail",V1962=""),"Assign team","OK"))))))))</f>
        <v/>
      </c>
    </row>
    <row r="1963">
      <c r="A1963" s="5" t="n"/>
      <c r="B1963" s="5" t="n"/>
      <c r="C1963" s="5" t="n"/>
      <c r="D1963" s="5" t="n"/>
      <c r="E1963" s="5" t="n"/>
      <c r="F1963" s="5" t="n"/>
      <c r="G1963" s="5" t="n"/>
      <c r="H1963" s="5" t="n"/>
      <c r="I1963" s="5" t="n"/>
      <c r="J1963" s="5" t="n"/>
      <c r="K1963" s="5" t="n"/>
      <c r="L1963" s="5" t="n"/>
      <c r="M1963" s="5" t="n"/>
      <c r="N1963" s="5" t="n"/>
      <c r="O1963" s="5" t="n"/>
      <c r="P1963" s="5" t="n"/>
      <c r="Q1963" s="5" t="n"/>
      <c r="R1963" s="5" t="n"/>
      <c r="S1963" s="5" t="n"/>
      <c r="T1963" s="5" t="n"/>
      <c r="U1963" s="5" t="n"/>
      <c r="V1963" s="5" t="n"/>
      <c r="W1963" s="5" t="n"/>
      <c r="X1963" s="5" t="n"/>
      <c r="Y1963" s="5">
        <f>IF(I1963="","",IF(AND(I1963="Fail",K1963=""),"Classify Issue Source",IF(AND(I1963="Fail",W1963=""),"Set Confidence",IF(AND(K1963="Unknown",W1963&lt;&gt;"Low"),"Unknown must be Low confidence",IF(AND(OR(K1963="Backend",K1963="SAP"),N1963=""),"Add HTTP status + endpoint",IF(AND(OR(K1963="Backend",K1963="SAP",K1963="Network"),P1963=""),"Add Correlation ID",IF(AND(I1963="Fail",T1963=""),"Write Root Cause / evidence gap",IF(AND(I1963="Fail",V1963=""),"Assign team","OK"))))))))</f>
        <v/>
      </c>
    </row>
    <row r="1964">
      <c r="A1964" s="5" t="n"/>
      <c r="B1964" s="5" t="n"/>
      <c r="C1964" s="5" t="n"/>
      <c r="D1964" s="5" t="n"/>
      <c r="E1964" s="5" t="n"/>
      <c r="F1964" s="5" t="n"/>
      <c r="G1964" s="5" t="n"/>
      <c r="H1964" s="5" t="n"/>
      <c r="I1964" s="5" t="n"/>
      <c r="J1964" s="5" t="n"/>
      <c r="K1964" s="5" t="n"/>
      <c r="L1964" s="5" t="n"/>
      <c r="M1964" s="5" t="n"/>
      <c r="N1964" s="5" t="n"/>
      <c r="O1964" s="5" t="n"/>
      <c r="P1964" s="5" t="n"/>
      <c r="Q1964" s="5" t="n"/>
      <c r="R1964" s="5" t="n"/>
      <c r="S1964" s="5" t="n"/>
      <c r="T1964" s="5" t="n"/>
      <c r="U1964" s="5" t="n"/>
      <c r="V1964" s="5" t="n"/>
      <c r="W1964" s="5" t="n"/>
      <c r="X1964" s="5" t="n"/>
      <c r="Y1964" s="5">
        <f>IF(I1964="","",IF(AND(I1964="Fail",K1964=""),"Classify Issue Source",IF(AND(I1964="Fail",W1964=""),"Set Confidence",IF(AND(K1964="Unknown",W1964&lt;&gt;"Low"),"Unknown must be Low confidence",IF(AND(OR(K1964="Backend",K1964="SAP"),N1964=""),"Add HTTP status + endpoint",IF(AND(OR(K1964="Backend",K1964="SAP",K1964="Network"),P1964=""),"Add Correlation ID",IF(AND(I1964="Fail",T1964=""),"Write Root Cause / evidence gap",IF(AND(I1964="Fail",V1964=""),"Assign team","OK"))))))))</f>
        <v/>
      </c>
    </row>
    <row r="1965">
      <c r="A1965" s="5" t="n"/>
      <c r="B1965" s="5" t="n"/>
      <c r="C1965" s="5" t="n"/>
      <c r="D1965" s="5" t="n"/>
      <c r="E1965" s="5" t="n"/>
      <c r="F1965" s="5" t="n"/>
      <c r="G1965" s="5" t="n"/>
      <c r="H1965" s="5" t="n"/>
      <c r="I1965" s="5" t="n"/>
      <c r="J1965" s="5" t="n"/>
      <c r="K1965" s="5" t="n"/>
      <c r="L1965" s="5" t="n"/>
      <c r="M1965" s="5" t="n"/>
      <c r="N1965" s="5" t="n"/>
      <c r="O1965" s="5" t="n"/>
      <c r="P1965" s="5" t="n"/>
      <c r="Q1965" s="5" t="n"/>
      <c r="R1965" s="5" t="n"/>
      <c r="S1965" s="5" t="n"/>
      <c r="T1965" s="5" t="n"/>
      <c r="U1965" s="5" t="n"/>
      <c r="V1965" s="5" t="n"/>
      <c r="W1965" s="5" t="n"/>
      <c r="X1965" s="5" t="n"/>
      <c r="Y1965" s="5">
        <f>IF(I1965="","",IF(AND(I1965="Fail",K1965=""),"Classify Issue Source",IF(AND(I1965="Fail",W1965=""),"Set Confidence",IF(AND(K1965="Unknown",W1965&lt;&gt;"Low"),"Unknown must be Low confidence",IF(AND(OR(K1965="Backend",K1965="SAP"),N1965=""),"Add HTTP status + endpoint",IF(AND(OR(K1965="Backend",K1965="SAP",K1965="Network"),P1965=""),"Add Correlation ID",IF(AND(I1965="Fail",T1965=""),"Write Root Cause / evidence gap",IF(AND(I1965="Fail",V1965=""),"Assign team","OK"))))))))</f>
        <v/>
      </c>
    </row>
    <row r="1966">
      <c r="A1966" s="5" t="n"/>
      <c r="B1966" s="5" t="n"/>
      <c r="C1966" s="5" t="n"/>
      <c r="D1966" s="5" t="n"/>
      <c r="E1966" s="5" t="n"/>
      <c r="F1966" s="5" t="n"/>
      <c r="G1966" s="5" t="n"/>
      <c r="H1966" s="5" t="n"/>
      <c r="I1966" s="5" t="n"/>
      <c r="J1966" s="5" t="n"/>
      <c r="K1966" s="5" t="n"/>
      <c r="L1966" s="5" t="n"/>
      <c r="M1966" s="5" t="n"/>
      <c r="N1966" s="5" t="n"/>
      <c r="O1966" s="5" t="n"/>
      <c r="P1966" s="5" t="n"/>
      <c r="Q1966" s="5" t="n"/>
      <c r="R1966" s="5" t="n"/>
      <c r="S1966" s="5" t="n"/>
      <c r="T1966" s="5" t="n"/>
      <c r="U1966" s="5" t="n"/>
      <c r="V1966" s="5" t="n"/>
      <c r="W1966" s="5" t="n"/>
      <c r="X1966" s="5" t="n"/>
      <c r="Y1966" s="5">
        <f>IF(I1966="","",IF(AND(I1966="Fail",K1966=""),"Classify Issue Source",IF(AND(I1966="Fail",W1966=""),"Set Confidence",IF(AND(K1966="Unknown",W1966&lt;&gt;"Low"),"Unknown must be Low confidence",IF(AND(OR(K1966="Backend",K1966="SAP"),N1966=""),"Add HTTP status + endpoint",IF(AND(OR(K1966="Backend",K1966="SAP",K1966="Network"),P1966=""),"Add Correlation ID",IF(AND(I1966="Fail",T1966=""),"Write Root Cause / evidence gap",IF(AND(I1966="Fail",V1966=""),"Assign team","OK"))))))))</f>
        <v/>
      </c>
    </row>
    <row r="1967">
      <c r="A1967" s="5" t="n"/>
      <c r="B1967" s="5" t="n"/>
      <c r="C1967" s="5" t="n"/>
      <c r="D1967" s="5" t="n"/>
      <c r="E1967" s="5" t="n"/>
      <c r="F1967" s="5" t="n"/>
      <c r="G1967" s="5" t="n"/>
      <c r="H1967" s="5" t="n"/>
      <c r="I1967" s="5" t="n"/>
      <c r="J1967" s="5" t="n"/>
      <c r="K1967" s="5" t="n"/>
      <c r="L1967" s="5" t="n"/>
      <c r="M1967" s="5" t="n"/>
      <c r="N1967" s="5" t="n"/>
      <c r="O1967" s="5" t="n"/>
      <c r="P1967" s="5" t="n"/>
      <c r="Q1967" s="5" t="n"/>
      <c r="R1967" s="5" t="n"/>
      <c r="S1967" s="5" t="n"/>
      <c r="T1967" s="5" t="n"/>
      <c r="U1967" s="5" t="n"/>
      <c r="V1967" s="5" t="n"/>
      <c r="W1967" s="5" t="n"/>
      <c r="X1967" s="5" t="n"/>
      <c r="Y1967" s="5">
        <f>IF(I1967="","",IF(AND(I1967="Fail",K1967=""),"Classify Issue Source",IF(AND(I1967="Fail",W1967=""),"Set Confidence",IF(AND(K1967="Unknown",W1967&lt;&gt;"Low"),"Unknown must be Low confidence",IF(AND(OR(K1967="Backend",K1967="SAP"),N1967=""),"Add HTTP status + endpoint",IF(AND(OR(K1967="Backend",K1967="SAP",K1967="Network"),P1967=""),"Add Correlation ID",IF(AND(I1967="Fail",T1967=""),"Write Root Cause / evidence gap",IF(AND(I1967="Fail",V1967=""),"Assign team","OK"))))))))</f>
        <v/>
      </c>
    </row>
    <row r="1968">
      <c r="A1968" s="5" t="n"/>
      <c r="B1968" s="5" t="n"/>
      <c r="C1968" s="5" t="n"/>
      <c r="D1968" s="5" t="n"/>
      <c r="E1968" s="5" t="n"/>
      <c r="F1968" s="5" t="n"/>
      <c r="G1968" s="5" t="n"/>
      <c r="H1968" s="5" t="n"/>
      <c r="I1968" s="5" t="n"/>
      <c r="J1968" s="5" t="n"/>
      <c r="K1968" s="5" t="n"/>
      <c r="L1968" s="5" t="n"/>
      <c r="M1968" s="5" t="n"/>
      <c r="N1968" s="5" t="n"/>
      <c r="O1968" s="5" t="n"/>
      <c r="P1968" s="5" t="n"/>
      <c r="Q1968" s="5" t="n"/>
      <c r="R1968" s="5" t="n"/>
      <c r="S1968" s="5" t="n"/>
      <c r="T1968" s="5" t="n"/>
      <c r="U1968" s="5" t="n"/>
      <c r="V1968" s="5" t="n"/>
      <c r="W1968" s="5" t="n"/>
      <c r="X1968" s="5" t="n"/>
      <c r="Y1968" s="5">
        <f>IF(I1968="","",IF(AND(I1968="Fail",K1968=""),"Classify Issue Source",IF(AND(I1968="Fail",W1968=""),"Set Confidence",IF(AND(K1968="Unknown",W1968&lt;&gt;"Low"),"Unknown must be Low confidence",IF(AND(OR(K1968="Backend",K1968="SAP"),N1968=""),"Add HTTP status + endpoint",IF(AND(OR(K1968="Backend",K1968="SAP",K1968="Network"),P1968=""),"Add Correlation ID",IF(AND(I1968="Fail",T1968=""),"Write Root Cause / evidence gap",IF(AND(I1968="Fail",V1968=""),"Assign team","OK"))))))))</f>
        <v/>
      </c>
    </row>
    <row r="1969">
      <c r="A1969" s="5" t="n"/>
      <c r="B1969" s="5" t="n"/>
      <c r="C1969" s="5" t="n"/>
      <c r="D1969" s="5" t="n"/>
      <c r="E1969" s="5" t="n"/>
      <c r="F1969" s="5" t="n"/>
      <c r="G1969" s="5" t="n"/>
      <c r="H1969" s="5" t="n"/>
      <c r="I1969" s="5" t="n"/>
      <c r="J1969" s="5" t="n"/>
      <c r="K1969" s="5" t="n"/>
      <c r="L1969" s="5" t="n"/>
      <c r="M1969" s="5" t="n"/>
      <c r="N1969" s="5" t="n"/>
      <c r="O1969" s="5" t="n"/>
      <c r="P1969" s="5" t="n"/>
      <c r="Q1969" s="5" t="n"/>
      <c r="R1969" s="5" t="n"/>
      <c r="S1969" s="5" t="n"/>
      <c r="T1969" s="5" t="n"/>
      <c r="U1969" s="5" t="n"/>
      <c r="V1969" s="5" t="n"/>
      <c r="W1969" s="5" t="n"/>
      <c r="X1969" s="5" t="n"/>
      <c r="Y1969" s="5">
        <f>IF(I1969="","",IF(AND(I1969="Fail",K1969=""),"Classify Issue Source",IF(AND(I1969="Fail",W1969=""),"Set Confidence",IF(AND(K1969="Unknown",W1969&lt;&gt;"Low"),"Unknown must be Low confidence",IF(AND(OR(K1969="Backend",K1969="SAP"),N1969=""),"Add HTTP status + endpoint",IF(AND(OR(K1969="Backend",K1969="SAP",K1969="Network"),P1969=""),"Add Correlation ID",IF(AND(I1969="Fail",T1969=""),"Write Root Cause / evidence gap",IF(AND(I1969="Fail",V1969=""),"Assign team","OK"))))))))</f>
        <v/>
      </c>
    </row>
    <row r="1970">
      <c r="A1970" s="5" t="n"/>
      <c r="B1970" s="5" t="n"/>
      <c r="C1970" s="5" t="n"/>
      <c r="D1970" s="5" t="n"/>
      <c r="E1970" s="5" t="n"/>
      <c r="F1970" s="5" t="n"/>
      <c r="G1970" s="5" t="n"/>
      <c r="H1970" s="5" t="n"/>
      <c r="I1970" s="5" t="n"/>
      <c r="J1970" s="5" t="n"/>
      <c r="K1970" s="5" t="n"/>
      <c r="L1970" s="5" t="n"/>
      <c r="M1970" s="5" t="n"/>
      <c r="N1970" s="5" t="n"/>
      <c r="O1970" s="5" t="n"/>
      <c r="P1970" s="5" t="n"/>
      <c r="Q1970" s="5" t="n"/>
      <c r="R1970" s="5" t="n"/>
      <c r="S1970" s="5" t="n"/>
      <c r="T1970" s="5" t="n"/>
      <c r="U1970" s="5" t="n"/>
      <c r="V1970" s="5" t="n"/>
      <c r="W1970" s="5" t="n"/>
      <c r="X1970" s="5" t="n"/>
      <c r="Y1970" s="5">
        <f>IF(I1970="","",IF(AND(I1970="Fail",K1970=""),"Classify Issue Source",IF(AND(I1970="Fail",W1970=""),"Set Confidence",IF(AND(K1970="Unknown",W1970&lt;&gt;"Low"),"Unknown must be Low confidence",IF(AND(OR(K1970="Backend",K1970="SAP"),N1970=""),"Add HTTP status + endpoint",IF(AND(OR(K1970="Backend",K1970="SAP",K1970="Network"),P1970=""),"Add Correlation ID",IF(AND(I1970="Fail",T1970=""),"Write Root Cause / evidence gap",IF(AND(I1970="Fail",V1970=""),"Assign team","OK"))))))))</f>
        <v/>
      </c>
    </row>
    <row r="1971">
      <c r="A1971" s="5" t="n"/>
      <c r="B1971" s="5" t="n"/>
      <c r="C1971" s="5" t="n"/>
      <c r="D1971" s="5" t="n"/>
      <c r="E1971" s="5" t="n"/>
      <c r="F1971" s="5" t="n"/>
      <c r="G1971" s="5" t="n"/>
      <c r="H1971" s="5" t="n"/>
      <c r="I1971" s="5" t="n"/>
      <c r="J1971" s="5" t="n"/>
      <c r="K1971" s="5" t="n"/>
      <c r="L1971" s="5" t="n"/>
      <c r="M1971" s="5" t="n"/>
      <c r="N1971" s="5" t="n"/>
      <c r="O1971" s="5" t="n"/>
      <c r="P1971" s="5" t="n"/>
      <c r="Q1971" s="5" t="n"/>
      <c r="R1971" s="5" t="n"/>
      <c r="S1971" s="5" t="n"/>
      <c r="T1971" s="5" t="n"/>
      <c r="U1971" s="5" t="n"/>
      <c r="V1971" s="5" t="n"/>
      <c r="W1971" s="5" t="n"/>
      <c r="X1971" s="5" t="n"/>
      <c r="Y1971" s="5">
        <f>IF(I1971="","",IF(AND(I1971="Fail",K1971=""),"Classify Issue Source",IF(AND(I1971="Fail",W1971=""),"Set Confidence",IF(AND(K1971="Unknown",W1971&lt;&gt;"Low"),"Unknown must be Low confidence",IF(AND(OR(K1971="Backend",K1971="SAP"),N1971=""),"Add HTTP status + endpoint",IF(AND(OR(K1971="Backend",K1971="SAP",K1971="Network"),P1971=""),"Add Correlation ID",IF(AND(I1971="Fail",T1971=""),"Write Root Cause / evidence gap",IF(AND(I1971="Fail",V1971=""),"Assign team","OK"))))))))</f>
        <v/>
      </c>
    </row>
    <row r="1972">
      <c r="A1972" s="5" t="n"/>
      <c r="B1972" s="5" t="n"/>
      <c r="C1972" s="5" t="n"/>
      <c r="D1972" s="5" t="n"/>
      <c r="E1972" s="5" t="n"/>
      <c r="F1972" s="5" t="n"/>
      <c r="G1972" s="5" t="n"/>
      <c r="H1972" s="5" t="n"/>
      <c r="I1972" s="5" t="n"/>
      <c r="J1972" s="5" t="n"/>
      <c r="K1972" s="5" t="n"/>
      <c r="L1972" s="5" t="n"/>
      <c r="M1972" s="5" t="n"/>
      <c r="N1972" s="5" t="n"/>
      <c r="O1972" s="5" t="n"/>
      <c r="P1972" s="5" t="n"/>
      <c r="Q1972" s="5" t="n"/>
      <c r="R1972" s="5" t="n"/>
      <c r="S1972" s="5" t="n"/>
      <c r="T1972" s="5" t="n"/>
      <c r="U1972" s="5" t="n"/>
      <c r="V1972" s="5" t="n"/>
      <c r="W1972" s="5" t="n"/>
      <c r="X1972" s="5" t="n"/>
      <c r="Y1972" s="5">
        <f>IF(I1972="","",IF(AND(I1972="Fail",K1972=""),"Classify Issue Source",IF(AND(I1972="Fail",W1972=""),"Set Confidence",IF(AND(K1972="Unknown",W1972&lt;&gt;"Low"),"Unknown must be Low confidence",IF(AND(OR(K1972="Backend",K1972="SAP"),N1972=""),"Add HTTP status + endpoint",IF(AND(OR(K1972="Backend",K1972="SAP",K1972="Network"),P1972=""),"Add Correlation ID",IF(AND(I1972="Fail",T1972=""),"Write Root Cause / evidence gap",IF(AND(I1972="Fail",V1972=""),"Assign team","OK"))))))))</f>
        <v/>
      </c>
    </row>
    <row r="1973">
      <c r="A1973" s="5" t="n"/>
      <c r="B1973" s="5" t="n"/>
      <c r="C1973" s="5" t="n"/>
      <c r="D1973" s="5" t="n"/>
      <c r="E1973" s="5" t="n"/>
      <c r="F1973" s="5" t="n"/>
      <c r="G1973" s="5" t="n"/>
      <c r="H1973" s="5" t="n"/>
      <c r="I1973" s="5" t="n"/>
      <c r="J1973" s="5" t="n"/>
      <c r="K1973" s="5" t="n"/>
      <c r="L1973" s="5" t="n"/>
      <c r="M1973" s="5" t="n"/>
      <c r="N1973" s="5" t="n"/>
      <c r="O1973" s="5" t="n"/>
      <c r="P1973" s="5" t="n"/>
      <c r="Q1973" s="5" t="n"/>
      <c r="R1973" s="5" t="n"/>
      <c r="S1973" s="5" t="n"/>
      <c r="T1973" s="5" t="n"/>
      <c r="U1973" s="5" t="n"/>
      <c r="V1973" s="5" t="n"/>
      <c r="W1973" s="5" t="n"/>
      <c r="X1973" s="5" t="n"/>
      <c r="Y1973" s="5">
        <f>IF(I1973="","",IF(AND(I1973="Fail",K1973=""),"Classify Issue Source",IF(AND(I1973="Fail",W1973=""),"Set Confidence",IF(AND(K1973="Unknown",W1973&lt;&gt;"Low"),"Unknown must be Low confidence",IF(AND(OR(K1973="Backend",K1973="SAP"),N1973=""),"Add HTTP status + endpoint",IF(AND(OR(K1973="Backend",K1973="SAP",K1973="Network"),P1973=""),"Add Correlation ID",IF(AND(I1973="Fail",T1973=""),"Write Root Cause / evidence gap",IF(AND(I1973="Fail",V1973=""),"Assign team","OK"))))))))</f>
        <v/>
      </c>
    </row>
    <row r="1974">
      <c r="A1974" s="5" t="n"/>
      <c r="B1974" s="5" t="n"/>
      <c r="C1974" s="5" t="n"/>
      <c r="D1974" s="5" t="n"/>
      <c r="E1974" s="5" t="n"/>
      <c r="F1974" s="5" t="n"/>
      <c r="G1974" s="5" t="n"/>
      <c r="H1974" s="5" t="n"/>
      <c r="I1974" s="5" t="n"/>
      <c r="J1974" s="5" t="n"/>
      <c r="K1974" s="5" t="n"/>
      <c r="L1974" s="5" t="n"/>
      <c r="M1974" s="5" t="n"/>
      <c r="N1974" s="5" t="n"/>
      <c r="O1974" s="5" t="n"/>
      <c r="P1974" s="5" t="n"/>
      <c r="Q1974" s="5" t="n"/>
      <c r="R1974" s="5" t="n"/>
      <c r="S1974" s="5" t="n"/>
      <c r="T1974" s="5" t="n"/>
      <c r="U1974" s="5" t="n"/>
      <c r="V1974" s="5" t="n"/>
      <c r="W1974" s="5" t="n"/>
      <c r="X1974" s="5" t="n"/>
      <c r="Y1974" s="5">
        <f>IF(I1974="","",IF(AND(I1974="Fail",K1974=""),"Classify Issue Source",IF(AND(I1974="Fail",W1974=""),"Set Confidence",IF(AND(K1974="Unknown",W1974&lt;&gt;"Low"),"Unknown must be Low confidence",IF(AND(OR(K1974="Backend",K1974="SAP"),N1974=""),"Add HTTP status + endpoint",IF(AND(OR(K1974="Backend",K1974="SAP",K1974="Network"),P1974=""),"Add Correlation ID",IF(AND(I1974="Fail",T1974=""),"Write Root Cause / evidence gap",IF(AND(I1974="Fail",V1974=""),"Assign team","OK"))))))))</f>
        <v/>
      </c>
    </row>
    <row r="1975">
      <c r="A1975" s="5" t="n"/>
      <c r="B1975" s="5" t="n"/>
      <c r="C1975" s="5" t="n"/>
      <c r="D1975" s="5" t="n"/>
      <c r="E1975" s="5" t="n"/>
      <c r="F1975" s="5" t="n"/>
      <c r="G1975" s="5" t="n"/>
      <c r="H1975" s="5" t="n"/>
      <c r="I1975" s="5" t="n"/>
      <c r="J1975" s="5" t="n"/>
      <c r="K1975" s="5" t="n"/>
      <c r="L1975" s="5" t="n"/>
      <c r="M1975" s="5" t="n"/>
      <c r="N1975" s="5" t="n"/>
      <c r="O1975" s="5" t="n"/>
      <c r="P1975" s="5" t="n"/>
      <c r="Q1975" s="5" t="n"/>
      <c r="R1975" s="5" t="n"/>
      <c r="S1975" s="5" t="n"/>
      <c r="T1975" s="5" t="n"/>
      <c r="U1975" s="5" t="n"/>
      <c r="V1975" s="5" t="n"/>
      <c r="W1975" s="5" t="n"/>
      <c r="X1975" s="5" t="n"/>
      <c r="Y1975" s="5">
        <f>IF(I1975="","",IF(AND(I1975="Fail",K1975=""),"Classify Issue Source",IF(AND(I1975="Fail",W1975=""),"Set Confidence",IF(AND(K1975="Unknown",W1975&lt;&gt;"Low"),"Unknown must be Low confidence",IF(AND(OR(K1975="Backend",K1975="SAP"),N1975=""),"Add HTTP status + endpoint",IF(AND(OR(K1975="Backend",K1975="SAP",K1975="Network"),P1975=""),"Add Correlation ID",IF(AND(I1975="Fail",T1975=""),"Write Root Cause / evidence gap",IF(AND(I1975="Fail",V1975=""),"Assign team","OK"))))))))</f>
        <v/>
      </c>
    </row>
    <row r="1976">
      <c r="A1976" s="5" t="n"/>
      <c r="B1976" s="5" t="n"/>
      <c r="C1976" s="5" t="n"/>
      <c r="D1976" s="5" t="n"/>
      <c r="E1976" s="5" t="n"/>
      <c r="F1976" s="5" t="n"/>
      <c r="G1976" s="5" t="n"/>
      <c r="H1976" s="5" t="n"/>
      <c r="I1976" s="5" t="n"/>
      <c r="J1976" s="5" t="n"/>
      <c r="K1976" s="5" t="n"/>
      <c r="L1976" s="5" t="n"/>
      <c r="M1976" s="5" t="n"/>
      <c r="N1976" s="5" t="n"/>
      <c r="O1976" s="5" t="n"/>
      <c r="P1976" s="5" t="n"/>
      <c r="Q1976" s="5" t="n"/>
      <c r="R1976" s="5" t="n"/>
      <c r="S1976" s="5" t="n"/>
      <c r="T1976" s="5" t="n"/>
      <c r="U1976" s="5" t="n"/>
      <c r="V1976" s="5" t="n"/>
      <c r="W1976" s="5" t="n"/>
      <c r="X1976" s="5" t="n"/>
      <c r="Y1976" s="5">
        <f>IF(I1976="","",IF(AND(I1976="Fail",K1976=""),"Classify Issue Source",IF(AND(I1976="Fail",W1976=""),"Set Confidence",IF(AND(K1976="Unknown",W1976&lt;&gt;"Low"),"Unknown must be Low confidence",IF(AND(OR(K1976="Backend",K1976="SAP"),N1976=""),"Add HTTP status + endpoint",IF(AND(OR(K1976="Backend",K1976="SAP",K1976="Network"),P1976=""),"Add Correlation ID",IF(AND(I1976="Fail",T1976=""),"Write Root Cause / evidence gap",IF(AND(I1976="Fail",V1976=""),"Assign team","OK"))))))))</f>
        <v/>
      </c>
    </row>
    <row r="1977">
      <c r="A1977" s="5" t="n"/>
      <c r="B1977" s="5" t="n"/>
      <c r="C1977" s="5" t="n"/>
      <c r="D1977" s="5" t="n"/>
      <c r="E1977" s="5" t="n"/>
      <c r="F1977" s="5" t="n"/>
      <c r="G1977" s="5" t="n"/>
      <c r="H1977" s="5" t="n"/>
      <c r="I1977" s="5" t="n"/>
      <c r="J1977" s="5" t="n"/>
      <c r="K1977" s="5" t="n"/>
      <c r="L1977" s="5" t="n"/>
      <c r="M1977" s="5" t="n"/>
      <c r="N1977" s="5" t="n"/>
      <c r="O1977" s="5" t="n"/>
      <c r="P1977" s="5" t="n"/>
      <c r="Q1977" s="5" t="n"/>
      <c r="R1977" s="5" t="n"/>
      <c r="S1977" s="5" t="n"/>
      <c r="T1977" s="5" t="n"/>
      <c r="U1977" s="5" t="n"/>
      <c r="V1977" s="5" t="n"/>
      <c r="W1977" s="5" t="n"/>
      <c r="X1977" s="5" t="n"/>
      <c r="Y1977" s="5">
        <f>IF(I1977="","",IF(AND(I1977="Fail",K1977=""),"Classify Issue Source",IF(AND(I1977="Fail",W1977=""),"Set Confidence",IF(AND(K1977="Unknown",W1977&lt;&gt;"Low"),"Unknown must be Low confidence",IF(AND(OR(K1977="Backend",K1977="SAP"),N1977=""),"Add HTTP status + endpoint",IF(AND(OR(K1977="Backend",K1977="SAP",K1977="Network"),P1977=""),"Add Correlation ID",IF(AND(I1977="Fail",T1977=""),"Write Root Cause / evidence gap",IF(AND(I1977="Fail",V1977=""),"Assign team","OK"))))))))</f>
        <v/>
      </c>
    </row>
    <row r="1978">
      <c r="A1978" s="5" t="n"/>
      <c r="B1978" s="5" t="n"/>
      <c r="C1978" s="5" t="n"/>
      <c r="D1978" s="5" t="n"/>
      <c r="E1978" s="5" t="n"/>
      <c r="F1978" s="5" t="n"/>
      <c r="G1978" s="5" t="n"/>
      <c r="H1978" s="5" t="n"/>
      <c r="I1978" s="5" t="n"/>
      <c r="J1978" s="5" t="n"/>
      <c r="K1978" s="5" t="n"/>
      <c r="L1978" s="5" t="n"/>
      <c r="M1978" s="5" t="n"/>
      <c r="N1978" s="5" t="n"/>
      <c r="O1978" s="5" t="n"/>
      <c r="P1978" s="5" t="n"/>
      <c r="Q1978" s="5" t="n"/>
      <c r="R1978" s="5" t="n"/>
      <c r="S1978" s="5" t="n"/>
      <c r="T1978" s="5" t="n"/>
      <c r="U1978" s="5" t="n"/>
      <c r="V1978" s="5" t="n"/>
      <c r="W1978" s="5" t="n"/>
      <c r="X1978" s="5" t="n"/>
      <c r="Y1978" s="5">
        <f>IF(I1978="","",IF(AND(I1978="Fail",K1978=""),"Classify Issue Source",IF(AND(I1978="Fail",W1978=""),"Set Confidence",IF(AND(K1978="Unknown",W1978&lt;&gt;"Low"),"Unknown must be Low confidence",IF(AND(OR(K1978="Backend",K1978="SAP"),N1978=""),"Add HTTP status + endpoint",IF(AND(OR(K1978="Backend",K1978="SAP",K1978="Network"),P1978=""),"Add Correlation ID",IF(AND(I1978="Fail",T1978=""),"Write Root Cause / evidence gap",IF(AND(I1978="Fail",V1978=""),"Assign team","OK"))))))))</f>
        <v/>
      </c>
    </row>
    <row r="1979">
      <c r="A1979" s="5" t="n"/>
      <c r="B1979" s="5" t="n"/>
      <c r="C1979" s="5" t="n"/>
      <c r="D1979" s="5" t="n"/>
      <c r="E1979" s="5" t="n"/>
      <c r="F1979" s="5" t="n"/>
      <c r="G1979" s="5" t="n"/>
      <c r="H1979" s="5" t="n"/>
      <c r="I1979" s="5" t="n"/>
      <c r="J1979" s="5" t="n"/>
      <c r="K1979" s="5" t="n"/>
      <c r="L1979" s="5" t="n"/>
      <c r="M1979" s="5" t="n"/>
      <c r="N1979" s="5" t="n"/>
      <c r="O1979" s="5" t="n"/>
      <c r="P1979" s="5" t="n"/>
      <c r="Q1979" s="5" t="n"/>
      <c r="R1979" s="5" t="n"/>
      <c r="S1979" s="5" t="n"/>
      <c r="T1979" s="5" t="n"/>
      <c r="U1979" s="5" t="n"/>
      <c r="V1979" s="5" t="n"/>
      <c r="W1979" s="5" t="n"/>
      <c r="X1979" s="5" t="n"/>
      <c r="Y1979" s="5">
        <f>IF(I1979="","",IF(AND(I1979="Fail",K1979=""),"Classify Issue Source",IF(AND(I1979="Fail",W1979=""),"Set Confidence",IF(AND(K1979="Unknown",W1979&lt;&gt;"Low"),"Unknown must be Low confidence",IF(AND(OR(K1979="Backend",K1979="SAP"),N1979=""),"Add HTTP status + endpoint",IF(AND(OR(K1979="Backend",K1979="SAP",K1979="Network"),P1979=""),"Add Correlation ID",IF(AND(I1979="Fail",T1979=""),"Write Root Cause / evidence gap",IF(AND(I1979="Fail",V1979=""),"Assign team","OK"))))))))</f>
        <v/>
      </c>
    </row>
    <row r="1980">
      <c r="A1980" s="5" t="n"/>
      <c r="B1980" s="5" t="n"/>
      <c r="C1980" s="5" t="n"/>
      <c r="D1980" s="5" t="n"/>
      <c r="E1980" s="5" t="n"/>
      <c r="F1980" s="5" t="n"/>
      <c r="G1980" s="5" t="n"/>
      <c r="H1980" s="5" t="n"/>
      <c r="I1980" s="5" t="n"/>
      <c r="J1980" s="5" t="n"/>
      <c r="K1980" s="5" t="n"/>
      <c r="L1980" s="5" t="n"/>
      <c r="M1980" s="5" t="n"/>
      <c r="N1980" s="5" t="n"/>
      <c r="O1980" s="5" t="n"/>
      <c r="P1980" s="5" t="n"/>
      <c r="Q1980" s="5" t="n"/>
      <c r="R1980" s="5" t="n"/>
      <c r="S1980" s="5" t="n"/>
      <c r="T1980" s="5" t="n"/>
      <c r="U1980" s="5" t="n"/>
      <c r="V1980" s="5" t="n"/>
      <c r="W1980" s="5" t="n"/>
      <c r="X1980" s="5" t="n"/>
      <c r="Y1980" s="5">
        <f>IF(I1980="","",IF(AND(I1980="Fail",K1980=""),"Classify Issue Source",IF(AND(I1980="Fail",W1980=""),"Set Confidence",IF(AND(K1980="Unknown",W1980&lt;&gt;"Low"),"Unknown must be Low confidence",IF(AND(OR(K1980="Backend",K1980="SAP"),N1980=""),"Add HTTP status + endpoint",IF(AND(OR(K1980="Backend",K1980="SAP",K1980="Network"),P1980=""),"Add Correlation ID",IF(AND(I1980="Fail",T1980=""),"Write Root Cause / evidence gap",IF(AND(I1980="Fail",V1980=""),"Assign team","OK"))))))))</f>
        <v/>
      </c>
    </row>
    <row r="1981">
      <c r="A1981" s="5" t="n"/>
      <c r="B1981" s="5" t="n"/>
      <c r="C1981" s="5" t="n"/>
      <c r="D1981" s="5" t="n"/>
      <c r="E1981" s="5" t="n"/>
      <c r="F1981" s="5" t="n"/>
      <c r="G1981" s="5" t="n"/>
      <c r="H1981" s="5" t="n"/>
      <c r="I1981" s="5" t="n"/>
      <c r="J1981" s="5" t="n"/>
      <c r="K1981" s="5" t="n"/>
      <c r="L1981" s="5" t="n"/>
      <c r="M1981" s="5" t="n"/>
      <c r="N1981" s="5" t="n"/>
      <c r="O1981" s="5" t="n"/>
      <c r="P1981" s="5" t="n"/>
      <c r="Q1981" s="5" t="n"/>
      <c r="R1981" s="5" t="n"/>
      <c r="S1981" s="5" t="n"/>
      <c r="T1981" s="5" t="n"/>
      <c r="U1981" s="5" t="n"/>
      <c r="V1981" s="5" t="n"/>
      <c r="W1981" s="5" t="n"/>
      <c r="X1981" s="5" t="n"/>
      <c r="Y1981" s="5">
        <f>IF(I1981="","",IF(AND(I1981="Fail",K1981=""),"Classify Issue Source",IF(AND(I1981="Fail",W1981=""),"Set Confidence",IF(AND(K1981="Unknown",W1981&lt;&gt;"Low"),"Unknown must be Low confidence",IF(AND(OR(K1981="Backend",K1981="SAP"),N1981=""),"Add HTTP status + endpoint",IF(AND(OR(K1981="Backend",K1981="SAP",K1981="Network"),P1981=""),"Add Correlation ID",IF(AND(I1981="Fail",T1981=""),"Write Root Cause / evidence gap",IF(AND(I1981="Fail",V1981=""),"Assign team","OK"))))))))</f>
        <v/>
      </c>
    </row>
    <row r="1982">
      <c r="A1982" s="5" t="n"/>
      <c r="B1982" s="5" t="n"/>
      <c r="C1982" s="5" t="n"/>
      <c r="D1982" s="5" t="n"/>
      <c r="E1982" s="5" t="n"/>
      <c r="F1982" s="5" t="n"/>
      <c r="G1982" s="5" t="n"/>
      <c r="H1982" s="5" t="n"/>
      <c r="I1982" s="5" t="n"/>
      <c r="J1982" s="5" t="n"/>
      <c r="K1982" s="5" t="n"/>
      <c r="L1982" s="5" t="n"/>
      <c r="M1982" s="5" t="n"/>
      <c r="N1982" s="5" t="n"/>
      <c r="O1982" s="5" t="n"/>
      <c r="P1982" s="5" t="n"/>
      <c r="Q1982" s="5" t="n"/>
      <c r="R1982" s="5" t="n"/>
      <c r="S1982" s="5" t="n"/>
      <c r="T1982" s="5" t="n"/>
      <c r="U1982" s="5" t="n"/>
      <c r="V1982" s="5" t="n"/>
      <c r="W1982" s="5" t="n"/>
      <c r="X1982" s="5" t="n"/>
      <c r="Y1982" s="5">
        <f>IF(I1982="","",IF(AND(I1982="Fail",K1982=""),"Classify Issue Source",IF(AND(I1982="Fail",W1982=""),"Set Confidence",IF(AND(K1982="Unknown",W1982&lt;&gt;"Low"),"Unknown must be Low confidence",IF(AND(OR(K1982="Backend",K1982="SAP"),N1982=""),"Add HTTP status + endpoint",IF(AND(OR(K1982="Backend",K1982="SAP",K1982="Network"),P1982=""),"Add Correlation ID",IF(AND(I1982="Fail",T1982=""),"Write Root Cause / evidence gap",IF(AND(I1982="Fail",V1982=""),"Assign team","OK"))))))))</f>
        <v/>
      </c>
    </row>
    <row r="1983">
      <c r="A1983" s="5" t="n"/>
      <c r="B1983" s="5" t="n"/>
      <c r="C1983" s="5" t="n"/>
      <c r="D1983" s="5" t="n"/>
      <c r="E1983" s="5" t="n"/>
      <c r="F1983" s="5" t="n"/>
      <c r="G1983" s="5" t="n"/>
      <c r="H1983" s="5" t="n"/>
      <c r="I1983" s="5" t="n"/>
      <c r="J1983" s="5" t="n"/>
      <c r="K1983" s="5" t="n"/>
      <c r="L1983" s="5" t="n"/>
      <c r="M1983" s="5" t="n"/>
      <c r="N1983" s="5" t="n"/>
      <c r="O1983" s="5" t="n"/>
      <c r="P1983" s="5" t="n"/>
      <c r="Q1983" s="5" t="n"/>
      <c r="R1983" s="5" t="n"/>
      <c r="S1983" s="5" t="n"/>
      <c r="T1983" s="5" t="n"/>
      <c r="U1983" s="5" t="n"/>
      <c r="V1983" s="5" t="n"/>
      <c r="W1983" s="5" t="n"/>
      <c r="X1983" s="5" t="n"/>
      <c r="Y1983" s="5">
        <f>IF(I1983="","",IF(AND(I1983="Fail",K1983=""),"Classify Issue Source",IF(AND(I1983="Fail",W1983=""),"Set Confidence",IF(AND(K1983="Unknown",W1983&lt;&gt;"Low"),"Unknown must be Low confidence",IF(AND(OR(K1983="Backend",K1983="SAP"),N1983=""),"Add HTTP status + endpoint",IF(AND(OR(K1983="Backend",K1983="SAP",K1983="Network"),P1983=""),"Add Correlation ID",IF(AND(I1983="Fail",T1983=""),"Write Root Cause / evidence gap",IF(AND(I1983="Fail",V1983=""),"Assign team","OK"))))))))</f>
        <v/>
      </c>
    </row>
    <row r="1984">
      <c r="A1984" s="5" t="n"/>
      <c r="B1984" s="5" t="n"/>
      <c r="C1984" s="5" t="n"/>
      <c r="D1984" s="5" t="n"/>
      <c r="E1984" s="5" t="n"/>
      <c r="F1984" s="5" t="n"/>
      <c r="G1984" s="5" t="n"/>
      <c r="H1984" s="5" t="n"/>
      <c r="I1984" s="5" t="n"/>
      <c r="J1984" s="5" t="n"/>
      <c r="K1984" s="5" t="n"/>
      <c r="L1984" s="5" t="n"/>
      <c r="M1984" s="5" t="n"/>
      <c r="N1984" s="5" t="n"/>
      <c r="O1984" s="5" t="n"/>
      <c r="P1984" s="5" t="n"/>
      <c r="Q1984" s="5" t="n"/>
      <c r="R1984" s="5" t="n"/>
      <c r="S1984" s="5" t="n"/>
      <c r="T1984" s="5" t="n"/>
      <c r="U1984" s="5" t="n"/>
      <c r="V1984" s="5" t="n"/>
      <c r="W1984" s="5" t="n"/>
      <c r="X1984" s="5" t="n"/>
      <c r="Y1984" s="5">
        <f>IF(I1984="","",IF(AND(I1984="Fail",K1984=""),"Classify Issue Source",IF(AND(I1984="Fail",W1984=""),"Set Confidence",IF(AND(K1984="Unknown",W1984&lt;&gt;"Low"),"Unknown must be Low confidence",IF(AND(OR(K1984="Backend",K1984="SAP"),N1984=""),"Add HTTP status + endpoint",IF(AND(OR(K1984="Backend",K1984="SAP",K1984="Network"),P1984=""),"Add Correlation ID",IF(AND(I1984="Fail",T1984=""),"Write Root Cause / evidence gap",IF(AND(I1984="Fail",V1984=""),"Assign team","OK"))))))))</f>
        <v/>
      </c>
    </row>
    <row r="1985">
      <c r="A1985" s="5" t="n"/>
      <c r="B1985" s="5" t="n"/>
      <c r="C1985" s="5" t="n"/>
      <c r="D1985" s="5" t="n"/>
      <c r="E1985" s="5" t="n"/>
      <c r="F1985" s="5" t="n"/>
      <c r="G1985" s="5" t="n"/>
      <c r="H1985" s="5" t="n"/>
      <c r="I1985" s="5" t="n"/>
      <c r="J1985" s="5" t="n"/>
      <c r="K1985" s="5" t="n"/>
      <c r="L1985" s="5" t="n"/>
      <c r="M1985" s="5" t="n"/>
      <c r="N1985" s="5" t="n"/>
      <c r="O1985" s="5" t="n"/>
      <c r="P1985" s="5" t="n"/>
      <c r="Q1985" s="5" t="n"/>
      <c r="R1985" s="5" t="n"/>
      <c r="S1985" s="5" t="n"/>
      <c r="T1985" s="5" t="n"/>
      <c r="U1985" s="5" t="n"/>
      <c r="V1985" s="5" t="n"/>
      <c r="W1985" s="5" t="n"/>
      <c r="X1985" s="5" t="n"/>
      <c r="Y1985" s="5">
        <f>IF(I1985="","",IF(AND(I1985="Fail",K1985=""),"Classify Issue Source",IF(AND(I1985="Fail",W1985=""),"Set Confidence",IF(AND(K1985="Unknown",W1985&lt;&gt;"Low"),"Unknown must be Low confidence",IF(AND(OR(K1985="Backend",K1985="SAP"),N1985=""),"Add HTTP status + endpoint",IF(AND(OR(K1985="Backend",K1985="SAP",K1985="Network"),P1985=""),"Add Correlation ID",IF(AND(I1985="Fail",T1985=""),"Write Root Cause / evidence gap",IF(AND(I1985="Fail",V1985=""),"Assign team","OK"))))))))</f>
        <v/>
      </c>
    </row>
    <row r="1986">
      <c r="A1986" s="5" t="n"/>
      <c r="B1986" s="5" t="n"/>
      <c r="C1986" s="5" t="n"/>
      <c r="D1986" s="5" t="n"/>
      <c r="E1986" s="5" t="n"/>
      <c r="F1986" s="5" t="n"/>
      <c r="G1986" s="5" t="n"/>
      <c r="H1986" s="5" t="n"/>
      <c r="I1986" s="5" t="n"/>
      <c r="J1986" s="5" t="n"/>
      <c r="K1986" s="5" t="n"/>
      <c r="L1986" s="5" t="n"/>
      <c r="M1986" s="5" t="n"/>
      <c r="N1986" s="5" t="n"/>
      <c r="O1986" s="5" t="n"/>
      <c r="P1986" s="5" t="n"/>
      <c r="Q1986" s="5" t="n"/>
      <c r="R1986" s="5" t="n"/>
      <c r="S1986" s="5" t="n"/>
      <c r="T1986" s="5" t="n"/>
      <c r="U1986" s="5" t="n"/>
      <c r="V1986" s="5" t="n"/>
      <c r="W1986" s="5" t="n"/>
      <c r="X1986" s="5" t="n"/>
      <c r="Y1986" s="5">
        <f>IF(I1986="","",IF(AND(I1986="Fail",K1986=""),"Classify Issue Source",IF(AND(I1986="Fail",W1986=""),"Set Confidence",IF(AND(K1986="Unknown",W1986&lt;&gt;"Low"),"Unknown must be Low confidence",IF(AND(OR(K1986="Backend",K1986="SAP"),N1986=""),"Add HTTP status + endpoint",IF(AND(OR(K1986="Backend",K1986="SAP",K1986="Network"),P1986=""),"Add Correlation ID",IF(AND(I1986="Fail",T1986=""),"Write Root Cause / evidence gap",IF(AND(I1986="Fail",V1986=""),"Assign team","OK"))))))))</f>
        <v/>
      </c>
    </row>
    <row r="1987">
      <c r="A1987" s="5" t="n"/>
      <c r="B1987" s="5" t="n"/>
      <c r="C1987" s="5" t="n"/>
      <c r="D1987" s="5" t="n"/>
      <c r="E1987" s="5" t="n"/>
      <c r="F1987" s="5" t="n"/>
      <c r="G1987" s="5" t="n"/>
      <c r="H1987" s="5" t="n"/>
      <c r="I1987" s="5" t="n"/>
      <c r="J1987" s="5" t="n"/>
      <c r="K1987" s="5" t="n"/>
      <c r="L1987" s="5" t="n"/>
      <c r="M1987" s="5" t="n"/>
      <c r="N1987" s="5" t="n"/>
      <c r="O1987" s="5" t="n"/>
      <c r="P1987" s="5" t="n"/>
      <c r="Q1987" s="5" t="n"/>
      <c r="R1987" s="5" t="n"/>
      <c r="S1987" s="5" t="n"/>
      <c r="T1987" s="5" t="n"/>
      <c r="U1987" s="5" t="n"/>
      <c r="V1987" s="5" t="n"/>
      <c r="W1987" s="5" t="n"/>
      <c r="X1987" s="5" t="n"/>
      <c r="Y1987" s="5">
        <f>IF(I1987="","",IF(AND(I1987="Fail",K1987=""),"Classify Issue Source",IF(AND(I1987="Fail",W1987=""),"Set Confidence",IF(AND(K1987="Unknown",W1987&lt;&gt;"Low"),"Unknown must be Low confidence",IF(AND(OR(K1987="Backend",K1987="SAP"),N1987=""),"Add HTTP status + endpoint",IF(AND(OR(K1987="Backend",K1987="SAP",K1987="Network"),P1987=""),"Add Correlation ID",IF(AND(I1987="Fail",T1987=""),"Write Root Cause / evidence gap",IF(AND(I1987="Fail",V1987=""),"Assign team","OK"))))))))</f>
        <v/>
      </c>
    </row>
    <row r="1988">
      <c r="A1988" s="5" t="n"/>
      <c r="B1988" s="5" t="n"/>
      <c r="C1988" s="5" t="n"/>
      <c r="D1988" s="5" t="n"/>
      <c r="E1988" s="5" t="n"/>
      <c r="F1988" s="5" t="n"/>
      <c r="G1988" s="5" t="n"/>
      <c r="H1988" s="5" t="n"/>
      <c r="I1988" s="5" t="n"/>
      <c r="J1988" s="5" t="n"/>
      <c r="K1988" s="5" t="n"/>
      <c r="L1988" s="5" t="n"/>
      <c r="M1988" s="5" t="n"/>
      <c r="N1988" s="5" t="n"/>
      <c r="O1988" s="5" t="n"/>
      <c r="P1988" s="5" t="n"/>
      <c r="Q1988" s="5" t="n"/>
      <c r="R1988" s="5" t="n"/>
      <c r="S1988" s="5" t="n"/>
      <c r="T1988" s="5" t="n"/>
      <c r="U1988" s="5" t="n"/>
      <c r="V1988" s="5" t="n"/>
      <c r="W1988" s="5" t="n"/>
      <c r="X1988" s="5" t="n"/>
      <c r="Y1988" s="5">
        <f>IF(I1988="","",IF(AND(I1988="Fail",K1988=""),"Classify Issue Source",IF(AND(I1988="Fail",W1988=""),"Set Confidence",IF(AND(K1988="Unknown",W1988&lt;&gt;"Low"),"Unknown must be Low confidence",IF(AND(OR(K1988="Backend",K1988="SAP"),N1988=""),"Add HTTP status + endpoint",IF(AND(OR(K1988="Backend",K1988="SAP",K1988="Network"),P1988=""),"Add Correlation ID",IF(AND(I1988="Fail",T1988=""),"Write Root Cause / evidence gap",IF(AND(I1988="Fail",V1988=""),"Assign team","OK"))))))))</f>
        <v/>
      </c>
    </row>
    <row r="1989">
      <c r="A1989" s="5" t="n"/>
      <c r="B1989" s="5" t="n"/>
      <c r="C1989" s="5" t="n"/>
      <c r="D1989" s="5" t="n"/>
      <c r="E1989" s="5" t="n"/>
      <c r="F1989" s="5" t="n"/>
      <c r="G1989" s="5" t="n"/>
      <c r="H1989" s="5" t="n"/>
      <c r="I1989" s="5" t="n"/>
      <c r="J1989" s="5" t="n"/>
      <c r="K1989" s="5" t="n"/>
      <c r="L1989" s="5" t="n"/>
      <c r="M1989" s="5" t="n"/>
      <c r="N1989" s="5" t="n"/>
      <c r="O1989" s="5" t="n"/>
      <c r="P1989" s="5" t="n"/>
      <c r="Q1989" s="5" t="n"/>
      <c r="R1989" s="5" t="n"/>
      <c r="S1989" s="5" t="n"/>
      <c r="T1989" s="5" t="n"/>
      <c r="U1989" s="5" t="n"/>
      <c r="V1989" s="5" t="n"/>
      <c r="W1989" s="5" t="n"/>
      <c r="X1989" s="5" t="n"/>
      <c r="Y1989" s="5">
        <f>IF(I1989="","",IF(AND(I1989="Fail",K1989=""),"Classify Issue Source",IF(AND(I1989="Fail",W1989=""),"Set Confidence",IF(AND(K1989="Unknown",W1989&lt;&gt;"Low"),"Unknown must be Low confidence",IF(AND(OR(K1989="Backend",K1989="SAP"),N1989=""),"Add HTTP status + endpoint",IF(AND(OR(K1989="Backend",K1989="SAP",K1989="Network"),P1989=""),"Add Correlation ID",IF(AND(I1989="Fail",T1989=""),"Write Root Cause / evidence gap",IF(AND(I1989="Fail",V1989=""),"Assign team","OK"))))))))</f>
        <v/>
      </c>
    </row>
    <row r="1990">
      <c r="A1990" s="5" t="n"/>
      <c r="B1990" s="5" t="n"/>
      <c r="C1990" s="5" t="n"/>
      <c r="D1990" s="5" t="n"/>
      <c r="E1990" s="5" t="n"/>
      <c r="F1990" s="5" t="n"/>
      <c r="G1990" s="5" t="n"/>
      <c r="H1990" s="5" t="n"/>
      <c r="I1990" s="5" t="n"/>
      <c r="J1990" s="5" t="n"/>
      <c r="K1990" s="5" t="n"/>
      <c r="L1990" s="5" t="n"/>
      <c r="M1990" s="5" t="n"/>
      <c r="N1990" s="5" t="n"/>
      <c r="O1990" s="5" t="n"/>
      <c r="P1990" s="5" t="n"/>
      <c r="Q1990" s="5" t="n"/>
      <c r="R1990" s="5" t="n"/>
      <c r="S1990" s="5" t="n"/>
      <c r="T1990" s="5" t="n"/>
      <c r="U1990" s="5" t="n"/>
      <c r="V1990" s="5" t="n"/>
      <c r="W1990" s="5" t="n"/>
      <c r="X1990" s="5" t="n"/>
      <c r="Y1990" s="5">
        <f>IF(I1990="","",IF(AND(I1990="Fail",K1990=""),"Classify Issue Source",IF(AND(I1990="Fail",W1990=""),"Set Confidence",IF(AND(K1990="Unknown",W1990&lt;&gt;"Low"),"Unknown must be Low confidence",IF(AND(OR(K1990="Backend",K1990="SAP"),N1990=""),"Add HTTP status + endpoint",IF(AND(OR(K1990="Backend",K1990="SAP",K1990="Network"),P1990=""),"Add Correlation ID",IF(AND(I1990="Fail",T1990=""),"Write Root Cause / evidence gap",IF(AND(I1990="Fail",V1990=""),"Assign team","OK"))))))))</f>
        <v/>
      </c>
    </row>
    <row r="1991">
      <c r="A1991" s="5" t="n"/>
      <c r="B1991" s="5" t="n"/>
      <c r="C1991" s="5" t="n"/>
      <c r="D1991" s="5" t="n"/>
      <c r="E1991" s="5" t="n"/>
      <c r="F1991" s="5" t="n"/>
      <c r="G1991" s="5" t="n"/>
      <c r="H1991" s="5" t="n"/>
      <c r="I1991" s="5" t="n"/>
      <c r="J1991" s="5" t="n"/>
      <c r="K1991" s="5" t="n"/>
      <c r="L1991" s="5" t="n"/>
      <c r="M1991" s="5" t="n"/>
      <c r="N1991" s="5" t="n"/>
      <c r="O1991" s="5" t="n"/>
      <c r="P1991" s="5" t="n"/>
      <c r="Q1991" s="5" t="n"/>
      <c r="R1991" s="5" t="n"/>
      <c r="S1991" s="5" t="n"/>
      <c r="T1991" s="5" t="n"/>
      <c r="U1991" s="5" t="n"/>
      <c r="V1991" s="5" t="n"/>
      <c r="W1991" s="5" t="n"/>
      <c r="X1991" s="5" t="n"/>
      <c r="Y1991" s="5">
        <f>IF(I1991="","",IF(AND(I1991="Fail",K1991=""),"Classify Issue Source",IF(AND(I1991="Fail",W1991=""),"Set Confidence",IF(AND(K1991="Unknown",W1991&lt;&gt;"Low"),"Unknown must be Low confidence",IF(AND(OR(K1991="Backend",K1991="SAP"),N1991=""),"Add HTTP status + endpoint",IF(AND(OR(K1991="Backend",K1991="SAP",K1991="Network"),P1991=""),"Add Correlation ID",IF(AND(I1991="Fail",T1991=""),"Write Root Cause / evidence gap",IF(AND(I1991="Fail",V1991=""),"Assign team","OK"))))))))</f>
        <v/>
      </c>
    </row>
    <row r="1992">
      <c r="A1992" s="5" t="n"/>
      <c r="B1992" s="5" t="n"/>
      <c r="C1992" s="5" t="n"/>
      <c r="D1992" s="5" t="n"/>
      <c r="E1992" s="5" t="n"/>
      <c r="F1992" s="5" t="n"/>
      <c r="G1992" s="5" t="n"/>
      <c r="H1992" s="5" t="n"/>
      <c r="I1992" s="5" t="n"/>
      <c r="J1992" s="5" t="n"/>
      <c r="K1992" s="5" t="n"/>
      <c r="L1992" s="5" t="n"/>
      <c r="M1992" s="5" t="n"/>
      <c r="N1992" s="5" t="n"/>
      <c r="O1992" s="5" t="n"/>
      <c r="P1992" s="5" t="n"/>
      <c r="Q1992" s="5" t="n"/>
      <c r="R1992" s="5" t="n"/>
      <c r="S1992" s="5" t="n"/>
      <c r="T1992" s="5" t="n"/>
      <c r="U1992" s="5" t="n"/>
      <c r="V1992" s="5" t="n"/>
      <c r="W1992" s="5" t="n"/>
      <c r="X1992" s="5" t="n"/>
      <c r="Y1992" s="5">
        <f>IF(I1992="","",IF(AND(I1992="Fail",K1992=""),"Classify Issue Source",IF(AND(I1992="Fail",W1992=""),"Set Confidence",IF(AND(K1992="Unknown",W1992&lt;&gt;"Low"),"Unknown must be Low confidence",IF(AND(OR(K1992="Backend",K1992="SAP"),N1992=""),"Add HTTP status + endpoint",IF(AND(OR(K1992="Backend",K1992="SAP",K1992="Network"),P1992=""),"Add Correlation ID",IF(AND(I1992="Fail",T1992=""),"Write Root Cause / evidence gap",IF(AND(I1992="Fail",V1992=""),"Assign team","OK"))))))))</f>
        <v/>
      </c>
    </row>
    <row r="1993">
      <c r="A1993" s="5" t="n"/>
      <c r="B1993" s="5" t="n"/>
      <c r="C1993" s="5" t="n"/>
      <c r="D1993" s="5" t="n"/>
      <c r="E1993" s="5" t="n"/>
      <c r="F1993" s="5" t="n"/>
      <c r="G1993" s="5" t="n"/>
      <c r="H1993" s="5" t="n"/>
      <c r="I1993" s="5" t="n"/>
      <c r="J1993" s="5" t="n"/>
      <c r="K1993" s="5" t="n"/>
      <c r="L1993" s="5" t="n"/>
      <c r="M1993" s="5" t="n"/>
      <c r="N1993" s="5" t="n"/>
      <c r="O1993" s="5" t="n"/>
      <c r="P1993" s="5" t="n"/>
      <c r="Q1993" s="5" t="n"/>
      <c r="R1993" s="5" t="n"/>
      <c r="S1993" s="5" t="n"/>
      <c r="T1993" s="5" t="n"/>
      <c r="U1993" s="5" t="n"/>
      <c r="V1993" s="5" t="n"/>
      <c r="W1993" s="5" t="n"/>
      <c r="X1993" s="5" t="n"/>
      <c r="Y1993" s="5">
        <f>IF(I1993="","",IF(AND(I1993="Fail",K1993=""),"Classify Issue Source",IF(AND(I1993="Fail",W1993=""),"Set Confidence",IF(AND(K1993="Unknown",W1993&lt;&gt;"Low"),"Unknown must be Low confidence",IF(AND(OR(K1993="Backend",K1993="SAP"),N1993=""),"Add HTTP status + endpoint",IF(AND(OR(K1993="Backend",K1993="SAP",K1993="Network"),P1993=""),"Add Correlation ID",IF(AND(I1993="Fail",T1993=""),"Write Root Cause / evidence gap",IF(AND(I1993="Fail",V1993=""),"Assign team","OK"))))))))</f>
        <v/>
      </c>
    </row>
    <row r="1994">
      <c r="A1994" s="5" t="n"/>
      <c r="B1994" s="5" t="n"/>
      <c r="C1994" s="5" t="n"/>
      <c r="D1994" s="5" t="n"/>
      <c r="E1994" s="5" t="n"/>
      <c r="F1994" s="5" t="n"/>
      <c r="G1994" s="5" t="n"/>
      <c r="H1994" s="5" t="n"/>
      <c r="I1994" s="5" t="n"/>
      <c r="J1994" s="5" t="n"/>
      <c r="K1994" s="5" t="n"/>
      <c r="L1994" s="5" t="n"/>
      <c r="M1994" s="5" t="n"/>
      <c r="N1994" s="5" t="n"/>
      <c r="O1994" s="5" t="n"/>
      <c r="P1994" s="5" t="n"/>
      <c r="Q1994" s="5" t="n"/>
      <c r="R1994" s="5" t="n"/>
      <c r="S1994" s="5" t="n"/>
      <c r="T1994" s="5" t="n"/>
      <c r="U1994" s="5" t="n"/>
      <c r="V1994" s="5" t="n"/>
      <c r="W1994" s="5" t="n"/>
      <c r="X1994" s="5" t="n"/>
      <c r="Y1994" s="5">
        <f>IF(I1994="","",IF(AND(I1994="Fail",K1994=""),"Classify Issue Source",IF(AND(I1994="Fail",W1994=""),"Set Confidence",IF(AND(K1994="Unknown",W1994&lt;&gt;"Low"),"Unknown must be Low confidence",IF(AND(OR(K1994="Backend",K1994="SAP"),N1994=""),"Add HTTP status + endpoint",IF(AND(OR(K1994="Backend",K1994="SAP",K1994="Network"),P1994=""),"Add Correlation ID",IF(AND(I1994="Fail",T1994=""),"Write Root Cause / evidence gap",IF(AND(I1994="Fail",V1994=""),"Assign team","OK"))))))))</f>
        <v/>
      </c>
    </row>
    <row r="1995">
      <c r="A1995" s="5" t="n"/>
      <c r="B1995" s="5" t="n"/>
      <c r="C1995" s="5" t="n"/>
      <c r="D1995" s="5" t="n"/>
      <c r="E1995" s="5" t="n"/>
      <c r="F1995" s="5" t="n"/>
      <c r="G1995" s="5" t="n"/>
      <c r="H1995" s="5" t="n"/>
      <c r="I1995" s="5" t="n"/>
      <c r="J1995" s="5" t="n"/>
      <c r="K1995" s="5" t="n"/>
      <c r="L1995" s="5" t="n"/>
      <c r="M1995" s="5" t="n"/>
      <c r="N1995" s="5" t="n"/>
      <c r="O1995" s="5" t="n"/>
      <c r="P1995" s="5" t="n"/>
      <c r="Q1995" s="5" t="n"/>
      <c r="R1995" s="5" t="n"/>
      <c r="S1995" s="5" t="n"/>
      <c r="T1995" s="5" t="n"/>
      <c r="U1995" s="5" t="n"/>
      <c r="V1995" s="5" t="n"/>
      <c r="W1995" s="5" t="n"/>
      <c r="X1995" s="5" t="n"/>
      <c r="Y1995" s="5">
        <f>IF(I1995="","",IF(AND(I1995="Fail",K1995=""),"Classify Issue Source",IF(AND(I1995="Fail",W1995=""),"Set Confidence",IF(AND(K1995="Unknown",W1995&lt;&gt;"Low"),"Unknown must be Low confidence",IF(AND(OR(K1995="Backend",K1995="SAP"),N1995=""),"Add HTTP status + endpoint",IF(AND(OR(K1995="Backend",K1995="SAP",K1995="Network"),P1995=""),"Add Correlation ID",IF(AND(I1995="Fail",T1995=""),"Write Root Cause / evidence gap",IF(AND(I1995="Fail",V1995=""),"Assign team","OK"))))))))</f>
        <v/>
      </c>
    </row>
    <row r="1996">
      <c r="A1996" s="5" t="n"/>
      <c r="B1996" s="5" t="n"/>
      <c r="C1996" s="5" t="n"/>
      <c r="D1996" s="5" t="n"/>
      <c r="E1996" s="5" t="n"/>
      <c r="F1996" s="5" t="n"/>
      <c r="G1996" s="5" t="n"/>
      <c r="H1996" s="5" t="n"/>
      <c r="I1996" s="5" t="n"/>
      <c r="J1996" s="5" t="n"/>
      <c r="K1996" s="5" t="n"/>
      <c r="L1996" s="5" t="n"/>
      <c r="M1996" s="5" t="n"/>
      <c r="N1996" s="5" t="n"/>
      <c r="O1996" s="5" t="n"/>
      <c r="P1996" s="5" t="n"/>
      <c r="Q1996" s="5" t="n"/>
      <c r="R1996" s="5" t="n"/>
      <c r="S1996" s="5" t="n"/>
      <c r="T1996" s="5" t="n"/>
      <c r="U1996" s="5" t="n"/>
      <c r="V1996" s="5" t="n"/>
      <c r="W1996" s="5" t="n"/>
      <c r="X1996" s="5" t="n"/>
      <c r="Y1996" s="5">
        <f>IF(I1996="","",IF(AND(I1996="Fail",K1996=""),"Classify Issue Source",IF(AND(I1996="Fail",W1996=""),"Set Confidence",IF(AND(K1996="Unknown",W1996&lt;&gt;"Low"),"Unknown must be Low confidence",IF(AND(OR(K1996="Backend",K1996="SAP"),N1996=""),"Add HTTP status + endpoint",IF(AND(OR(K1996="Backend",K1996="SAP",K1996="Network"),P1996=""),"Add Correlation ID",IF(AND(I1996="Fail",T1996=""),"Write Root Cause / evidence gap",IF(AND(I1996="Fail",V1996=""),"Assign team","OK"))))))))</f>
        <v/>
      </c>
    </row>
    <row r="1997">
      <c r="A1997" s="5" t="n"/>
      <c r="B1997" s="5" t="n"/>
      <c r="C1997" s="5" t="n"/>
      <c r="D1997" s="5" t="n"/>
      <c r="E1997" s="5" t="n"/>
      <c r="F1997" s="5" t="n"/>
      <c r="G1997" s="5" t="n"/>
      <c r="H1997" s="5" t="n"/>
      <c r="I1997" s="5" t="n"/>
      <c r="J1997" s="5" t="n"/>
      <c r="K1997" s="5" t="n"/>
      <c r="L1997" s="5" t="n"/>
      <c r="M1997" s="5" t="n"/>
      <c r="N1997" s="5" t="n"/>
      <c r="O1997" s="5" t="n"/>
      <c r="P1997" s="5" t="n"/>
      <c r="Q1997" s="5" t="n"/>
      <c r="R1997" s="5" t="n"/>
      <c r="S1997" s="5" t="n"/>
      <c r="T1997" s="5" t="n"/>
      <c r="U1997" s="5" t="n"/>
      <c r="V1997" s="5" t="n"/>
      <c r="W1997" s="5" t="n"/>
      <c r="X1997" s="5" t="n"/>
      <c r="Y1997" s="5">
        <f>IF(I1997="","",IF(AND(I1997="Fail",K1997=""),"Classify Issue Source",IF(AND(I1997="Fail",W1997=""),"Set Confidence",IF(AND(K1997="Unknown",W1997&lt;&gt;"Low"),"Unknown must be Low confidence",IF(AND(OR(K1997="Backend",K1997="SAP"),N1997=""),"Add HTTP status + endpoint",IF(AND(OR(K1997="Backend",K1997="SAP",K1997="Network"),P1997=""),"Add Correlation ID",IF(AND(I1997="Fail",T1997=""),"Write Root Cause / evidence gap",IF(AND(I1997="Fail",V1997=""),"Assign team","OK"))))))))</f>
        <v/>
      </c>
    </row>
    <row r="1998">
      <c r="A1998" s="5" t="n"/>
      <c r="B1998" s="5" t="n"/>
      <c r="C1998" s="5" t="n"/>
      <c r="D1998" s="5" t="n"/>
      <c r="E1998" s="5" t="n"/>
      <c r="F1998" s="5" t="n"/>
      <c r="G1998" s="5" t="n"/>
      <c r="H1998" s="5" t="n"/>
      <c r="I1998" s="5" t="n"/>
      <c r="J1998" s="5" t="n"/>
      <c r="K1998" s="5" t="n"/>
      <c r="L1998" s="5" t="n"/>
      <c r="M1998" s="5" t="n"/>
      <c r="N1998" s="5" t="n"/>
      <c r="O1998" s="5" t="n"/>
      <c r="P1998" s="5" t="n"/>
      <c r="Q1998" s="5" t="n"/>
      <c r="R1998" s="5" t="n"/>
      <c r="S1998" s="5" t="n"/>
      <c r="T1998" s="5" t="n"/>
      <c r="U1998" s="5" t="n"/>
      <c r="V1998" s="5" t="n"/>
      <c r="W1998" s="5" t="n"/>
      <c r="X1998" s="5" t="n"/>
      <c r="Y1998" s="5">
        <f>IF(I1998="","",IF(AND(I1998="Fail",K1998=""),"Classify Issue Source",IF(AND(I1998="Fail",W1998=""),"Set Confidence",IF(AND(K1998="Unknown",W1998&lt;&gt;"Low"),"Unknown must be Low confidence",IF(AND(OR(K1998="Backend",K1998="SAP"),N1998=""),"Add HTTP status + endpoint",IF(AND(OR(K1998="Backend",K1998="SAP",K1998="Network"),P1998=""),"Add Correlation ID",IF(AND(I1998="Fail",T1998=""),"Write Root Cause / evidence gap",IF(AND(I1998="Fail",V1998=""),"Assign team","OK"))))))))</f>
        <v/>
      </c>
    </row>
    <row r="1999">
      <c r="A1999" s="5" t="n"/>
      <c r="B1999" s="5" t="n"/>
      <c r="C1999" s="5" t="n"/>
      <c r="D1999" s="5" t="n"/>
      <c r="E1999" s="5" t="n"/>
      <c r="F1999" s="5" t="n"/>
      <c r="G1999" s="5" t="n"/>
      <c r="H1999" s="5" t="n"/>
      <c r="I1999" s="5" t="n"/>
      <c r="J1999" s="5" t="n"/>
      <c r="K1999" s="5" t="n"/>
      <c r="L1999" s="5" t="n"/>
      <c r="M1999" s="5" t="n"/>
      <c r="N1999" s="5" t="n"/>
      <c r="O1999" s="5" t="n"/>
      <c r="P1999" s="5" t="n"/>
      <c r="Q1999" s="5" t="n"/>
      <c r="R1999" s="5" t="n"/>
      <c r="S1999" s="5" t="n"/>
      <c r="T1999" s="5" t="n"/>
      <c r="U1999" s="5" t="n"/>
      <c r="V1999" s="5" t="n"/>
      <c r="W1999" s="5" t="n"/>
      <c r="X1999" s="5" t="n"/>
      <c r="Y1999" s="5">
        <f>IF(I1999="","",IF(AND(I1999="Fail",K1999=""),"Classify Issue Source",IF(AND(I1999="Fail",W1999=""),"Set Confidence",IF(AND(K1999="Unknown",W1999&lt;&gt;"Low"),"Unknown must be Low confidence",IF(AND(OR(K1999="Backend",K1999="SAP"),N1999=""),"Add HTTP status + endpoint",IF(AND(OR(K1999="Backend",K1999="SAP",K1999="Network"),P1999=""),"Add Correlation ID",IF(AND(I1999="Fail",T1999=""),"Write Root Cause / evidence gap",IF(AND(I1999="Fail",V1999=""),"Assign team","OK"))))))))</f>
        <v/>
      </c>
    </row>
    <row r="2000">
      <c r="A2000" s="5" t="n"/>
      <c r="B2000" s="5" t="n"/>
      <c r="C2000" s="5" t="n"/>
      <c r="D2000" s="5" t="n"/>
      <c r="E2000" s="5" t="n"/>
      <c r="F2000" s="5" t="n"/>
      <c r="G2000" s="5" t="n"/>
      <c r="H2000" s="5" t="n"/>
      <c r="I2000" s="5" t="n"/>
      <c r="J2000" s="5" t="n"/>
      <c r="K2000" s="5" t="n"/>
      <c r="L2000" s="5" t="n"/>
      <c r="M2000" s="5" t="n"/>
      <c r="N2000" s="5" t="n"/>
      <c r="O2000" s="5" t="n"/>
      <c r="P2000" s="5" t="n"/>
      <c r="Q2000" s="5" t="n"/>
      <c r="R2000" s="5" t="n"/>
      <c r="S2000" s="5" t="n"/>
      <c r="T2000" s="5" t="n"/>
      <c r="U2000" s="5" t="n"/>
      <c r="V2000" s="5" t="n"/>
      <c r="W2000" s="5" t="n"/>
      <c r="X2000" s="5" t="n"/>
      <c r="Y2000" s="5">
        <f>IF(I2000="","",IF(AND(I2000="Fail",K2000=""),"Classify Issue Source",IF(AND(I2000="Fail",W2000=""),"Set Confidence",IF(AND(K2000="Unknown",W2000&lt;&gt;"Low"),"Unknown must be Low confidence",IF(AND(OR(K2000="Backend",K2000="SAP"),N2000=""),"Add HTTP status + endpoint",IF(AND(OR(K2000="Backend",K2000="SAP",K2000="Network"),P2000=""),"Add Correlation ID",IF(AND(I2000="Fail",T2000=""),"Write Root Cause / evidence gap",IF(AND(I2000="Fail",V2000=""),"Assign team","OK"))))))))</f>
        <v/>
      </c>
    </row>
  </sheetData>
  <autoFilter ref="A1:Y2000"/>
  <conditionalFormatting sqref="I2:I2000">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conditionalFormatting sqref="Y2:Y2000">
    <cfRule type="expression" priority="5" dxfId="2">
      <formula>AND(Y2&lt;&gt;"",Y2&lt;&gt;"OK")</formula>
    </cfRule>
    <cfRule type="cellIs" priority="6" operator="equal" dxfId="0">
      <formula>"OK"</formula>
    </cfRule>
  </conditionalFormatting>
  <dataValidations count="7">
    <dataValidation sqref="I2:I2000" showDropDown="0" showInputMessage="0" showErrorMessage="0" allowBlank="1" errorTitle="Test Result" error="Pick a value from the Test Result list." type="list">
      <formula1>=Dropdowns!$A$2:$A$6</formula1>
    </dataValidation>
    <dataValidation sqref="J2:J2000" showDropDown="0" showInputMessage="0" showErrorMessage="0" allowBlank="1" errorTitle="Issue Detected" error="Pick a value from the Issue Detected list." type="list">
      <formula1>=Dropdowns!$B$2:$B$3</formula1>
    </dataValidation>
    <dataValidation sqref="K2:K2000" showDropDown="0" showInputMessage="0" showErrorMessage="0" allowBlank="1" errorTitle="Issue Source" error="Pick a value from the Issue Source list." type="list">
      <formula1>=Dropdowns!$C$2:$C$10</formula1>
    </dataValidation>
    <dataValidation sqref="L2:L2000" showDropDown="0" showInputMessage="0" showErrorMessage="0" allowBlank="1" errorTitle="Issue Type" error="Pick a value from the Issue Type list." type="list">
      <formula1>=Dropdowns!$D$2:$D$8</formula1>
    </dataValidation>
    <dataValidation sqref="V2:V2000" showDropDown="0" showInputMessage="0" showErrorMessage="0" allowBlank="1" errorTitle="Assigned Team" error="Pick a value from the Assigned Team list." type="list">
      <formula1>=Dropdowns!$E$2:$E$6</formula1>
    </dataValidation>
    <dataValidation sqref="W2:W2000" showDropDown="0" showInputMessage="0" showErrorMessage="0" allowBlank="1" errorTitle="Confidence" error="Pick a value from the Confidence list." type="list">
      <formula1>=Dropdowns!$F$2:$F$4</formula1>
    </dataValidation>
    <dataValidation sqref="E2:E2000" showDropDown="0" showInputMessage="0" showErrorMessage="0" allowBlank="1" errorTitle="Environment" error="Pick a value from the Environment list." type="list">
      <formula1>=Dropdowns!$K$2:$K$5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4" customWidth="1" min="2" max="2"/>
    <col width="40" customWidth="1" min="3" max="3"/>
    <col width="13" customWidth="1" min="4" max="4"/>
    <col width="12" customWidth="1" min="5" max="5"/>
    <col width="10" customWidth="1" min="6" max="6"/>
    <col width="12" customWidth="1" min="7" max="7"/>
    <col width="14" customWidth="1" min="8" max="8"/>
    <col width="22" customWidth="1" min="9" max="9"/>
    <col width="40" customWidth="1" min="10" max="10"/>
    <col width="48" customWidth="1" min="11" max="11"/>
    <col width="12" customWidth="1" min="12" max="12"/>
    <col width="14" customWidth="1" min="13" max="13"/>
  </cols>
  <sheetData>
    <row r="1" ht="32" customHeight="1">
      <c r="A1" s="4" t="inlineStr">
        <is>
          <t>Bug ID</t>
        </is>
      </c>
      <c r="B1" s="4" t="inlineStr">
        <is>
          <t>TC ID</t>
        </is>
      </c>
      <c r="C1" s="4" t="inlineStr">
        <is>
          <t>Title</t>
        </is>
      </c>
      <c r="D1" s="4" t="inlineStr">
        <is>
          <t>Issue Source</t>
        </is>
      </c>
      <c r="E1" s="4" t="inlineStr">
        <is>
          <t>Issue Type</t>
        </is>
      </c>
      <c r="F1" s="4" t="inlineStr">
        <is>
          <t>Severity</t>
        </is>
      </c>
      <c r="G1" s="4" t="inlineStr">
        <is>
          <t>Assigned Team</t>
        </is>
      </c>
      <c r="H1" s="4" t="inlineStr">
        <is>
          <t>Status</t>
        </is>
      </c>
      <c r="I1" s="4" t="inlineStr">
        <is>
          <t>Correlation ID</t>
        </is>
      </c>
      <c r="J1" s="4" t="inlineStr">
        <is>
          <t>Evidence</t>
        </is>
      </c>
      <c r="K1" s="4" t="inlineStr">
        <is>
          <t>Root Cause</t>
        </is>
      </c>
      <c r="L1" s="4" t="inlineStr">
        <is>
          <t>Raised On</t>
        </is>
      </c>
      <c r="M1" s="4" t="inlineStr">
        <is>
          <t>Regression TC</t>
        </is>
      </c>
    </row>
  </sheetData>
  <autoFilter ref="A1:M1"/>
  <dataValidations count="5">
    <dataValidation sqref="D2:D2000" showDropDown="0" showInputMessage="0" showErrorMessage="0" allowBlank="1" errorTitle="Issue Source" error="Pick a value from the Issue Source list." type="list">
      <formula1>=Dropdowns!$C$2:$C$10</formula1>
    </dataValidation>
    <dataValidation sqref="E2:E2000" showDropDown="0" showInputMessage="0" showErrorMessage="0" allowBlank="1" errorTitle="Issue Type" error="Pick a value from the Issue Type list." type="list">
      <formula1>=Dropdowns!$D$2:$D$8</formula1>
    </dataValidation>
    <dataValidation sqref="F2:F2000" showDropDown="0" showInputMessage="0" showErrorMessage="0" allowBlank="1" errorTitle="Severity" error="Pick a value from the Severity list." type="list">
      <formula1>=Dropdowns!$M$2:$M$5</formula1>
    </dataValidation>
    <dataValidation sqref="G2:G2000" showDropDown="0" showInputMessage="0" showErrorMessage="0" allowBlank="1" errorTitle="Assigned Team" error="Pick a value from the Assigned Team list." type="list">
      <formula1>=Dropdowns!$E$2:$E$6</formula1>
    </dataValidation>
    <dataValidation sqref="H2:H2000" showDropDown="0" showInputMessage="0" showErrorMessage="0" allowBlank="1" errorTitle="Bug Status" error="Pick a value from the Bug Status list." type="list">
      <formula1>=Dropdowns!$L$2:$L$8</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min="1" max="1"/>
    <col width="52" customWidth="1" min="2" max="2"/>
    <col width="13" customWidth="1" min="3" max="3"/>
    <col width="13" customWidth="1" min="4" max="4"/>
    <col width="12" customWidth="1" min="5" max="5"/>
    <col width="52" customWidth="1" min="6" max="6"/>
  </cols>
  <sheetData>
    <row r="1" ht="32" customHeight="1">
      <c r="A1" s="4" t="inlineStr">
        <is>
          <t>Evidence Observed</t>
        </is>
      </c>
      <c r="B1" s="4" t="inlineStr">
        <is>
          <t>Where You See It in SteelForce</t>
        </is>
      </c>
      <c r="C1" s="4" t="inlineStr">
        <is>
          <t>Likely Source</t>
        </is>
      </c>
      <c r="D1" s="4" t="inlineStr">
        <is>
          <t>Assigned Team</t>
        </is>
      </c>
      <c r="E1" s="4" t="inlineStr">
        <is>
          <t>Default Confidence</t>
        </is>
      </c>
      <c r="F1" s="4" t="inlineStr">
        <is>
          <t>Confirm Before Closing</t>
        </is>
      </c>
    </row>
    <row r="2">
      <c r="A2" s="5" t="inlineStr">
        <is>
          <t>App says “No internet connection.”</t>
        </is>
      </c>
      <c r="B2" s="5" t="inlineStr">
        <is>
          <t>NetworkFailure. Debug log: api.error dioType=connectionError, status empty — or no api.request at all (repository checked the interface first).</t>
        </is>
      </c>
      <c r="C2" s="5" t="inlineStr">
        <is>
          <t>Network</t>
        </is>
      </c>
      <c r="D2" s="5" t="inlineStr">
        <is>
          <t>QA</t>
        </is>
      </c>
      <c r="E2" s="5" t="inlineStr">
        <is>
          <t>Medium</t>
        </is>
      </c>
      <c r="F2" s="5" t="inlineStr">
        <is>
          <t>Device really offline? Other apps online? If the device is online, re-classify with the next row.</t>
        </is>
      </c>
    </row>
    <row r="3">
      <c r="A3" s="5" t="inlineStr">
        <is>
          <t>App says “Cannot reach the ISI server.”</t>
        </is>
      </c>
      <c r="B3" s="5" t="inlineStr">
        <is>
          <t>ServerUnreachableFailure: device online, gateway did not answer. api.error carries `host` — the host the build actually called.</t>
        </is>
      </c>
      <c r="C3" s="5" t="inlineStr">
        <is>
          <t>Environment</t>
        </is>
      </c>
      <c r="D3" s="5" t="inlineStr">
        <is>
          <t>DevOps</t>
        </is>
      </c>
      <c r="E3" s="5" t="inlineStr">
        <is>
          <t>Medium</t>
        </is>
      </c>
      <c r="F3" s="5" t="inlineStr">
        <is>
          <t>Compare api.error `host` with the UAT host. Wrong host = build made from the wrong .env (Envied is compiled in). Right host = UAT backend/tunnel/VPN down.</t>
        </is>
      </c>
    </row>
    <row r="4">
      <c r="A4" s="5" t="inlineStr">
        <is>
          <t>Request timed out (receiveTimeout / sendTimeout, 20 s receive)</t>
        </is>
      </c>
      <c r="B4" s="5" t="inlineStr">
        <is>
          <t>api.error dioType=receiveTimeout|sendTimeout, errorCode Client.Network. The request WAS sent — the server may have processed it.</t>
        </is>
      </c>
      <c r="C4" s="5" t="inlineStr">
        <is>
          <t>Unknown</t>
        </is>
      </c>
      <c r="D4" s="5" t="inlineStr">
        <is>
          <t>Backend</t>
        </is>
      </c>
      <c r="E4" s="5" t="inlineStr">
        <is>
          <t>Low</t>
        </is>
      </c>
      <c r="F4" s="5" t="inlineStr">
        <is>
          <t>Search backend logs by the Correlation ID. Found + slow → Backend (Performance). Not found → Network. Never call a timeout Backend without that lookup.</t>
        </is>
      </c>
    </row>
    <row r="5">
      <c r="A5" s="5" t="inlineStr">
        <is>
          <t>Could not connect (connectionTimeout, 15 s)</t>
        </is>
      </c>
      <c r="B5" s="5" t="inlineStr">
        <is>
          <t>api.error dioType=connectionTimeout — the TCP/TLS connection never opened; the server never saw the request.</t>
        </is>
      </c>
      <c r="C5" s="5" t="inlineStr">
        <is>
          <t>Network</t>
        </is>
      </c>
      <c r="D5" s="5" t="inlineStr">
        <is>
          <t>DevOps</t>
        </is>
      </c>
      <c r="E5" s="5" t="inlineStr">
        <is>
          <t>Medium</t>
        </is>
      </c>
      <c r="F5" s="5" t="inlineStr">
        <is>
          <t>If every request to UAT times out from several networks → Environment.</t>
        </is>
      </c>
    </row>
    <row r="6">
      <c r="A6" s="5" t="inlineStr">
        <is>
          <t>HTTP 500 / 502 / 503 on a valid request</t>
        </is>
      </c>
      <c r="B6" s="5" t="inlineStr">
        <is>
          <t>api.error status=5xx; errorCode from the server or Client.Unknown; invalidFields empty.</t>
        </is>
      </c>
      <c r="C6" s="5" t="inlineStr">
        <is>
          <t>Backend</t>
        </is>
      </c>
      <c r="D6" s="5" t="inlineStr">
        <is>
          <t>Backend</t>
        </is>
      </c>
      <c r="E6" s="5" t="inlineStr">
        <is>
          <t>High</t>
        </is>
      </c>
      <c r="F6" s="5" t="inlineStr">
        <is>
          <t>Request body matches the contract in docs/feature/&lt;feature&gt;/api.md. Quote the Correlation ID to Backend.</t>
        </is>
      </c>
    </row>
    <row r="7">
      <c r="A7" s="5" t="inlineStr">
        <is>
          <t>400 / 422 General.Validation with invalidFields</t>
        </is>
      </c>
      <c r="B7" s="5" t="inlineStr">
        <is>
          <t>api.error invalidFields lists the field names the server rejected.</t>
        </is>
      </c>
      <c r="C7" s="5" t="inlineStr">
        <is>
          <t>Mobile</t>
        </is>
      </c>
      <c r="D7" s="5" t="inlineStr">
        <is>
          <t>Mobile</t>
        </is>
      </c>
      <c r="E7" s="5" t="inlineStr">
        <is>
          <t>Medium</t>
        </is>
      </c>
      <c r="F7" s="5" t="inlineStr">
        <is>
          <t>Compare the sent field with the contract. Mobile sent a wrong/missing field → Mobile. Field correct per contract → Backend.</t>
        </is>
      </c>
    </row>
    <row r="8">
      <c r="A8" s="5" t="inlineStr">
        <is>
          <t>401 Auth.InvalidCredentials / AccountLocked / AccountInactive / PasswordExpired at login</t>
        </is>
      </c>
      <c r="B8" s="5" t="inlineStr">
        <is>
          <t>Red status pill on the login screen with the server message.</t>
        </is>
      </c>
      <c r="C8" s="5" t="inlineStr">
        <is>
          <t>Test Data</t>
        </is>
      </c>
      <c r="D8" s="5" t="inlineStr">
        <is>
          <t>QA</t>
        </is>
      </c>
      <c r="E8" s="5" t="inlineStr">
        <is>
          <t>High</t>
        </is>
      </c>
      <c r="F8" s="5" t="inlineStr">
        <is>
          <t>Check the account in the admin portal. Account active and password just reset but still refused → Backend.</t>
        </is>
      </c>
    </row>
    <row r="9">
      <c r="A9" s="5" t="inlineStr">
        <is>
          <t>401 on a signed-in call that does not recover</t>
        </is>
      </c>
      <c r="B9" s="5" t="inlineStr">
        <is>
          <t>api.error status=401 and `signedIn` field. Refresh rejected → session expires (calls answer “Your session expired…”).</t>
        </is>
      </c>
      <c r="C9" s="5" t="inlineStr">
        <is>
          <t>Mobile</t>
        </is>
      </c>
      <c r="D9" s="5" t="inlineStr">
        <is>
          <t>Mobile</t>
        </is>
      </c>
      <c r="E9" s="5" t="inlineStr">
        <is>
          <t>Medium</t>
        </is>
      </c>
      <c r="F9" s="5" t="inlineStr">
        <is>
          <t>signedIn=false → Mobile did not attach the token. signedIn=true with a fresh token → Backend. Refresh-token 400 after a legit rotation → Backend.</t>
        </is>
      </c>
    </row>
    <row r="10">
      <c r="A10" s="5" t="inlineStr">
        <is>
          <t>403 Auth.PermissionDenied or 403 with no errorCode</t>
        </is>
      </c>
      <c r="B10" s="5" t="inlineStr">
        <is>
          <t>ServerFailure “You do not have access to this action.” Materials endpoints need materials.read.</t>
        </is>
      </c>
      <c r="C10" s="5" t="inlineStr">
        <is>
          <t>Test Data</t>
        </is>
      </c>
      <c r="D10" s="5" t="inlineStr">
        <is>
          <t>QA</t>
        </is>
      </c>
      <c r="E10" s="5" t="inlineStr">
        <is>
          <t>Medium</t>
        </is>
      </c>
      <c r="F10" s="5" t="inlineStr">
        <is>
          <t>Check the test user's role in the portal. Role has the permission → Backend.</t>
        </is>
      </c>
    </row>
    <row r="11">
      <c r="A11" s="5" t="inlineStr">
        <is>
          <t>Reset SMS never arrives but the request answered 200</t>
        </is>
      </c>
      <c r="B11" s="5" t="inlineStr">
        <is>
          <t>api.response for POST /auth/forgot-password/request status=200 (the server answers 200 for any number).</t>
        </is>
      </c>
      <c r="C11" s="5" t="inlineStr">
        <is>
          <t>Environment</t>
        </is>
      </c>
      <c r="D11" s="5" t="inlineStr">
        <is>
          <t>Backend</t>
        </is>
      </c>
      <c r="E11" s="5" t="inlineStr">
        <is>
          <t>Medium</t>
        </is>
      </c>
      <c r="F11" s="5" t="inlineStr">
        <is>
          <t>Is the phone registered to the account (Test Data)? Registered → SMS gateway/backend; ask Backend with the Correlation ID.</t>
        </is>
      </c>
    </row>
    <row r="12">
      <c r="A12" s="5" t="inlineStr">
        <is>
          <t>Profile photo refused (413 / 400 / User.Avatar*)</t>
        </is>
      </c>
      <c r="B12" s="5" t="inlineStr">
        <is>
          <t>Edit profile sheet: error_photo_size / error_photo_type / error_photo_storage.</t>
        </is>
      </c>
      <c r="C12" s="5" t="inlineStr">
        <is>
          <t>Backend</t>
        </is>
      </c>
      <c r="D12" s="5" t="inlineStr">
        <is>
          <t>Backend</t>
        </is>
      </c>
      <c r="E12" s="5" t="inlineStr">
        <is>
          <t>Medium</t>
        </is>
      </c>
      <c r="F12" s="5" t="inlineStr">
        <is>
          <t>JPG/PNG/WebP ≤ 5 MB refused → Backend. Larger or other type → expected (not a bug). User.AvatarStorageFailed → Backend storage.</t>
        </is>
      </c>
    </row>
    <row r="13">
      <c r="A13" s="5" t="inlineStr">
        <is>
          <t>200 with the correct body, screen shows a wrong / blank / stale value</t>
        </is>
      </c>
      <c r="B13" s="5" t="inlineStr">
        <is>
          <t>Debug log api.response payloadShape (item counts) — or run with --dart-define=API_LOG_BODIES=true (redacted) to see the body.</t>
        </is>
      </c>
      <c r="C13" s="5" t="inlineStr">
        <is>
          <t>Mobile</t>
        </is>
      </c>
      <c r="D13" s="5" t="inlineStr">
        <is>
          <t>Mobile</t>
        </is>
      </c>
      <c r="E13" s="5" t="inlineStr">
        <is>
          <t>High</t>
        </is>
      </c>
      <c r="F13" s="5" t="inlineStr">
        <is>
          <t>Body correct and screen wrong → Mobile parse/mapping/display. Body wrong → Backend.</t>
        </is>
      </c>
    </row>
    <row r="14">
      <c r="A14" s="5" t="inlineStr">
        <is>
          <t>Layout overflow, clipped Khmer text, wrong copy, wrong navigation</t>
        </is>
      </c>
      <c r="B14" s="5" t="inlineStr">
        <is>
          <t>Yellow/black overflow stripes in debug, screenshot in EN and KM.</t>
        </is>
      </c>
      <c r="C14" s="5" t="inlineStr">
        <is>
          <t>Mobile</t>
        </is>
      </c>
      <c r="D14" s="5" t="inlineStr">
        <is>
          <t>Mobile</t>
        </is>
      </c>
      <c r="E14" s="5" t="inlineStr">
        <is>
          <t>High</t>
        </is>
      </c>
      <c r="F14" s="5" t="inlineStr">
        <is>
          <t>Reproduce at 360 dp width and at 200% text scale.</t>
        </is>
      </c>
    </row>
    <row r="15">
      <c r="A15" s="5" t="inlineStr">
        <is>
          <t>Crash / red error screen / unhandled exception</t>
        </is>
      </c>
      <c r="B15" s="5" t="inlineStr">
        <is>
          <t>Flutter console stack trace; Android logcat / iOS device log.</t>
        </is>
      </c>
      <c r="C15" s="5" t="inlineStr">
        <is>
          <t>Mobile</t>
        </is>
      </c>
      <c r="D15" s="5" t="inlineStr">
        <is>
          <t>Mobile</t>
        </is>
      </c>
      <c r="E15" s="5" t="inlineStr">
        <is>
          <t>High</t>
        </is>
      </c>
      <c r="F15" s="5" t="inlineStr">
        <is>
          <t>Attach the full stack trace and the screen it happened on.</t>
        </is>
      </c>
    </row>
    <row r="16">
      <c r="A16" s="5" t="inlineStr">
        <is>
          <t>429 General.TooManyRequests</t>
        </is>
      </c>
      <c r="B16" s="5" t="inlineStr">
        <is>
          <t>api.error status=429.</t>
        </is>
      </c>
      <c r="C16" s="5" t="inlineStr">
        <is>
          <t>Environment</t>
        </is>
      </c>
      <c r="D16" s="5" t="inlineStr">
        <is>
          <t>DevOps</t>
        </is>
      </c>
      <c r="E16" s="5" t="inlineStr">
        <is>
          <t>Medium</t>
        </is>
      </c>
      <c r="F16" s="5" t="inlineStr">
        <is>
          <t>Was QA automation firing too fast? Then Test approach; otherwise rate-limit config.</t>
        </is>
      </c>
    </row>
    <row r="17">
      <c r="A17" s="5" t="inlineStr">
        <is>
          <t>Not enough evidence for any row above</t>
        </is>
      </c>
      <c r="B17" s="5" t="inlineStr">
        <is>
          <t>—</t>
        </is>
      </c>
      <c r="C17" s="5" t="inlineStr">
        <is>
          <t>Unknown</t>
        </is>
      </c>
      <c r="D17" s="5" t="inlineStr">
        <is>
          <t>QA</t>
        </is>
      </c>
      <c r="E17" s="5" t="inlineStr">
        <is>
          <t>Low</t>
        </is>
      </c>
      <c r="F17" s="5" t="inlineStr">
        <is>
          <t>Write in Root Cause exactly what is missing: backend log, request/response, DB row, SAP response.</t>
        </is>
      </c>
    </row>
  </sheetData>
  <autoFilter ref="A1:F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6" t="inlineStr">
        <is>
          <t>Test Result</t>
        </is>
      </c>
      <c r="B1" s="6" t="inlineStr">
        <is>
          <t>Issue Detected</t>
        </is>
      </c>
      <c r="C1" s="6" t="inlineStr">
        <is>
          <t>Issue Source</t>
        </is>
      </c>
      <c r="D1" s="6" t="inlineStr">
        <is>
          <t>Issue Type</t>
        </is>
      </c>
      <c r="E1" s="6" t="inlineStr">
        <is>
          <t>Assigned Team</t>
        </is>
      </c>
      <c r="F1" s="6" t="inlineStr">
        <is>
          <t>Confidence</t>
        </is>
      </c>
      <c r="G1" s="6" t="inlineStr">
        <is>
          <t>Priority</t>
        </is>
      </c>
      <c r="H1" s="6" t="inlineStr">
        <is>
          <t>Test Type</t>
        </is>
      </c>
      <c r="I1" s="6" t="inlineStr">
        <is>
          <t>Automation Status</t>
        </is>
      </c>
      <c r="J1" s="6" t="inlineStr">
        <is>
          <t>Automation Level</t>
        </is>
      </c>
      <c r="K1" s="6" t="inlineStr">
        <is>
          <t>Environment</t>
        </is>
      </c>
      <c r="L1" s="6" t="inlineStr">
        <is>
          <t>Bug Status</t>
        </is>
      </c>
      <c r="M1" s="6" t="inlineStr">
        <is>
          <t>Severity</t>
        </is>
      </c>
      <c r="N1" s="6" t="inlineStr">
        <is>
          <t>Suite</t>
        </is>
      </c>
    </row>
    <row r="2">
      <c r="A2" t="inlineStr">
        <is>
          <t>Pass</t>
        </is>
      </c>
      <c r="B2" t="inlineStr">
        <is>
          <t>Yes</t>
        </is>
      </c>
      <c r="C2" t="inlineStr">
        <is>
          <t>Mobile</t>
        </is>
      </c>
      <c r="D2" t="inlineStr">
        <is>
          <t>Functional</t>
        </is>
      </c>
      <c r="E2" t="inlineStr">
        <is>
          <t>Mobile</t>
        </is>
      </c>
      <c r="F2" t="inlineStr">
        <is>
          <t>High</t>
        </is>
      </c>
      <c r="G2" t="inlineStr">
        <is>
          <t>P1</t>
        </is>
      </c>
      <c r="H2" t="inlineStr">
        <is>
          <t>Functional</t>
        </is>
      </c>
      <c r="I2" t="inlineStr">
        <is>
          <t>Automated</t>
        </is>
      </c>
      <c r="J2" t="inlineStr">
        <is>
          <t>Unit</t>
        </is>
      </c>
      <c r="K2" t="inlineStr">
        <is>
          <t>UAT</t>
        </is>
      </c>
      <c r="L2" t="inlineStr">
        <is>
          <t>Open</t>
        </is>
      </c>
      <c r="M2" t="inlineStr">
        <is>
          <t>Critical</t>
        </is>
      </c>
      <c r="N2" t="inlineStr">
        <is>
          <t>smoke</t>
        </is>
      </c>
    </row>
    <row r="3">
      <c r="A3" t="inlineStr">
        <is>
          <t>Fail</t>
        </is>
      </c>
      <c r="B3" t="inlineStr">
        <is>
          <t>No</t>
        </is>
      </c>
      <c r="C3" t="inlineStr">
        <is>
          <t>Backend</t>
        </is>
      </c>
      <c r="D3" t="inlineStr">
        <is>
          <t>UI</t>
        </is>
      </c>
      <c r="E3" t="inlineStr">
        <is>
          <t>Backend</t>
        </is>
      </c>
      <c r="F3" t="inlineStr">
        <is>
          <t>Medium</t>
        </is>
      </c>
      <c r="G3" t="inlineStr">
        <is>
          <t>P2</t>
        </is>
      </c>
      <c r="H3" t="inlineStr">
        <is>
          <t>Negative</t>
        </is>
      </c>
      <c r="I3" t="inlineStr">
        <is>
          <t>Partial</t>
        </is>
      </c>
      <c r="J3" t="inlineStr">
        <is>
          <t>Widget</t>
        </is>
      </c>
      <c r="K3" t="inlineStr">
        <is>
          <t>Staging</t>
        </is>
      </c>
      <c r="L3" t="inlineStr">
        <is>
          <t>In Progress</t>
        </is>
      </c>
      <c r="M3" t="inlineStr">
        <is>
          <t>Major</t>
        </is>
      </c>
      <c r="N3" t="inlineStr">
        <is>
          <t>regression</t>
        </is>
      </c>
    </row>
    <row r="4">
      <c r="A4" t="inlineStr">
        <is>
          <t>Blocked</t>
        </is>
      </c>
      <c r="C4" t="inlineStr">
        <is>
          <t>Database</t>
        </is>
      </c>
      <c r="D4" t="inlineStr">
        <is>
          <t>API</t>
        </is>
      </c>
      <c r="E4" t="inlineStr">
        <is>
          <t>QA</t>
        </is>
      </c>
      <c r="F4" t="inlineStr">
        <is>
          <t>Low</t>
        </is>
      </c>
      <c r="G4" t="inlineStr">
        <is>
          <t>P3</t>
        </is>
      </c>
      <c r="H4" t="inlineStr">
        <is>
          <t>Offline</t>
        </is>
      </c>
      <c r="I4" t="inlineStr">
        <is>
          <t>Planned</t>
        </is>
      </c>
      <c r="J4" t="inlineStr">
        <is>
          <t>Integration</t>
        </is>
      </c>
      <c r="K4" t="inlineStr">
        <is>
          <t>Dev</t>
        </is>
      </c>
      <c r="L4" t="inlineStr">
        <is>
          <t>Fixed</t>
        </is>
      </c>
      <c r="M4" t="inlineStr">
        <is>
          <t>Minor</t>
        </is>
      </c>
      <c r="N4" t="inlineStr">
        <is>
          <t>uat</t>
        </is>
      </c>
    </row>
    <row r="5">
      <c r="A5" t="inlineStr">
        <is>
          <t>Not Run</t>
        </is>
      </c>
      <c r="C5" t="inlineStr">
        <is>
          <t>SAP</t>
        </is>
      </c>
      <c r="D5" t="inlineStr">
        <is>
          <t>Performance</t>
        </is>
      </c>
      <c r="E5" t="inlineStr">
        <is>
          <t>SAP</t>
        </is>
      </c>
      <c r="H5" t="inlineStr">
        <is>
          <t>UI</t>
        </is>
      </c>
      <c r="I5" t="inlineStr">
        <is>
          <t>Manual only</t>
        </is>
      </c>
      <c r="J5" t="inlineStr">
        <is>
          <t>E2E (device)</t>
        </is>
      </c>
      <c r="K5" t="inlineStr">
        <is>
          <t>Local (unit/widget)</t>
        </is>
      </c>
      <c r="L5" t="inlineStr">
        <is>
          <t>Ready for Retest</t>
        </is>
      </c>
      <c r="M5" t="inlineStr">
        <is>
          <t>Trivial</t>
        </is>
      </c>
    </row>
    <row r="6">
      <c r="A6" t="inlineStr">
        <is>
          <t>Skipped</t>
        </is>
      </c>
      <c r="C6" t="inlineStr">
        <is>
          <t>Network</t>
        </is>
      </c>
      <c r="D6" t="inlineStr">
        <is>
          <t>Security</t>
        </is>
      </c>
      <c r="E6" t="inlineStr">
        <is>
          <t>DevOps</t>
        </is>
      </c>
      <c r="H6" t="inlineStr">
        <is>
          <t>API</t>
        </is>
      </c>
      <c r="J6" t="inlineStr">
        <is>
          <t>API contract</t>
        </is>
      </c>
      <c r="L6" t="inlineStr">
        <is>
          <t>Closed</t>
        </is>
      </c>
    </row>
    <row r="7">
      <c r="C7" t="inlineStr">
        <is>
          <t>Test Data</t>
        </is>
      </c>
      <c r="D7" t="inlineStr">
        <is>
          <t>Data</t>
        </is>
      </c>
      <c r="H7" t="inlineStr">
        <is>
          <t>Security</t>
        </is>
      </c>
      <c r="J7" t="inlineStr">
        <is>
          <t>Manual</t>
        </is>
      </c>
      <c r="L7" t="inlineStr">
        <is>
          <t>Won't Fix</t>
        </is>
      </c>
    </row>
    <row r="8">
      <c r="C8" t="inlineStr">
        <is>
          <t>Environment</t>
        </is>
      </c>
      <c r="D8" t="inlineStr">
        <is>
          <t>Integration</t>
        </is>
      </c>
      <c r="H8" t="inlineStr">
        <is>
          <t>Integration</t>
        </is>
      </c>
      <c r="L8" t="inlineStr">
        <is>
          <t>Duplicate</t>
        </is>
      </c>
    </row>
    <row r="9">
      <c r="C9" t="inlineStr">
        <is>
          <t>Unknown</t>
        </is>
      </c>
      <c r="H9" t="inlineStr">
        <is>
          <t>Performance</t>
        </is>
      </c>
    </row>
    <row r="10">
      <c r="C10" t="inlineStr">
        <is>
          <t>Automation</t>
        </is>
      </c>
      <c r="H10" t="inlineStr">
        <is>
          <t>Localization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2026-10-08T07:07:53Z</dcterms:created>
  <dcterms:modified xsi:type="dcterms:W3CDTF">2026-10-08T09:51:57Z</dcterms:modified>
</cp:coreProperties>
</file>